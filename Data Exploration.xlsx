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Navaneeth\Maths\"/>
    </mc:Choice>
  </mc:AlternateContent>
  <xr:revisionPtr revIDLastSave="0" documentId="13_ncr:1_{482A1868-E59F-4173-8A24-843E9DAD7BBC}" xr6:coauthVersionLast="47" xr6:coauthVersionMax="47" xr10:uidLastSave="{00000000-0000-0000-0000-000000000000}"/>
  <bookViews>
    <workbookView xWindow="-108" yWindow="-108" windowWidth="23256" windowHeight="12456" tabRatio="822" activeTab="9" xr2:uid="{00000000-000D-0000-FFFF-FFFF00000000}"/>
  </bookViews>
  <sheets>
    <sheet name="Raw data" sheetId="4" r:id="rId1"/>
    <sheet name="Maths for Data Analytics" sheetId="2" r:id="rId2"/>
    <sheet name="Coding" sheetId="9" r:id="rId3"/>
    <sheet name="Descriptive Analysis" sheetId="10" r:id="rId4"/>
    <sheet name="Frequency Distribution" sheetId="12" r:id="rId5"/>
    <sheet name="Outlier" sheetId="13" r:id="rId6"/>
    <sheet name="Chi-Square Test" sheetId="15" r:id="rId7"/>
    <sheet name="OR &amp; RR" sheetId="18" r:id="rId8"/>
    <sheet name="T-test" sheetId="20" r:id="rId9"/>
    <sheet name="Anova" sheetId="22" r:id="rId10"/>
  </sheets>
  <definedNames>
    <definedName name="_xlnm._FilterDatabase" localSheetId="2" hidden="1">Coding!$I$2:$I$959</definedName>
    <definedName name="_xlnm._FilterDatabase" localSheetId="4" hidden="1">'Frequency Distribution'!$A$1:$B$958</definedName>
    <definedName name="_xlnm._FilterDatabase" localSheetId="1" hidden="1">'Maths for Data Analytics'!$A$1:$M$958</definedName>
    <definedName name="_xlnm._FilterDatabase" localSheetId="5" hidden="1">Outlier!$A$1:$A$839</definedName>
    <definedName name="_xlnm._FilterDatabase" localSheetId="8" hidden="1">'T-test'!$A$1:$D$478</definedName>
    <definedName name="_xlchart.v1.0" hidden="1">Outlier!$A$1</definedName>
    <definedName name="_xlchart.v1.1" hidden="1">Outlier!$A$2:$A$839</definedName>
  </definedNames>
  <calcPr calcId="181029"/>
  <pivotCaches>
    <pivotCache cacheId="8" r:id="rId11"/>
  </pivotCaches>
</workbook>
</file>

<file path=xl/calcChain.xml><?xml version="1.0" encoding="utf-8"?>
<calcChain xmlns="http://schemas.openxmlformats.org/spreadsheetml/2006/main">
  <c r="G13" i="20" l="1"/>
  <c r="G12" i="20"/>
  <c r="G11" i="20"/>
  <c r="G9" i="20"/>
  <c r="G8" i="20"/>
  <c r="G7" i="20"/>
  <c r="G6" i="20"/>
  <c r="G5" i="20"/>
  <c r="B17" i="18"/>
  <c r="B16" i="18"/>
  <c r="B15" i="18"/>
  <c r="B13" i="18"/>
  <c r="B12" i="18"/>
  <c r="F3" i="18" l="1"/>
  <c r="F2" i="18"/>
  <c r="B8" i="15"/>
  <c r="C5" i="18"/>
  <c r="B5" i="18"/>
  <c r="K36" i="15"/>
  <c r="K35" i="15"/>
  <c r="K34" i="15"/>
  <c r="K33" i="15"/>
  <c r="K32" i="15"/>
  <c r="K31" i="15"/>
  <c r="K30" i="15"/>
  <c r="T36" i="15"/>
  <c r="T35" i="15"/>
  <c r="T34" i="15"/>
  <c r="T33" i="15"/>
  <c r="T32" i="15"/>
  <c r="T31" i="15"/>
  <c r="T30" i="15"/>
  <c r="S36" i="15"/>
  <c r="S35" i="15"/>
  <c r="S34" i="15"/>
  <c r="S33" i="15"/>
  <c r="S32" i="15"/>
  <c r="S31" i="15"/>
  <c r="S30" i="15"/>
  <c r="R36" i="15"/>
  <c r="R35" i="15"/>
  <c r="R34" i="15"/>
  <c r="R33" i="15"/>
  <c r="R32" i="15"/>
  <c r="R31" i="15"/>
  <c r="R30" i="15"/>
  <c r="Q36" i="15"/>
  <c r="Q35" i="15"/>
  <c r="Q34" i="15"/>
  <c r="Q33" i="15"/>
  <c r="Q32" i="15"/>
  <c r="Q31" i="15"/>
  <c r="Q30" i="15"/>
  <c r="P36" i="15"/>
  <c r="P35" i="15"/>
  <c r="P34" i="15"/>
  <c r="P33" i="15"/>
  <c r="P32" i="15"/>
  <c r="P31" i="15"/>
  <c r="P30" i="15"/>
  <c r="O36" i="15"/>
  <c r="O35" i="15"/>
  <c r="O34" i="15"/>
  <c r="O33" i="15"/>
  <c r="O32" i="15"/>
  <c r="O31" i="15"/>
  <c r="O30" i="15"/>
  <c r="N36" i="15"/>
  <c r="N35" i="15"/>
  <c r="N34" i="15"/>
  <c r="N33" i="15"/>
  <c r="N32" i="15"/>
  <c r="N31" i="15"/>
  <c r="N30" i="15"/>
  <c r="M36" i="15"/>
  <c r="M35" i="15"/>
  <c r="M34" i="15"/>
  <c r="M33" i="15"/>
  <c r="M32" i="15"/>
  <c r="M31" i="15"/>
  <c r="M30" i="15"/>
  <c r="L36" i="15"/>
  <c r="L35" i="15"/>
  <c r="L34" i="15"/>
  <c r="L33" i="15"/>
  <c r="L32" i="15"/>
  <c r="L31" i="15"/>
  <c r="L30" i="15"/>
  <c r="J36" i="15"/>
  <c r="J35" i="15"/>
  <c r="J34" i="15"/>
  <c r="J33" i="15"/>
  <c r="J32" i="15"/>
  <c r="J31" i="15"/>
  <c r="I36" i="15"/>
  <c r="I35" i="15"/>
  <c r="I34" i="15"/>
  <c r="I33" i="15"/>
  <c r="I32" i="15"/>
  <c r="I31" i="15"/>
  <c r="J30" i="15"/>
  <c r="I30" i="15"/>
  <c r="H36" i="15"/>
  <c r="H35" i="15"/>
  <c r="H34" i="15"/>
  <c r="H33" i="15"/>
  <c r="H32" i="15"/>
  <c r="H31" i="15"/>
  <c r="H30" i="15"/>
  <c r="G36" i="15"/>
  <c r="G35" i="15"/>
  <c r="G34" i="15"/>
  <c r="G33" i="15"/>
  <c r="G32" i="15"/>
  <c r="G31" i="15"/>
  <c r="G30" i="15"/>
  <c r="F36" i="15"/>
  <c r="F35" i="15"/>
  <c r="F34" i="15"/>
  <c r="F33" i="15"/>
  <c r="F32" i="15"/>
  <c r="F31" i="15"/>
  <c r="F30" i="15"/>
  <c r="E36" i="15"/>
  <c r="E35" i="15"/>
  <c r="E34" i="15"/>
  <c r="E33" i="15"/>
  <c r="E32" i="15"/>
  <c r="E31" i="15"/>
  <c r="E30" i="15"/>
  <c r="D36" i="15"/>
  <c r="D35" i="15"/>
  <c r="D34" i="15"/>
  <c r="D33" i="15"/>
  <c r="D32" i="15"/>
  <c r="D31" i="15"/>
  <c r="D30" i="15"/>
  <c r="C36" i="15"/>
  <c r="C35" i="15"/>
  <c r="C34" i="15"/>
  <c r="C33" i="15"/>
  <c r="C32" i="15"/>
  <c r="C31" i="15"/>
  <c r="C30" i="15"/>
  <c r="B35" i="15"/>
  <c r="B34" i="15"/>
  <c r="B36" i="15" s="1"/>
  <c r="B33" i="15"/>
  <c r="B32" i="15"/>
  <c r="B31" i="15"/>
  <c r="B30" i="15"/>
  <c r="E5" i="13"/>
  <c r="E4" i="13"/>
  <c r="B7" i="18" l="1"/>
  <c r="B8" i="18" s="1"/>
  <c r="B9" i="18" s="1"/>
  <c r="E6" i="13"/>
  <c r="B10" i="18" l="1"/>
  <c r="V4" i="9"/>
  <c r="W4" i="9"/>
  <c r="X4" i="9"/>
  <c r="Y4" i="9"/>
  <c r="Z4" i="9"/>
  <c r="AA4" i="9"/>
  <c r="V5" i="9"/>
  <c r="W5" i="9"/>
  <c r="X5" i="9"/>
  <c r="Y5" i="9"/>
  <c r="Z5" i="9"/>
  <c r="AA5" i="9"/>
  <c r="V6" i="9"/>
  <c r="W6" i="9"/>
  <c r="X6" i="9"/>
  <c r="Y6" i="9"/>
  <c r="Z6" i="9"/>
  <c r="AA6" i="9"/>
  <c r="V7" i="9"/>
  <c r="W7" i="9"/>
  <c r="X7" i="9"/>
  <c r="Y7" i="9"/>
  <c r="Z7" i="9"/>
  <c r="AA7" i="9"/>
  <c r="V8" i="9"/>
  <c r="W8" i="9"/>
  <c r="X8" i="9"/>
  <c r="Y8" i="9"/>
  <c r="Z8" i="9"/>
  <c r="AA8" i="9"/>
  <c r="V9" i="9"/>
  <c r="W9" i="9"/>
  <c r="X9" i="9"/>
  <c r="Y9" i="9"/>
  <c r="Z9" i="9"/>
  <c r="AA9" i="9"/>
  <c r="V10" i="9"/>
  <c r="W10" i="9"/>
  <c r="X10" i="9"/>
  <c r="Y10" i="9"/>
  <c r="Z10" i="9"/>
  <c r="AA10" i="9"/>
  <c r="V11" i="9"/>
  <c r="W11" i="9"/>
  <c r="X11" i="9"/>
  <c r="Y11" i="9"/>
  <c r="Z11" i="9"/>
  <c r="AA11" i="9"/>
  <c r="V12" i="9"/>
  <c r="W12" i="9"/>
  <c r="X12" i="9"/>
  <c r="Y12" i="9"/>
  <c r="Z12" i="9"/>
  <c r="AA12" i="9"/>
  <c r="V13" i="9"/>
  <c r="W13" i="9"/>
  <c r="X13" i="9"/>
  <c r="Y13" i="9"/>
  <c r="Z13" i="9"/>
  <c r="AA13" i="9"/>
  <c r="V14" i="9"/>
  <c r="W14" i="9"/>
  <c r="X14" i="9"/>
  <c r="Y14" i="9"/>
  <c r="Z14" i="9"/>
  <c r="AA14" i="9"/>
  <c r="V15" i="9"/>
  <c r="W15" i="9"/>
  <c r="X15" i="9"/>
  <c r="Y15" i="9"/>
  <c r="Z15" i="9"/>
  <c r="AA15" i="9"/>
  <c r="V16" i="9"/>
  <c r="W16" i="9"/>
  <c r="X16" i="9"/>
  <c r="Y16" i="9"/>
  <c r="Z16" i="9"/>
  <c r="AA16" i="9"/>
  <c r="V17" i="9"/>
  <c r="W17" i="9"/>
  <c r="X17" i="9"/>
  <c r="Y17" i="9"/>
  <c r="Z17" i="9"/>
  <c r="AA17" i="9"/>
  <c r="V18" i="9"/>
  <c r="W18" i="9"/>
  <c r="X18" i="9"/>
  <c r="Y18" i="9"/>
  <c r="Z18" i="9"/>
  <c r="AA18" i="9"/>
  <c r="V19" i="9"/>
  <c r="W19" i="9"/>
  <c r="X19" i="9"/>
  <c r="Y19" i="9"/>
  <c r="Z19" i="9"/>
  <c r="AA19" i="9"/>
  <c r="V20" i="9"/>
  <c r="W20" i="9"/>
  <c r="X20" i="9"/>
  <c r="Y20" i="9"/>
  <c r="Z20" i="9"/>
  <c r="AA20" i="9"/>
  <c r="V21" i="9"/>
  <c r="W21" i="9"/>
  <c r="X21" i="9"/>
  <c r="Y21" i="9"/>
  <c r="Z21" i="9"/>
  <c r="AA21" i="9"/>
  <c r="V22" i="9"/>
  <c r="W22" i="9"/>
  <c r="X22" i="9"/>
  <c r="Y22" i="9"/>
  <c r="Z22" i="9"/>
  <c r="AA22" i="9"/>
  <c r="V23" i="9"/>
  <c r="W23" i="9"/>
  <c r="X23" i="9"/>
  <c r="Y23" i="9"/>
  <c r="Z23" i="9"/>
  <c r="AA23" i="9"/>
  <c r="V24" i="9"/>
  <c r="W24" i="9"/>
  <c r="X24" i="9"/>
  <c r="Y24" i="9"/>
  <c r="Z24" i="9"/>
  <c r="AA24" i="9"/>
  <c r="V25" i="9"/>
  <c r="W25" i="9"/>
  <c r="X25" i="9"/>
  <c r="Y25" i="9"/>
  <c r="Z25" i="9"/>
  <c r="AA25" i="9"/>
  <c r="V26" i="9"/>
  <c r="W26" i="9"/>
  <c r="X26" i="9"/>
  <c r="Y26" i="9"/>
  <c r="Z26" i="9"/>
  <c r="AA26" i="9"/>
  <c r="V27" i="9"/>
  <c r="W27" i="9"/>
  <c r="X27" i="9"/>
  <c r="Y27" i="9"/>
  <c r="Z27" i="9"/>
  <c r="AA27" i="9"/>
  <c r="V28" i="9"/>
  <c r="W28" i="9"/>
  <c r="X28" i="9"/>
  <c r="Y28" i="9"/>
  <c r="Z28" i="9"/>
  <c r="AA28" i="9"/>
  <c r="V29" i="9"/>
  <c r="W29" i="9"/>
  <c r="X29" i="9"/>
  <c r="Y29" i="9"/>
  <c r="Z29" i="9"/>
  <c r="AA29" i="9"/>
  <c r="V30" i="9"/>
  <c r="W30" i="9"/>
  <c r="X30" i="9"/>
  <c r="Y30" i="9"/>
  <c r="Z30" i="9"/>
  <c r="AA30" i="9"/>
  <c r="V31" i="9"/>
  <c r="W31" i="9"/>
  <c r="X31" i="9"/>
  <c r="Y31" i="9"/>
  <c r="Z31" i="9"/>
  <c r="AA31" i="9"/>
  <c r="V32" i="9"/>
  <c r="W32" i="9"/>
  <c r="X32" i="9"/>
  <c r="Y32" i="9"/>
  <c r="Z32" i="9"/>
  <c r="AA32" i="9"/>
  <c r="V33" i="9"/>
  <c r="W33" i="9"/>
  <c r="X33" i="9"/>
  <c r="Y33" i="9"/>
  <c r="Z33" i="9"/>
  <c r="AA33" i="9"/>
  <c r="V34" i="9"/>
  <c r="W34" i="9"/>
  <c r="X34" i="9"/>
  <c r="Y34" i="9"/>
  <c r="Z34" i="9"/>
  <c r="AA34" i="9"/>
  <c r="V35" i="9"/>
  <c r="W35" i="9"/>
  <c r="X35" i="9"/>
  <c r="Y35" i="9"/>
  <c r="Z35" i="9"/>
  <c r="AA35" i="9"/>
  <c r="V36" i="9"/>
  <c r="W36" i="9"/>
  <c r="X36" i="9"/>
  <c r="Y36" i="9"/>
  <c r="Z36" i="9"/>
  <c r="AA36" i="9"/>
  <c r="V37" i="9"/>
  <c r="W37" i="9"/>
  <c r="X37" i="9"/>
  <c r="Y37" i="9"/>
  <c r="Z37" i="9"/>
  <c r="AA37" i="9"/>
  <c r="V38" i="9"/>
  <c r="W38" i="9"/>
  <c r="X38" i="9"/>
  <c r="Y38" i="9"/>
  <c r="Z38" i="9"/>
  <c r="AA38" i="9"/>
  <c r="V39" i="9"/>
  <c r="W39" i="9"/>
  <c r="X39" i="9"/>
  <c r="Y39" i="9"/>
  <c r="Z39" i="9"/>
  <c r="AA39" i="9"/>
  <c r="V40" i="9"/>
  <c r="W40" i="9"/>
  <c r="X40" i="9"/>
  <c r="Y40" i="9"/>
  <c r="Z40" i="9"/>
  <c r="AA40" i="9"/>
  <c r="V41" i="9"/>
  <c r="W41" i="9"/>
  <c r="X41" i="9"/>
  <c r="Y41" i="9"/>
  <c r="Z41" i="9"/>
  <c r="AA41" i="9"/>
  <c r="V42" i="9"/>
  <c r="W42" i="9"/>
  <c r="X42" i="9"/>
  <c r="Y42" i="9"/>
  <c r="Z42" i="9"/>
  <c r="AA42" i="9"/>
  <c r="V43" i="9"/>
  <c r="W43" i="9"/>
  <c r="X43" i="9"/>
  <c r="Y43" i="9"/>
  <c r="Z43" i="9"/>
  <c r="AA43" i="9"/>
  <c r="V44" i="9"/>
  <c r="W44" i="9"/>
  <c r="X44" i="9"/>
  <c r="Y44" i="9"/>
  <c r="Z44" i="9"/>
  <c r="AA44" i="9"/>
  <c r="V45" i="9"/>
  <c r="W45" i="9"/>
  <c r="X45" i="9"/>
  <c r="Y45" i="9"/>
  <c r="Z45" i="9"/>
  <c r="AA45" i="9"/>
  <c r="V46" i="9"/>
  <c r="W46" i="9"/>
  <c r="X46" i="9"/>
  <c r="Y46" i="9"/>
  <c r="Z46" i="9"/>
  <c r="AA46" i="9"/>
  <c r="V47" i="9"/>
  <c r="W47" i="9"/>
  <c r="X47" i="9"/>
  <c r="Y47" i="9"/>
  <c r="Z47" i="9"/>
  <c r="AA47" i="9"/>
  <c r="V48" i="9"/>
  <c r="W48" i="9"/>
  <c r="X48" i="9"/>
  <c r="Y48" i="9"/>
  <c r="Z48" i="9"/>
  <c r="AA48" i="9"/>
  <c r="V49" i="9"/>
  <c r="W49" i="9"/>
  <c r="X49" i="9"/>
  <c r="Y49" i="9"/>
  <c r="Z49" i="9"/>
  <c r="AA49" i="9"/>
  <c r="V50" i="9"/>
  <c r="W50" i="9"/>
  <c r="X50" i="9"/>
  <c r="Y50" i="9"/>
  <c r="Z50" i="9"/>
  <c r="AA50" i="9"/>
  <c r="V51" i="9"/>
  <c r="W51" i="9"/>
  <c r="X51" i="9"/>
  <c r="Y51" i="9"/>
  <c r="Z51" i="9"/>
  <c r="AA51" i="9"/>
  <c r="V52" i="9"/>
  <c r="W52" i="9"/>
  <c r="X52" i="9"/>
  <c r="Y52" i="9"/>
  <c r="Z52" i="9"/>
  <c r="AA52" i="9"/>
  <c r="V53" i="9"/>
  <c r="W53" i="9"/>
  <c r="X53" i="9"/>
  <c r="Y53" i="9"/>
  <c r="Z53" i="9"/>
  <c r="AA53" i="9"/>
  <c r="V54" i="9"/>
  <c r="W54" i="9"/>
  <c r="X54" i="9"/>
  <c r="Y54" i="9"/>
  <c r="Z54" i="9"/>
  <c r="AA54" i="9"/>
  <c r="V55" i="9"/>
  <c r="W55" i="9"/>
  <c r="X55" i="9"/>
  <c r="Y55" i="9"/>
  <c r="Z55" i="9"/>
  <c r="AA55" i="9"/>
  <c r="V56" i="9"/>
  <c r="W56" i="9"/>
  <c r="X56" i="9"/>
  <c r="Y56" i="9"/>
  <c r="Z56" i="9"/>
  <c r="AA56" i="9"/>
  <c r="V57" i="9"/>
  <c r="W57" i="9"/>
  <c r="X57" i="9"/>
  <c r="Y57" i="9"/>
  <c r="Z57" i="9"/>
  <c r="AA57" i="9"/>
  <c r="V58" i="9"/>
  <c r="W58" i="9"/>
  <c r="X58" i="9"/>
  <c r="Y58" i="9"/>
  <c r="Z58" i="9"/>
  <c r="AA58" i="9"/>
  <c r="V59" i="9"/>
  <c r="W59" i="9"/>
  <c r="X59" i="9"/>
  <c r="Y59" i="9"/>
  <c r="Z59" i="9"/>
  <c r="AA59" i="9"/>
  <c r="V60" i="9"/>
  <c r="W60" i="9"/>
  <c r="X60" i="9"/>
  <c r="Y60" i="9"/>
  <c r="Z60" i="9"/>
  <c r="AA60" i="9"/>
  <c r="V61" i="9"/>
  <c r="W61" i="9"/>
  <c r="X61" i="9"/>
  <c r="Y61" i="9"/>
  <c r="Z61" i="9"/>
  <c r="AA61" i="9"/>
  <c r="V62" i="9"/>
  <c r="W62" i="9"/>
  <c r="X62" i="9"/>
  <c r="Y62" i="9"/>
  <c r="Z62" i="9"/>
  <c r="AA62" i="9"/>
  <c r="V63" i="9"/>
  <c r="W63" i="9"/>
  <c r="X63" i="9"/>
  <c r="Y63" i="9"/>
  <c r="Z63" i="9"/>
  <c r="AA63" i="9"/>
  <c r="V64" i="9"/>
  <c r="W64" i="9"/>
  <c r="X64" i="9"/>
  <c r="Y64" i="9"/>
  <c r="Z64" i="9"/>
  <c r="AA64" i="9"/>
  <c r="V65" i="9"/>
  <c r="W65" i="9"/>
  <c r="X65" i="9"/>
  <c r="Y65" i="9"/>
  <c r="Z65" i="9"/>
  <c r="AA65" i="9"/>
  <c r="V66" i="9"/>
  <c r="W66" i="9"/>
  <c r="X66" i="9"/>
  <c r="Y66" i="9"/>
  <c r="Z66" i="9"/>
  <c r="AA66" i="9"/>
  <c r="V67" i="9"/>
  <c r="W67" i="9"/>
  <c r="X67" i="9"/>
  <c r="Y67" i="9"/>
  <c r="Z67" i="9"/>
  <c r="AA67" i="9"/>
  <c r="V68" i="9"/>
  <c r="W68" i="9"/>
  <c r="X68" i="9"/>
  <c r="Y68" i="9"/>
  <c r="Z68" i="9"/>
  <c r="AA68" i="9"/>
  <c r="V69" i="9"/>
  <c r="W69" i="9"/>
  <c r="X69" i="9"/>
  <c r="Y69" i="9"/>
  <c r="Z69" i="9"/>
  <c r="AA69" i="9"/>
  <c r="V70" i="9"/>
  <c r="W70" i="9"/>
  <c r="X70" i="9"/>
  <c r="Y70" i="9"/>
  <c r="Z70" i="9"/>
  <c r="AA70" i="9"/>
  <c r="V71" i="9"/>
  <c r="W71" i="9"/>
  <c r="X71" i="9"/>
  <c r="Y71" i="9"/>
  <c r="Z71" i="9"/>
  <c r="AA71" i="9"/>
  <c r="V72" i="9"/>
  <c r="W72" i="9"/>
  <c r="X72" i="9"/>
  <c r="Y72" i="9"/>
  <c r="Z72" i="9"/>
  <c r="AA72" i="9"/>
  <c r="V73" i="9"/>
  <c r="W73" i="9"/>
  <c r="X73" i="9"/>
  <c r="Y73" i="9"/>
  <c r="Z73" i="9"/>
  <c r="AA73" i="9"/>
  <c r="V74" i="9"/>
  <c r="W74" i="9"/>
  <c r="X74" i="9"/>
  <c r="Y74" i="9"/>
  <c r="Z74" i="9"/>
  <c r="AA74" i="9"/>
  <c r="V75" i="9"/>
  <c r="W75" i="9"/>
  <c r="X75" i="9"/>
  <c r="Y75" i="9"/>
  <c r="Z75" i="9"/>
  <c r="AA75" i="9"/>
  <c r="V76" i="9"/>
  <c r="W76" i="9"/>
  <c r="X76" i="9"/>
  <c r="Y76" i="9"/>
  <c r="Z76" i="9"/>
  <c r="AA76" i="9"/>
  <c r="V77" i="9"/>
  <c r="W77" i="9"/>
  <c r="X77" i="9"/>
  <c r="Y77" i="9"/>
  <c r="Z77" i="9"/>
  <c r="AA77" i="9"/>
  <c r="V78" i="9"/>
  <c r="W78" i="9"/>
  <c r="X78" i="9"/>
  <c r="Y78" i="9"/>
  <c r="Z78" i="9"/>
  <c r="AA78" i="9"/>
  <c r="V79" i="9"/>
  <c r="W79" i="9"/>
  <c r="X79" i="9"/>
  <c r="Y79" i="9"/>
  <c r="Z79" i="9"/>
  <c r="AA79" i="9"/>
  <c r="V80" i="9"/>
  <c r="W80" i="9"/>
  <c r="X80" i="9"/>
  <c r="Y80" i="9"/>
  <c r="Z80" i="9"/>
  <c r="AA80" i="9"/>
  <c r="V81" i="9"/>
  <c r="W81" i="9"/>
  <c r="X81" i="9"/>
  <c r="Y81" i="9"/>
  <c r="Z81" i="9"/>
  <c r="AA81" i="9"/>
  <c r="V82" i="9"/>
  <c r="W82" i="9"/>
  <c r="X82" i="9"/>
  <c r="Y82" i="9"/>
  <c r="Z82" i="9"/>
  <c r="AA82" i="9"/>
  <c r="V83" i="9"/>
  <c r="W83" i="9"/>
  <c r="X83" i="9"/>
  <c r="Y83" i="9"/>
  <c r="Z83" i="9"/>
  <c r="AA83" i="9"/>
  <c r="V84" i="9"/>
  <c r="W84" i="9"/>
  <c r="X84" i="9"/>
  <c r="Y84" i="9"/>
  <c r="Z84" i="9"/>
  <c r="AA84" i="9"/>
  <c r="V85" i="9"/>
  <c r="W85" i="9"/>
  <c r="X85" i="9"/>
  <c r="Y85" i="9"/>
  <c r="Z85" i="9"/>
  <c r="AA85" i="9"/>
  <c r="V86" i="9"/>
  <c r="W86" i="9"/>
  <c r="X86" i="9"/>
  <c r="Y86" i="9"/>
  <c r="Z86" i="9"/>
  <c r="AA86" i="9"/>
  <c r="V87" i="9"/>
  <c r="W87" i="9"/>
  <c r="X87" i="9"/>
  <c r="Y87" i="9"/>
  <c r="Z87" i="9"/>
  <c r="AA87" i="9"/>
  <c r="V88" i="9"/>
  <c r="W88" i="9"/>
  <c r="X88" i="9"/>
  <c r="Y88" i="9"/>
  <c r="Z88" i="9"/>
  <c r="AA88" i="9"/>
  <c r="V89" i="9"/>
  <c r="W89" i="9"/>
  <c r="X89" i="9"/>
  <c r="Y89" i="9"/>
  <c r="Z89" i="9"/>
  <c r="AA89" i="9"/>
  <c r="V90" i="9"/>
  <c r="W90" i="9"/>
  <c r="X90" i="9"/>
  <c r="Y90" i="9"/>
  <c r="Z90" i="9"/>
  <c r="AA90" i="9"/>
  <c r="V91" i="9"/>
  <c r="W91" i="9"/>
  <c r="X91" i="9"/>
  <c r="Y91" i="9"/>
  <c r="Z91" i="9"/>
  <c r="AA91" i="9"/>
  <c r="V92" i="9"/>
  <c r="W92" i="9"/>
  <c r="X92" i="9"/>
  <c r="Y92" i="9"/>
  <c r="Z92" i="9"/>
  <c r="AA92" i="9"/>
  <c r="V93" i="9"/>
  <c r="W93" i="9"/>
  <c r="X93" i="9"/>
  <c r="Y93" i="9"/>
  <c r="Z93" i="9"/>
  <c r="AA93" i="9"/>
  <c r="V94" i="9"/>
  <c r="W94" i="9"/>
  <c r="X94" i="9"/>
  <c r="Y94" i="9"/>
  <c r="Z94" i="9"/>
  <c r="AA94" i="9"/>
  <c r="V95" i="9"/>
  <c r="W95" i="9"/>
  <c r="X95" i="9"/>
  <c r="Y95" i="9"/>
  <c r="Z95" i="9"/>
  <c r="AA95" i="9"/>
  <c r="V96" i="9"/>
  <c r="W96" i="9"/>
  <c r="X96" i="9"/>
  <c r="Y96" i="9"/>
  <c r="Z96" i="9"/>
  <c r="AA96" i="9"/>
  <c r="V97" i="9"/>
  <c r="W97" i="9"/>
  <c r="X97" i="9"/>
  <c r="Y97" i="9"/>
  <c r="Z97" i="9"/>
  <c r="AA97" i="9"/>
  <c r="V98" i="9"/>
  <c r="W98" i="9"/>
  <c r="X98" i="9"/>
  <c r="Y98" i="9"/>
  <c r="Z98" i="9"/>
  <c r="AA98" i="9"/>
  <c r="V99" i="9"/>
  <c r="W99" i="9"/>
  <c r="X99" i="9"/>
  <c r="Y99" i="9"/>
  <c r="Z99" i="9"/>
  <c r="AA99" i="9"/>
  <c r="V100" i="9"/>
  <c r="W100" i="9"/>
  <c r="X100" i="9"/>
  <c r="Y100" i="9"/>
  <c r="Z100" i="9"/>
  <c r="AA100" i="9"/>
  <c r="V101" i="9"/>
  <c r="W101" i="9"/>
  <c r="X101" i="9"/>
  <c r="Y101" i="9"/>
  <c r="Z101" i="9"/>
  <c r="AA101" i="9"/>
  <c r="V102" i="9"/>
  <c r="W102" i="9"/>
  <c r="X102" i="9"/>
  <c r="Y102" i="9"/>
  <c r="Z102" i="9"/>
  <c r="AA102" i="9"/>
  <c r="V103" i="9"/>
  <c r="W103" i="9"/>
  <c r="X103" i="9"/>
  <c r="Y103" i="9"/>
  <c r="Z103" i="9"/>
  <c r="AA103" i="9"/>
  <c r="V104" i="9"/>
  <c r="W104" i="9"/>
  <c r="X104" i="9"/>
  <c r="Y104" i="9"/>
  <c r="Z104" i="9"/>
  <c r="AA104" i="9"/>
  <c r="V105" i="9"/>
  <c r="W105" i="9"/>
  <c r="X105" i="9"/>
  <c r="Y105" i="9"/>
  <c r="Z105" i="9"/>
  <c r="AA105" i="9"/>
  <c r="V106" i="9"/>
  <c r="W106" i="9"/>
  <c r="X106" i="9"/>
  <c r="Y106" i="9"/>
  <c r="Z106" i="9"/>
  <c r="AA106" i="9"/>
  <c r="V107" i="9"/>
  <c r="W107" i="9"/>
  <c r="X107" i="9"/>
  <c r="Y107" i="9"/>
  <c r="Z107" i="9"/>
  <c r="AA107" i="9"/>
  <c r="V108" i="9"/>
  <c r="W108" i="9"/>
  <c r="X108" i="9"/>
  <c r="Y108" i="9"/>
  <c r="Z108" i="9"/>
  <c r="AA108" i="9"/>
  <c r="V109" i="9"/>
  <c r="W109" i="9"/>
  <c r="X109" i="9"/>
  <c r="Y109" i="9"/>
  <c r="Z109" i="9"/>
  <c r="AA109" i="9"/>
  <c r="V110" i="9"/>
  <c r="W110" i="9"/>
  <c r="X110" i="9"/>
  <c r="Y110" i="9"/>
  <c r="Z110" i="9"/>
  <c r="AA110" i="9"/>
  <c r="V111" i="9"/>
  <c r="W111" i="9"/>
  <c r="X111" i="9"/>
  <c r="Y111" i="9"/>
  <c r="Z111" i="9"/>
  <c r="AA111" i="9"/>
  <c r="V112" i="9"/>
  <c r="W112" i="9"/>
  <c r="X112" i="9"/>
  <c r="Y112" i="9"/>
  <c r="Z112" i="9"/>
  <c r="AA112" i="9"/>
  <c r="V113" i="9"/>
  <c r="W113" i="9"/>
  <c r="X113" i="9"/>
  <c r="Y113" i="9"/>
  <c r="Z113" i="9"/>
  <c r="AA113" i="9"/>
  <c r="V114" i="9"/>
  <c r="W114" i="9"/>
  <c r="X114" i="9"/>
  <c r="Y114" i="9"/>
  <c r="Z114" i="9"/>
  <c r="AA114" i="9"/>
  <c r="V115" i="9"/>
  <c r="W115" i="9"/>
  <c r="X115" i="9"/>
  <c r="Y115" i="9"/>
  <c r="Z115" i="9"/>
  <c r="AA115" i="9"/>
  <c r="V116" i="9"/>
  <c r="W116" i="9"/>
  <c r="X116" i="9"/>
  <c r="Y116" i="9"/>
  <c r="Z116" i="9"/>
  <c r="AA116" i="9"/>
  <c r="V117" i="9"/>
  <c r="W117" i="9"/>
  <c r="X117" i="9"/>
  <c r="Y117" i="9"/>
  <c r="Z117" i="9"/>
  <c r="AA117" i="9"/>
  <c r="V118" i="9"/>
  <c r="W118" i="9"/>
  <c r="X118" i="9"/>
  <c r="Y118" i="9"/>
  <c r="Z118" i="9"/>
  <c r="AA118" i="9"/>
  <c r="V119" i="9"/>
  <c r="W119" i="9"/>
  <c r="X119" i="9"/>
  <c r="Y119" i="9"/>
  <c r="Z119" i="9"/>
  <c r="AA119" i="9"/>
  <c r="V120" i="9"/>
  <c r="W120" i="9"/>
  <c r="X120" i="9"/>
  <c r="Y120" i="9"/>
  <c r="Z120" i="9"/>
  <c r="AA120" i="9"/>
  <c r="V121" i="9"/>
  <c r="W121" i="9"/>
  <c r="X121" i="9"/>
  <c r="Y121" i="9"/>
  <c r="Z121" i="9"/>
  <c r="AA121" i="9"/>
  <c r="V122" i="9"/>
  <c r="W122" i="9"/>
  <c r="X122" i="9"/>
  <c r="Y122" i="9"/>
  <c r="Z122" i="9"/>
  <c r="AA122" i="9"/>
  <c r="V123" i="9"/>
  <c r="W123" i="9"/>
  <c r="X123" i="9"/>
  <c r="Y123" i="9"/>
  <c r="Z123" i="9"/>
  <c r="AA123" i="9"/>
  <c r="V124" i="9"/>
  <c r="W124" i="9"/>
  <c r="X124" i="9"/>
  <c r="Y124" i="9"/>
  <c r="Z124" i="9"/>
  <c r="AA124" i="9"/>
  <c r="V125" i="9"/>
  <c r="W125" i="9"/>
  <c r="X125" i="9"/>
  <c r="Y125" i="9"/>
  <c r="Z125" i="9"/>
  <c r="AA125" i="9"/>
  <c r="V126" i="9"/>
  <c r="W126" i="9"/>
  <c r="X126" i="9"/>
  <c r="Y126" i="9"/>
  <c r="Z126" i="9"/>
  <c r="AA126" i="9"/>
  <c r="V127" i="9"/>
  <c r="W127" i="9"/>
  <c r="X127" i="9"/>
  <c r="Y127" i="9"/>
  <c r="Z127" i="9"/>
  <c r="AA127" i="9"/>
  <c r="V128" i="9"/>
  <c r="W128" i="9"/>
  <c r="X128" i="9"/>
  <c r="Y128" i="9"/>
  <c r="Z128" i="9"/>
  <c r="AA128" i="9"/>
  <c r="V129" i="9"/>
  <c r="W129" i="9"/>
  <c r="X129" i="9"/>
  <c r="Y129" i="9"/>
  <c r="Z129" i="9"/>
  <c r="AA129" i="9"/>
  <c r="V130" i="9"/>
  <c r="W130" i="9"/>
  <c r="X130" i="9"/>
  <c r="Y130" i="9"/>
  <c r="Z130" i="9"/>
  <c r="AA130" i="9"/>
  <c r="V131" i="9"/>
  <c r="W131" i="9"/>
  <c r="X131" i="9"/>
  <c r="Y131" i="9"/>
  <c r="Z131" i="9"/>
  <c r="AA131" i="9"/>
  <c r="V132" i="9"/>
  <c r="W132" i="9"/>
  <c r="X132" i="9"/>
  <c r="Y132" i="9"/>
  <c r="Z132" i="9"/>
  <c r="AA132" i="9"/>
  <c r="V133" i="9"/>
  <c r="W133" i="9"/>
  <c r="X133" i="9"/>
  <c r="Y133" i="9"/>
  <c r="Z133" i="9"/>
  <c r="AA133" i="9"/>
  <c r="V134" i="9"/>
  <c r="W134" i="9"/>
  <c r="X134" i="9"/>
  <c r="Y134" i="9"/>
  <c r="Z134" i="9"/>
  <c r="AA134" i="9"/>
  <c r="V135" i="9"/>
  <c r="W135" i="9"/>
  <c r="X135" i="9"/>
  <c r="Y135" i="9"/>
  <c r="Z135" i="9"/>
  <c r="AA135" i="9"/>
  <c r="V136" i="9"/>
  <c r="W136" i="9"/>
  <c r="X136" i="9"/>
  <c r="Y136" i="9"/>
  <c r="Z136" i="9"/>
  <c r="AA136" i="9"/>
  <c r="V137" i="9"/>
  <c r="W137" i="9"/>
  <c r="X137" i="9"/>
  <c r="Y137" i="9"/>
  <c r="Z137" i="9"/>
  <c r="AA137" i="9"/>
  <c r="V138" i="9"/>
  <c r="W138" i="9"/>
  <c r="X138" i="9"/>
  <c r="Y138" i="9"/>
  <c r="Z138" i="9"/>
  <c r="AA138" i="9"/>
  <c r="V139" i="9"/>
  <c r="W139" i="9"/>
  <c r="X139" i="9"/>
  <c r="Y139" i="9"/>
  <c r="Z139" i="9"/>
  <c r="AA139" i="9"/>
  <c r="V140" i="9"/>
  <c r="W140" i="9"/>
  <c r="X140" i="9"/>
  <c r="Y140" i="9"/>
  <c r="Z140" i="9"/>
  <c r="AA140" i="9"/>
  <c r="V141" i="9"/>
  <c r="W141" i="9"/>
  <c r="X141" i="9"/>
  <c r="Y141" i="9"/>
  <c r="Z141" i="9"/>
  <c r="AA141" i="9"/>
  <c r="V142" i="9"/>
  <c r="W142" i="9"/>
  <c r="X142" i="9"/>
  <c r="Y142" i="9"/>
  <c r="Z142" i="9"/>
  <c r="AA142" i="9"/>
  <c r="V143" i="9"/>
  <c r="W143" i="9"/>
  <c r="X143" i="9"/>
  <c r="Y143" i="9"/>
  <c r="Z143" i="9"/>
  <c r="AA143" i="9"/>
  <c r="V144" i="9"/>
  <c r="W144" i="9"/>
  <c r="X144" i="9"/>
  <c r="Y144" i="9"/>
  <c r="Z144" i="9"/>
  <c r="AA144" i="9"/>
  <c r="V145" i="9"/>
  <c r="W145" i="9"/>
  <c r="X145" i="9"/>
  <c r="Y145" i="9"/>
  <c r="Z145" i="9"/>
  <c r="AA145" i="9"/>
  <c r="V146" i="9"/>
  <c r="W146" i="9"/>
  <c r="X146" i="9"/>
  <c r="Y146" i="9"/>
  <c r="Z146" i="9"/>
  <c r="AA146" i="9"/>
  <c r="V147" i="9"/>
  <c r="W147" i="9"/>
  <c r="X147" i="9"/>
  <c r="Y147" i="9"/>
  <c r="Z147" i="9"/>
  <c r="AA147" i="9"/>
  <c r="V148" i="9"/>
  <c r="W148" i="9"/>
  <c r="X148" i="9"/>
  <c r="Y148" i="9"/>
  <c r="Z148" i="9"/>
  <c r="AA148" i="9"/>
  <c r="V149" i="9"/>
  <c r="W149" i="9"/>
  <c r="X149" i="9"/>
  <c r="Y149" i="9"/>
  <c r="Z149" i="9"/>
  <c r="AA149" i="9"/>
  <c r="V150" i="9"/>
  <c r="W150" i="9"/>
  <c r="X150" i="9"/>
  <c r="Y150" i="9"/>
  <c r="Z150" i="9"/>
  <c r="AA150" i="9"/>
  <c r="V151" i="9"/>
  <c r="W151" i="9"/>
  <c r="X151" i="9"/>
  <c r="Y151" i="9"/>
  <c r="Z151" i="9"/>
  <c r="AA151" i="9"/>
  <c r="V152" i="9"/>
  <c r="W152" i="9"/>
  <c r="X152" i="9"/>
  <c r="Y152" i="9"/>
  <c r="Z152" i="9"/>
  <c r="AA152" i="9"/>
  <c r="V153" i="9"/>
  <c r="W153" i="9"/>
  <c r="X153" i="9"/>
  <c r="Y153" i="9"/>
  <c r="Z153" i="9"/>
  <c r="AA153" i="9"/>
  <c r="V154" i="9"/>
  <c r="W154" i="9"/>
  <c r="X154" i="9"/>
  <c r="Y154" i="9"/>
  <c r="Z154" i="9"/>
  <c r="AA154" i="9"/>
  <c r="V155" i="9"/>
  <c r="W155" i="9"/>
  <c r="X155" i="9"/>
  <c r="Y155" i="9"/>
  <c r="Z155" i="9"/>
  <c r="AA155" i="9"/>
  <c r="V156" i="9"/>
  <c r="W156" i="9"/>
  <c r="X156" i="9"/>
  <c r="Y156" i="9"/>
  <c r="Z156" i="9"/>
  <c r="AA156" i="9"/>
  <c r="V157" i="9"/>
  <c r="W157" i="9"/>
  <c r="X157" i="9"/>
  <c r="Y157" i="9"/>
  <c r="Z157" i="9"/>
  <c r="AA157" i="9"/>
  <c r="V158" i="9"/>
  <c r="W158" i="9"/>
  <c r="X158" i="9"/>
  <c r="Y158" i="9"/>
  <c r="Z158" i="9"/>
  <c r="AA158" i="9"/>
  <c r="V159" i="9"/>
  <c r="W159" i="9"/>
  <c r="X159" i="9"/>
  <c r="Y159" i="9"/>
  <c r="Z159" i="9"/>
  <c r="AA159" i="9"/>
  <c r="V160" i="9"/>
  <c r="W160" i="9"/>
  <c r="X160" i="9"/>
  <c r="Y160" i="9"/>
  <c r="Z160" i="9"/>
  <c r="AA160" i="9"/>
  <c r="V161" i="9"/>
  <c r="W161" i="9"/>
  <c r="X161" i="9"/>
  <c r="Y161" i="9"/>
  <c r="Z161" i="9"/>
  <c r="AA161" i="9"/>
  <c r="V162" i="9"/>
  <c r="W162" i="9"/>
  <c r="X162" i="9"/>
  <c r="Y162" i="9"/>
  <c r="Z162" i="9"/>
  <c r="AA162" i="9"/>
  <c r="V163" i="9"/>
  <c r="W163" i="9"/>
  <c r="X163" i="9"/>
  <c r="Y163" i="9"/>
  <c r="Z163" i="9"/>
  <c r="AA163" i="9"/>
  <c r="V164" i="9"/>
  <c r="W164" i="9"/>
  <c r="X164" i="9"/>
  <c r="Y164" i="9"/>
  <c r="Z164" i="9"/>
  <c r="AA164" i="9"/>
  <c r="V165" i="9"/>
  <c r="W165" i="9"/>
  <c r="X165" i="9"/>
  <c r="Y165" i="9"/>
  <c r="Z165" i="9"/>
  <c r="AA165" i="9"/>
  <c r="V166" i="9"/>
  <c r="W166" i="9"/>
  <c r="X166" i="9"/>
  <c r="Y166" i="9"/>
  <c r="Z166" i="9"/>
  <c r="AA166" i="9"/>
  <c r="V167" i="9"/>
  <c r="W167" i="9"/>
  <c r="X167" i="9"/>
  <c r="Y167" i="9"/>
  <c r="Z167" i="9"/>
  <c r="AA167" i="9"/>
  <c r="V168" i="9"/>
  <c r="W168" i="9"/>
  <c r="X168" i="9"/>
  <c r="Y168" i="9"/>
  <c r="Z168" i="9"/>
  <c r="AA168" i="9"/>
  <c r="V169" i="9"/>
  <c r="W169" i="9"/>
  <c r="X169" i="9"/>
  <c r="Y169" i="9"/>
  <c r="Z169" i="9"/>
  <c r="AA169" i="9"/>
  <c r="V170" i="9"/>
  <c r="W170" i="9"/>
  <c r="X170" i="9"/>
  <c r="Y170" i="9"/>
  <c r="Z170" i="9"/>
  <c r="AA170" i="9"/>
  <c r="V171" i="9"/>
  <c r="W171" i="9"/>
  <c r="X171" i="9"/>
  <c r="Y171" i="9"/>
  <c r="Z171" i="9"/>
  <c r="AA171" i="9"/>
  <c r="V172" i="9"/>
  <c r="W172" i="9"/>
  <c r="X172" i="9"/>
  <c r="Y172" i="9"/>
  <c r="Z172" i="9"/>
  <c r="AA172" i="9"/>
  <c r="V173" i="9"/>
  <c r="W173" i="9"/>
  <c r="X173" i="9"/>
  <c r="Y173" i="9"/>
  <c r="Z173" i="9"/>
  <c r="AA173" i="9"/>
  <c r="V174" i="9"/>
  <c r="W174" i="9"/>
  <c r="X174" i="9"/>
  <c r="Y174" i="9"/>
  <c r="Z174" i="9"/>
  <c r="AA174" i="9"/>
  <c r="V175" i="9"/>
  <c r="W175" i="9"/>
  <c r="X175" i="9"/>
  <c r="Y175" i="9"/>
  <c r="Z175" i="9"/>
  <c r="AA175" i="9"/>
  <c r="V176" i="9"/>
  <c r="W176" i="9"/>
  <c r="X176" i="9"/>
  <c r="Y176" i="9"/>
  <c r="Z176" i="9"/>
  <c r="AA176" i="9"/>
  <c r="V177" i="9"/>
  <c r="W177" i="9"/>
  <c r="X177" i="9"/>
  <c r="Y177" i="9"/>
  <c r="Z177" i="9"/>
  <c r="AA177" i="9"/>
  <c r="V178" i="9"/>
  <c r="W178" i="9"/>
  <c r="X178" i="9"/>
  <c r="Y178" i="9"/>
  <c r="Z178" i="9"/>
  <c r="AA178" i="9"/>
  <c r="V179" i="9"/>
  <c r="W179" i="9"/>
  <c r="X179" i="9"/>
  <c r="Y179" i="9"/>
  <c r="Z179" i="9"/>
  <c r="AA179" i="9"/>
  <c r="V180" i="9"/>
  <c r="W180" i="9"/>
  <c r="X180" i="9"/>
  <c r="Y180" i="9"/>
  <c r="Z180" i="9"/>
  <c r="AA180" i="9"/>
  <c r="V181" i="9"/>
  <c r="W181" i="9"/>
  <c r="X181" i="9"/>
  <c r="Y181" i="9"/>
  <c r="Z181" i="9"/>
  <c r="AA181" i="9"/>
  <c r="V182" i="9"/>
  <c r="W182" i="9"/>
  <c r="X182" i="9"/>
  <c r="Y182" i="9"/>
  <c r="Z182" i="9"/>
  <c r="AA182" i="9"/>
  <c r="V183" i="9"/>
  <c r="W183" i="9"/>
  <c r="X183" i="9"/>
  <c r="Y183" i="9"/>
  <c r="Z183" i="9"/>
  <c r="AA183" i="9"/>
  <c r="V184" i="9"/>
  <c r="W184" i="9"/>
  <c r="X184" i="9"/>
  <c r="Y184" i="9"/>
  <c r="Z184" i="9"/>
  <c r="AA184" i="9"/>
  <c r="V185" i="9"/>
  <c r="W185" i="9"/>
  <c r="X185" i="9"/>
  <c r="Y185" i="9"/>
  <c r="Z185" i="9"/>
  <c r="AA185" i="9"/>
  <c r="V186" i="9"/>
  <c r="W186" i="9"/>
  <c r="X186" i="9"/>
  <c r="Y186" i="9"/>
  <c r="Z186" i="9"/>
  <c r="AA186" i="9"/>
  <c r="V187" i="9"/>
  <c r="W187" i="9"/>
  <c r="X187" i="9"/>
  <c r="Y187" i="9"/>
  <c r="Z187" i="9"/>
  <c r="AA187" i="9"/>
  <c r="V188" i="9"/>
  <c r="W188" i="9"/>
  <c r="X188" i="9"/>
  <c r="Y188" i="9"/>
  <c r="Z188" i="9"/>
  <c r="AA188" i="9"/>
  <c r="V189" i="9"/>
  <c r="W189" i="9"/>
  <c r="X189" i="9"/>
  <c r="Y189" i="9"/>
  <c r="Z189" i="9"/>
  <c r="AA189" i="9"/>
  <c r="V190" i="9"/>
  <c r="W190" i="9"/>
  <c r="X190" i="9"/>
  <c r="Y190" i="9"/>
  <c r="Z190" i="9"/>
  <c r="AA190" i="9"/>
  <c r="V191" i="9"/>
  <c r="W191" i="9"/>
  <c r="X191" i="9"/>
  <c r="Y191" i="9"/>
  <c r="Z191" i="9"/>
  <c r="AA191" i="9"/>
  <c r="V192" i="9"/>
  <c r="W192" i="9"/>
  <c r="X192" i="9"/>
  <c r="Y192" i="9"/>
  <c r="Z192" i="9"/>
  <c r="AA192" i="9"/>
  <c r="V193" i="9"/>
  <c r="W193" i="9"/>
  <c r="X193" i="9"/>
  <c r="Y193" i="9"/>
  <c r="Z193" i="9"/>
  <c r="AA193" i="9"/>
  <c r="V194" i="9"/>
  <c r="W194" i="9"/>
  <c r="X194" i="9"/>
  <c r="Y194" i="9"/>
  <c r="Z194" i="9"/>
  <c r="AA194" i="9"/>
  <c r="V195" i="9"/>
  <c r="W195" i="9"/>
  <c r="X195" i="9"/>
  <c r="Y195" i="9"/>
  <c r="Z195" i="9"/>
  <c r="AA195" i="9"/>
  <c r="V196" i="9"/>
  <c r="W196" i="9"/>
  <c r="X196" i="9"/>
  <c r="Y196" i="9"/>
  <c r="Z196" i="9"/>
  <c r="AA196" i="9"/>
  <c r="V197" i="9"/>
  <c r="W197" i="9"/>
  <c r="X197" i="9"/>
  <c r="Y197" i="9"/>
  <c r="Z197" i="9"/>
  <c r="AA197" i="9"/>
  <c r="V198" i="9"/>
  <c r="W198" i="9"/>
  <c r="X198" i="9"/>
  <c r="Y198" i="9"/>
  <c r="Z198" i="9"/>
  <c r="AA198" i="9"/>
  <c r="V199" i="9"/>
  <c r="W199" i="9"/>
  <c r="X199" i="9"/>
  <c r="Y199" i="9"/>
  <c r="Z199" i="9"/>
  <c r="AA199" i="9"/>
  <c r="V200" i="9"/>
  <c r="W200" i="9"/>
  <c r="X200" i="9"/>
  <c r="Y200" i="9"/>
  <c r="Z200" i="9"/>
  <c r="AA200" i="9"/>
  <c r="V201" i="9"/>
  <c r="W201" i="9"/>
  <c r="X201" i="9"/>
  <c r="Y201" i="9"/>
  <c r="Z201" i="9"/>
  <c r="AA201" i="9"/>
  <c r="V202" i="9"/>
  <c r="W202" i="9"/>
  <c r="X202" i="9"/>
  <c r="Y202" i="9"/>
  <c r="Z202" i="9"/>
  <c r="AA202" i="9"/>
  <c r="V203" i="9"/>
  <c r="W203" i="9"/>
  <c r="X203" i="9"/>
  <c r="Y203" i="9"/>
  <c r="Z203" i="9"/>
  <c r="AA203" i="9"/>
  <c r="V204" i="9"/>
  <c r="W204" i="9"/>
  <c r="X204" i="9"/>
  <c r="Y204" i="9"/>
  <c r="Z204" i="9"/>
  <c r="AA204" i="9"/>
  <c r="V205" i="9"/>
  <c r="W205" i="9"/>
  <c r="X205" i="9"/>
  <c r="Y205" i="9"/>
  <c r="Z205" i="9"/>
  <c r="AA205" i="9"/>
  <c r="V206" i="9"/>
  <c r="W206" i="9"/>
  <c r="X206" i="9"/>
  <c r="Y206" i="9"/>
  <c r="Z206" i="9"/>
  <c r="AA206" i="9"/>
  <c r="V207" i="9"/>
  <c r="W207" i="9"/>
  <c r="X207" i="9"/>
  <c r="Y207" i="9"/>
  <c r="Z207" i="9"/>
  <c r="AA207" i="9"/>
  <c r="V208" i="9"/>
  <c r="W208" i="9"/>
  <c r="X208" i="9"/>
  <c r="Y208" i="9"/>
  <c r="Z208" i="9"/>
  <c r="AA208" i="9"/>
  <c r="V209" i="9"/>
  <c r="W209" i="9"/>
  <c r="X209" i="9"/>
  <c r="Y209" i="9"/>
  <c r="Z209" i="9"/>
  <c r="AA209" i="9"/>
  <c r="V210" i="9"/>
  <c r="W210" i="9"/>
  <c r="X210" i="9"/>
  <c r="Y210" i="9"/>
  <c r="Z210" i="9"/>
  <c r="AA210" i="9"/>
  <c r="V211" i="9"/>
  <c r="W211" i="9"/>
  <c r="X211" i="9"/>
  <c r="Y211" i="9"/>
  <c r="Z211" i="9"/>
  <c r="AA211" i="9"/>
  <c r="V212" i="9"/>
  <c r="W212" i="9"/>
  <c r="X212" i="9"/>
  <c r="Y212" i="9"/>
  <c r="Z212" i="9"/>
  <c r="AA212" i="9"/>
  <c r="V213" i="9"/>
  <c r="W213" i="9"/>
  <c r="X213" i="9"/>
  <c r="Y213" i="9"/>
  <c r="Z213" i="9"/>
  <c r="AA213" i="9"/>
  <c r="V214" i="9"/>
  <c r="W214" i="9"/>
  <c r="X214" i="9"/>
  <c r="Y214" i="9"/>
  <c r="Z214" i="9"/>
  <c r="AA214" i="9"/>
  <c r="V215" i="9"/>
  <c r="W215" i="9"/>
  <c r="X215" i="9"/>
  <c r="Y215" i="9"/>
  <c r="Z215" i="9"/>
  <c r="AA215" i="9"/>
  <c r="V216" i="9"/>
  <c r="W216" i="9"/>
  <c r="X216" i="9"/>
  <c r="Y216" i="9"/>
  <c r="Z216" i="9"/>
  <c r="AA216" i="9"/>
  <c r="V217" i="9"/>
  <c r="W217" i="9"/>
  <c r="X217" i="9"/>
  <c r="Y217" i="9"/>
  <c r="Z217" i="9"/>
  <c r="AA217" i="9"/>
  <c r="V218" i="9"/>
  <c r="W218" i="9"/>
  <c r="X218" i="9"/>
  <c r="Y218" i="9"/>
  <c r="Z218" i="9"/>
  <c r="AA218" i="9"/>
  <c r="V219" i="9"/>
  <c r="W219" i="9"/>
  <c r="X219" i="9"/>
  <c r="Y219" i="9"/>
  <c r="Z219" i="9"/>
  <c r="AA219" i="9"/>
  <c r="V220" i="9"/>
  <c r="W220" i="9"/>
  <c r="X220" i="9"/>
  <c r="Y220" i="9"/>
  <c r="Z220" i="9"/>
  <c r="AA220" i="9"/>
  <c r="V221" i="9"/>
  <c r="W221" i="9"/>
  <c r="X221" i="9"/>
  <c r="Y221" i="9"/>
  <c r="Z221" i="9"/>
  <c r="AA221" i="9"/>
  <c r="V222" i="9"/>
  <c r="W222" i="9"/>
  <c r="X222" i="9"/>
  <c r="Y222" i="9"/>
  <c r="Z222" i="9"/>
  <c r="AA222" i="9"/>
  <c r="V223" i="9"/>
  <c r="W223" i="9"/>
  <c r="X223" i="9"/>
  <c r="Y223" i="9"/>
  <c r="Z223" i="9"/>
  <c r="AA223" i="9"/>
  <c r="V224" i="9"/>
  <c r="W224" i="9"/>
  <c r="X224" i="9"/>
  <c r="Y224" i="9"/>
  <c r="Z224" i="9"/>
  <c r="AA224" i="9"/>
  <c r="V225" i="9"/>
  <c r="W225" i="9"/>
  <c r="X225" i="9"/>
  <c r="Y225" i="9"/>
  <c r="Z225" i="9"/>
  <c r="AA225" i="9"/>
  <c r="V226" i="9"/>
  <c r="W226" i="9"/>
  <c r="X226" i="9"/>
  <c r="Y226" i="9"/>
  <c r="Z226" i="9"/>
  <c r="AA226" i="9"/>
  <c r="V227" i="9"/>
  <c r="W227" i="9"/>
  <c r="X227" i="9"/>
  <c r="Y227" i="9"/>
  <c r="Z227" i="9"/>
  <c r="AA227" i="9"/>
  <c r="V228" i="9"/>
  <c r="W228" i="9"/>
  <c r="X228" i="9"/>
  <c r="Y228" i="9"/>
  <c r="Z228" i="9"/>
  <c r="AA228" i="9"/>
  <c r="V229" i="9"/>
  <c r="W229" i="9"/>
  <c r="X229" i="9"/>
  <c r="Y229" i="9"/>
  <c r="Z229" i="9"/>
  <c r="AA229" i="9"/>
  <c r="V230" i="9"/>
  <c r="W230" i="9"/>
  <c r="X230" i="9"/>
  <c r="Y230" i="9"/>
  <c r="Z230" i="9"/>
  <c r="AA230" i="9"/>
  <c r="V231" i="9"/>
  <c r="W231" i="9"/>
  <c r="X231" i="9"/>
  <c r="Y231" i="9"/>
  <c r="Z231" i="9"/>
  <c r="AA231" i="9"/>
  <c r="V232" i="9"/>
  <c r="W232" i="9"/>
  <c r="X232" i="9"/>
  <c r="Y232" i="9"/>
  <c r="Z232" i="9"/>
  <c r="AA232" i="9"/>
  <c r="V233" i="9"/>
  <c r="W233" i="9"/>
  <c r="X233" i="9"/>
  <c r="Y233" i="9"/>
  <c r="Z233" i="9"/>
  <c r="AA233" i="9"/>
  <c r="V234" i="9"/>
  <c r="W234" i="9"/>
  <c r="X234" i="9"/>
  <c r="Y234" i="9"/>
  <c r="Z234" i="9"/>
  <c r="AA234" i="9"/>
  <c r="V235" i="9"/>
  <c r="W235" i="9"/>
  <c r="X235" i="9"/>
  <c r="Y235" i="9"/>
  <c r="Z235" i="9"/>
  <c r="AA235" i="9"/>
  <c r="V236" i="9"/>
  <c r="W236" i="9"/>
  <c r="X236" i="9"/>
  <c r="Y236" i="9"/>
  <c r="Z236" i="9"/>
  <c r="AA236" i="9"/>
  <c r="V237" i="9"/>
  <c r="W237" i="9"/>
  <c r="X237" i="9"/>
  <c r="Y237" i="9"/>
  <c r="Z237" i="9"/>
  <c r="AA237" i="9"/>
  <c r="V238" i="9"/>
  <c r="W238" i="9"/>
  <c r="X238" i="9"/>
  <c r="Y238" i="9"/>
  <c r="Z238" i="9"/>
  <c r="AA238" i="9"/>
  <c r="V239" i="9"/>
  <c r="W239" i="9"/>
  <c r="X239" i="9"/>
  <c r="Y239" i="9"/>
  <c r="Z239" i="9"/>
  <c r="AA239" i="9"/>
  <c r="V240" i="9"/>
  <c r="W240" i="9"/>
  <c r="X240" i="9"/>
  <c r="Y240" i="9"/>
  <c r="Z240" i="9"/>
  <c r="AA240" i="9"/>
  <c r="V241" i="9"/>
  <c r="W241" i="9"/>
  <c r="X241" i="9"/>
  <c r="Y241" i="9"/>
  <c r="Z241" i="9"/>
  <c r="AA241" i="9"/>
  <c r="V242" i="9"/>
  <c r="W242" i="9"/>
  <c r="X242" i="9"/>
  <c r="Y242" i="9"/>
  <c r="Z242" i="9"/>
  <c r="AA242" i="9"/>
  <c r="V243" i="9"/>
  <c r="W243" i="9"/>
  <c r="X243" i="9"/>
  <c r="Y243" i="9"/>
  <c r="Z243" i="9"/>
  <c r="AA243" i="9"/>
  <c r="V244" i="9"/>
  <c r="W244" i="9"/>
  <c r="X244" i="9"/>
  <c r="Y244" i="9"/>
  <c r="Z244" i="9"/>
  <c r="AA244" i="9"/>
  <c r="V245" i="9"/>
  <c r="W245" i="9"/>
  <c r="X245" i="9"/>
  <c r="Y245" i="9"/>
  <c r="Z245" i="9"/>
  <c r="AA245" i="9"/>
  <c r="V246" i="9"/>
  <c r="W246" i="9"/>
  <c r="X246" i="9"/>
  <c r="Y246" i="9"/>
  <c r="Z246" i="9"/>
  <c r="AA246" i="9"/>
  <c r="V247" i="9"/>
  <c r="W247" i="9"/>
  <c r="X247" i="9"/>
  <c r="Y247" i="9"/>
  <c r="Z247" i="9"/>
  <c r="AA247" i="9"/>
  <c r="V248" i="9"/>
  <c r="W248" i="9"/>
  <c r="X248" i="9"/>
  <c r="Y248" i="9"/>
  <c r="Z248" i="9"/>
  <c r="AA248" i="9"/>
  <c r="V249" i="9"/>
  <c r="W249" i="9"/>
  <c r="X249" i="9"/>
  <c r="Y249" i="9"/>
  <c r="Z249" i="9"/>
  <c r="AA249" i="9"/>
  <c r="V250" i="9"/>
  <c r="W250" i="9"/>
  <c r="X250" i="9"/>
  <c r="Y250" i="9"/>
  <c r="Z250" i="9"/>
  <c r="AA250" i="9"/>
  <c r="V251" i="9"/>
  <c r="W251" i="9"/>
  <c r="X251" i="9"/>
  <c r="Y251" i="9"/>
  <c r="Z251" i="9"/>
  <c r="AA251" i="9"/>
  <c r="V252" i="9"/>
  <c r="W252" i="9"/>
  <c r="X252" i="9"/>
  <c r="Y252" i="9"/>
  <c r="Z252" i="9"/>
  <c r="AA252" i="9"/>
  <c r="V253" i="9"/>
  <c r="W253" i="9"/>
  <c r="X253" i="9"/>
  <c r="Y253" i="9"/>
  <c r="Z253" i="9"/>
  <c r="AA253" i="9"/>
  <c r="V254" i="9"/>
  <c r="W254" i="9"/>
  <c r="X254" i="9"/>
  <c r="Y254" i="9"/>
  <c r="Z254" i="9"/>
  <c r="AA254" i="9"/>
  <c r="V255" i="9"/>
  <c r="W255" i="9"/>
  <c r="X255" i="9"/>
  <c r="Y255" i="9"/>
  <c r="Z255" i="9"/>
  <c r="AA255" i="9"/>
  <c r="V256" i="9"/>
  <c r="W256" i="9"/>
  <c r="X256" i="9"/>
  <c r="Y256" i="9"/>
  <c r="Z256" i="9"/>
  <c r="AA256" i="9"/>
  <c r="V257" i="9"/>
  <c r="W257" i="9"/>
  <c r="X257" i="9"/>
  <c r="Y257" i="9"/>
  <c r="Z257" i="9"/>
  <c r="AA257" i="9"/>
  <c r="V258" i="9"/>
  <c r="W258" i="9"/>
  <c r="X258" i="9"/>
  <c r="Y258" i="9"/>
  <c r="Z258" i="9"/>
  <c r="AA258" i="9"/>
  <c r="V259" i="9"/>
  <c r="W259" i="9"/>
  <c r="X259" i="9"/>
  <c r="Y259" i="9"/>
  <c r="Z259" i="9"/>
  <c r="AA259" i="9"/>
  <c r="V260" i="9"/>
  <c r="W260" i="9"/>
  <c r="X260" i="9"/>
  <c r="Y260" i="9"/>
  <c r="Z260" i="9"/>
  <c r="AA260" i="9"/>
  <c r="V261" i="9"/>
  <c r="W261" i="9"/>
  <c r="X261" i="9"/>
  <c r="Y261" i="9"/>
  <c r="Z261" i="9"/>
  <c r="AA261" i="9"/>
  <c r="V262" i="9"/>
  <c r="W262" i="9"/>
  <c r="X262" i="9"/>
  <c r="Y262" i="9"/>
  <c r="Z262" i="9"/>
  <c r="AA262" i="9"/>
  <c r="V263" i="9"/>
  <c r="W263" i="9"/>
  <c r="X263" i="9"/>
  <c r="Y263" i="9"/>
  <c r="Z263" i="9"/>
  <c r="AA263" i="9"/>
  <c r="V264" i="9"/>
  <c r="W264" i="9"/>
  <c r="X264" i="9"/>
  <c r="Y264" i="9"/>
  <c r="Z264" i="9"/>
  <c r="AA264" i="9"/>
  <c r="V265" i="9"/>
  <c r="W265" i="9"/>
  <c r="X265" i="9"/>
  <c r="Y265" i="9"/>
  <c r="Z265" i="9"/>
  <c r="AA265" i="9"/>
  <c r="V266" i="9"/>
  <c r="W266" i="9"/>
  <c r="X266" i="9"/>
  <c r="Y266" i="9"/>
  <c r="Z266" i="9"/>
  <c r="AA266" i="9"/>
  <c r="V267" i="9"/>
  <c r="W267" i="9"/>
  <c r="X267" i="9"/>
  <c r="Y267" i="9"/>
  <c r="Z267" i="9"/>
  <c r="AA267" i="9"/>
  <c r="V268" i="9"/>
  <c r="W268" i="9"/>
  <c r="X268" i="9"/>
  <c r="Y268" i="9"/>
  <c r="Z268" i="9"/>
  <c r="AA268" i="9"/>
  <c r="V269" i="9"/>
  <c r="W269" i="9"/>
  <c r="X269" i="9"/>
  <c r="Y269" i="9"/>
  <c r="Z269" i="9"/>
  <c r="AA269" i="9"/>
  <c r="V270" i="9"/>
  <c r="W270" i="9"/>
  <c r="X270" i="9"/>
  <c r="Y270" i="9"/>
  <c r="Z270" i="9"/>
  <c r="AA270" i="9"/>
  <c r="V271" i="9"/>
  <c r="W271" i="9"/>
  <c r="X271" i="9"/>
  <c r="Y271" i="9"/>
  <c r="Z271" i="9"/>
  <c r="AA271" i="9"/>
  <c r="V272" i="9"/>
  <c r="W272" i="9"/>
  <c r="X272" i="9"/>
  <c r="Y272" i="9"/>
  <c r="Z272" i="9"/>
  <c r="AA272" i="9"/>
  <c r="V273" i="9"/>
  <c r="W273" i="9"/>
  <c r="X273" i="9"/>
  <c r="Y273" i="9"/>
  <c r="Z273" i="9"/>
  <c r="AA273" i="9"/>
  <c r="V274" i="9"/>
  <c r="W274" i="9"/>
  <c r="X274" i="9"/>
  <c r="Y274" i="9"/>
  <c r="Z274" i="9"/>
  <c r="AA274" i="9"/>
  <c r="V275" i="9"/>
  <c r="W275" i="9"/>
  <c r="X275" i="9"/>
  <c r="Y275" i="9"/>
  <c r="Z275" i="9"/>
  <c r="AA275" i="9"/>
  <c r="V276" i="9"/>
  <c r="W276" i="9"/>
  <c r="X276" i="9"/>
  <c r="Y276" i="9"/>
  <c r="Z276" i="9"/>
  <c r="AA276" i="9"/>
  <c r="V277" i="9"/>
  <c r="W277" i="9"/>
  <c r="X277" i="9"/>
  <c r="Y277" i="9"/>
  <c r="Z277" i="9"/>
  <c r="AA277" i="9"/>
  <c r="V278" i="9"/>
  <c r="W278" i="9"/>
  <c r="X278" i="9"/>
  <c r="Y278" i="9"/>
  <c r="Z278" i="9"/>
  <c r="AA278" i="9"/>
  <c r="V279" i="9"/>
  <c r="W279" i="9"/>
  <c r="X279" i="9"/>
  <c r="Y279" i="9"/>
  <c r="Z279" i="9"/>
  <c r="AA279" i="9"/>
  <c r="V280" i="9"/>
  <c r="W280" i="9"/>
  <c r="X280" i="9"/>
  <c r="Y280" i="9"/>
  <c r="Z280" i="9"/>
  <c r="AA280" i="9"/>
  <c r="V281" i="9"/>
  <c r="W281" i="9"/>
  <c r="X281" i="9"/>
  <c r="Y281" i="9"/>
  <c r="Z281" i="9"/>
  <c r="AA281" i="9"/>
  <c r="V282" i="9"/>
  <c r="W282" i="9"/>
  <c r="X282" i="9"/>
  <c r="Y282" i="9"/>
  <c r="Z282" i="9"/>
  <c r="AA282" i="9"/>
  <c r="V283" i="9"/>
  <c r="W283" i="9"/>
  <c r="X283" i="9"/>
  <c r="Y283" i="9"/>
  <c r="Z283" i="9"/>
  <c r="AA283" i="9"/>
  <c r="V284" i="9"/>
  <c r="W284" i="9"/>
  <c r="X284" i="9"/>
  <c r="Y284" i="9"/>
  <c r="Z284" i="9"/>
  <c r="AA284" i="9"/>
  <c r="V285" i="9"/>
  <c r="W285" i="9"/>
  <c r="X285" i="9"/>
  <c r="Y285" i="9"/>
  <c r="Z285" i="9"/>
  <c r="AA285" i="9"/>
  <c r="V286" i="9"/>
  <c r="W286" i="9"/>
  <c r="X286" i="9"/>
  <c r="Y286" i="9"/>
  <c r="Z286" i="9"/>
  <c r="AA286" i="9"/>
  <c r="V287" i="9"/>
  <c r="W287" i="9"/>
  <c r="X287" i="9"/>
  <c r="Y287" i="9"/>
  <c r="Z287" i="9"/>
  <c r="AA287" i="9"/>
  <c r="V288" i="9"/>
  <c r="W288" i="9"/>
  <c r="X288" i="9"/>
  <c r="Y288" i="9"/>
  <c r="Z288" i="9"/>
  <c r="AA288" i="9"/>
  <c r="V289" i="9"/>
  <c r="W289" i="9"/>
  <c r="X289" i="9"/>
  <c r="Y289" i="9"/>
  <c r="Z289" i="9"/>
  <c r="AA289" i="9"/>
  <c r="V290" i="9"/>
  <c r="W290" i="9"/>
  <c r="X290" i="9"/>
  <c r="Y290" i="9"/>
  <c r="Z290" i="9"/>
  <c r="AA290" i="9"/>
  <c r="V291" i="9"/>
  <c r="W291" i="9"/>
  <c r="X291" i="9"/>
  <c r="Y291" i="9"/>
  <c r="Z291" i="9"/>
  <c r="AA291" i="9"/>
  <c r="V292" i="9"/>
  <c r="W292" i="9"/>
  <c r="X292" i="9"/>
  <c r="Y292" i="9"/>
  <c r="Z292" i="9"/>
  <c r="AA292" i="9"/>
  <c r="V293" i="9"/>
  <c r="W293" i="9"/>
  <c r="X293" i="9"/>
  <c r="Y293" i="9"/>
  <c r="Z293" i="9"/>
  <c r="AA293" i="9"/>
  <c r="V294" i="9"/>
  <c r="W294" i="9"/>
  <c r="X294" i="9"/>
  <c r="Y294" i="9"/>
  <c r="Z294" i="9"/>
  <c r="AA294" i="9"/>
  <c r="V295" i="9"/>
  <c r="W295" i="9"/>
  <c r="X295" i="9"/>
  <c r="Y295" i="9"/>
  <c r="Z295" i="9"/>
  <c r="AA295" i="9"/>
  <c r="V296" i="9"/>
  <c r="W296" i="9"/>
  <c r="X296" i="9"/>
  <c r="Y296" i="9"/>
  <c r="Z296" i="9"/>
  <c r="AA296" i="9"/>
  <c r="V297" i="9"/>
  <c r="W297" i="9"/>
  <c r="X297" i="9"/>
  <c r="Y297" i="9"/>
  <c r="Z297" i="9"/>
  <c r="AA297" i="9"/>
  <c r="V298" i="9"/>
  <c r="W298" i="9"/>
  <c r="X298" i="9"/>
  <c r="Y298" i="9"/>
  <c r="Z298" i="9"/>
  <c r="AA298" i="9"/>
  <c r="V299" i="9"/>
  <c r="W299" i="9"/>
  <c r="X299" i="9"/>
  <c r="Y299" i="9"/>
  <c r="Z299" i="9"/>
  <c r="AA299" i="9"/>
  <c r="V300" i="9"/>
  <c r="W300" i="9"/>
  <c r="X300" i="9"/>
  <c r="Y300" i="9"/>
  <c r="Z300" i="9"/>
  <c r="AA300" i="9"/>
  <c r="V301" i="9"/>
  <c r="W301" i="9"/>
  <c r="X301" i="9"/>
  <c r="Y301" i="9"/>
  <c r="Z301" i="9"/>
  <c r="AA301" i="9"/>
  <c r="V302" i="9"/>
  <c r="W302" i="9"/>
  <c r="X302" i="9"/>
  <c r="Y302" i="9"/>
  <c r="Z302" i="9"/>
  <c r="AA302" i="9"/>
  <c r="V303" i="9"/>
  <c r="W303" i="9"/>
  <c r="X303" i="9"/>
  <c r="Y303" i="9"/>
  <c r="Z303" i="9"/>
  <c r="AA303" i="9"/>
  <c r="V304" i="9"/>
  <c r="W304" i="9"/>
  <c r="X304" i="9"/>
  <c r="Y304" i="9"/>
  <c r="Z304" i="9"/>
  <c r="AA304" i="9"/>
  <c r="V305" i="9"/>
  <c r="W305" i="9"/>
  <c r="X305" i="9"/>
  <c r="Y305" i="9"/>
  <c r="Z305" i="9"/>
  <c r="AA305" i="9"/>
  <c r="V306" i="9"/>
  <c r="W306" i="9"/>
  <c r="X306" i="9"/>
  <c r="Y306" i="9"/>
  <c r="Z306" i="9"/>
  <c r="AA306" i="9"/>
  <c r="V307" i="9"/>
  <c r="W307" i="9"/>
  <c r="X307" i="9"/>
  <c r="Y307" i="9"/>
  <c r="Z307" i="9"/>
  <c r="AA307" i="9"/>
  <c r="V308" i="9"/>
  <c r="W308" i="9"/>
  <c r="X308" i="9"/>
  <c r="Y308" i="9"/>
  <c r="Z308" i="9"/>
  <c r="AA308" i="9"/>
  <c r="V309" i="9"/>
  <c r="W309" i="9"/>
  <c r="X309" i="9"/>
  <c r="Y309" i="9"/>
  <c r="Z309" i="9"/>
  <c r="AA309" i="9"/>
  <c r="V310" i="9"/>
  <c r="W310" i="9"/>
  <c r="X310" i="9"/>
  <c r="Y310" i="9"/>
  <c r="Z310" i="9"/>
  <c r="AA310" i="9"/>
  <c r="V311" i="9"/>
  <c r="W311" i="9"/>
  <c r="X311" i="9"/>
  <c r="Y311" i="9"/>
  <c r="Z311" i="9"/>
  <c r="AA311" i="9"/>
  <c r="V312" i="9"/>
  <c r="W312" i="9"/>
  <c r="X312" i="9"/>
  <c r="Y312" i="9"/>
  <c r="Z312" i="9"/>
  <c r="AA312" i="9"/>
  <c r="V313" i="9"/>
  <c r="W313" i="9"/>
  <c r="X313" i="9"/>
  <c r="Y313" i="9"/>
  <c r="Z313" i="9"/>
  <c r="AA313" i="9"/>
  <c r="V314" i="9"/>
  <c r="W314" i="9"/>
  <c r="X314" i="9"/>
  <c r="Y314" i="9"/>
  <c r="Z314" i="9"/>
  <c r="AA314" i="9"/>
  <c r="V315" i="9"/>
  <c r="W315" i="9"/>
  <c r="X315" i="9"/>
  <c r="Y315" i="9"/>
  <c r="Z315" i="9"/>
  <c r="AA315" i="9"/>
  <c r="V316" i="9"/>
  <c r="W316" i="9"/>
  <c r="X316" i="9"/>
  <c r="Y316" i="9"/>
  <c r="Z316" i="9"/>
  <c r="AA316" i="9"/>
  <c r="V317" i="9"/>
  <c r="W317" i="9"/>
  <c r="X317" i="9"/>
  <c r="Y317" i="9"/>
  <c r="Z317" i="9"/>
  <c r="AA317" i="9"/>
  <c r="V318" i="9"/>
  <c r="W318" i="9"/>
  <c r="X318" i="9"/>
  <c r="Y318" i="9"/>
  <c r="Z318" i="9"/>
  <c r="AA318" i="9"/>
  <c r="V319" i="9"/>
  <c r="W319" i="9"/>
  <c r="X319" i="9"/>
  <c r="Y319" i="9"/>
  <c r="Z319" i="9"/>
  <c r="AA319" i="9"/>
  <c r="V320" i="9"/>
  <c r="W320" i="9"/>
  <c r="X320" i="9"/>
  <c r="Y320" i="9"/>
  <c r="Z320" i="9"/>
  <c r="AA320" i="9"/>
  <c r="V321" i="9"/>
  <c r="W321" i="9"/>
  <c r="X321" i="9"/>
  <c r="Y321" i="9"/>
  <c r="Z321" i="9"/>
  <c r="AA321" i="9"/>
  <c r="V322" i="9"/>
  <c r="W322" i="9"/>
  <c r="X322" i="9"/>
  <c r="Y322" i="9"/>
  <c r="Z322" i="9"/>
  <c r="AA322" i="9"/>
  <c r="V323" i="9"/>
  <c r="W323" i="9"/>
  <c r="X323" i="9"/>
  <c r="Y323" i="9"/>
  <c r="Z323" i="9"/>
  <c r="AA323" i="9"/>
  <c r="V324" i="9"/>
  <c r="W324" i="9"/>
  <c r="X324" i="9"/>
  <c r="Y324" i="9"/>
  <c r="Z324" i="9"/>
  <c r="AA324" i="9"/>
  <c r="V325" i="9"/>
  <c r="W325" i="9"/>
  <c r="X325" i="9"/>
  <c r="Y325" i="9"/>
  <c r="Z325" i="9"/>
  <c r="AA325" i="9"/>
  <c r="V326" i="9"/>
  <c r="W326" i="9"/>
  <c r="X326" i="9"/>
  <c r="Y326" i="9"/>
  <c r="Z326" i="9"/>
  <c r="AA326" i="9"/>
  <c r="V327" i="9"/>
  <c r="W327" i="9"/>
  <c r="X327" i="9"/>
  <c r="Y327" i="9"/>
  <c r="Z327" i="9"/>
  <c r="AA327" i="9"/>
  <c r="V328" i="9"/>
  <c r="W328" i="9"/>
  <c r="X328" i="9"/>
  <c r="Y328" i="9"/>
  <c r="Z328" i="9"/>
  <c r="AA328" i="9"/>
  <c r="V329" i="9"/>
  <c r="W329" i="9"/>
  <c r="X329" i="9"/>
  <c r="Y329" i="9"/>
  <c r="Z329" i="9"/>
  <c r="AA329" i="9"/>
  <c r="V330" i="9"/>
  <c r="W330" i="9"/>
  <c r="X330" i="9"/>
  <c r="Y330" i="9"/>
  <c r="Z330" i="9"/>
  <c r="AA330" i="9"/>
  <c r="V331" i="9"/>
  <c r="W331" i="9"/>
  <c r="X331" i="9"/>
  <c r="Y331" i="9"/>
  <c r="Z331" i="9"/>
  <c r="AA331" i="9"/>
  <c r="V332" i="9"/>
  <c r="W332" i="9"/>
  <c r="X332" i="9"/>
  <c r="Y332" i="9"/>
  <c r="Z332" i="9"/>
  <c r="AA332" i="9"/>
  <c r="V333" i="9"/>
  <c r="W333" i="9"/>
  <c r="X333" i="9"/>
  <c r="Y333" i="9"/>
  <c r="Z333" i="9"/>
  <c r="AA333" i="9"/>
  <c r="V334" i="9"/>
  <c r="W334" i="9"/>
  <c r="X334" i="9"/>
  <c r="Y334" i="9"/>
  <c r="Z334" i="9"/>
  <c r="AA334" i="9"/>
  <c r="V335" i="9"/>
  <c r="W335" i="9"/>
  <c r="X335" i="9"/>
  <c r="Y335" i="9"/>
  <c r="Z335" i="9"/>
  <c r="AA335" i="9"/>
  <c r="V336" i="9"/>
  <c r="W336" i="9"/>
  <c r="X336" i="9"/>
  <c r="Y336" i="9"/>
  <c r="Z336" i="9"/>
  <c r="AA336" i="9"/>
  <c r="V337" i="9"/>
  <c r="W337" i="9"/>
  <c r="X337" i="9"/>
  <c r="Y337" i="9"/>
  <c r="Z337" i="9"/>
  <c r="AA337" i="9"/>
  <c r="V338" i="9"/>
  <c r="W338" i="9"/>
  <c r="X338" i="9"/>
  <c r="Y338" i="9"/>
  <c r="Z338" i="9"/>
  <c r="AA338" i="9"/>
  <c r="V339" i="9"/>
  <c r="W339" i="9"/>
  <c r="X339" i="9"/>
  <c r="Y339" i="9"/>
  <c r="Z339" i="9"/>
  <c r="AA339" i="9"/>
  <c r="V340" i="9"/>
  <c r="W340" i="9"/>
  <c r="X340" i="9"/>
  <c r="Y340" i="9"/>
  <c r="Z340" i="9"/>
  <c r="AA340" i="9"/>
  <c r="V341" i="9"/>
  <c r="W341" i="9"/>
  <c r="X341" i="9"/>
  <c r="Y341" i="9"/>
  <c r="Z341" i="9"/>
  <c r="AA341" i="9"/>
  <c r="V342" i="9"/>
  <c r="W342" i="9"/>
  <c r="X342" i="9"/>
  <c r="Y342" i="9"/>
  <c r="Z342" i="9"/>
  <c r="AA342" i="9"/>
  <c r="V343" i="9"/>
  <c r="W343" i="9"/>
  <c r="X343" i="9"/>
  <c r="Y343" i="9"/>
  <c r="Z343" i="9"/>
  <c r="AA343" i="9"/>
  <c r="V344" i="9"/>
  <c r="W344" i="9"/>
  <c r="X344" i="9"/>
  <c r="Y344" i="9"/>
  <c r="Z344" i="9"/>
  <c r="AA344" i="9"/>
  <c r="V345" i="9"/>
  <c r="W345" i="9"/>
  <c r="X345" i="9"/>
  <c r="Y345" i="9"/>
  <c r="Z345" i="9"/>
  <c r="AA345" i="9"/>
  <c r="V346" i="9"/>
  <c r="W346" i="9"/>
  <c r="X346" i="9"/>
  <c r="Y346" i="9"/>
  <c r="Z346" i="9"/>
  <c r="AA346" i="9"/>
  <c r="V347" i="9"/>
  <c r="W347" i="9"/>
  <c r="X347" i="9"/>
  <c r="Y347" i="9"/>
  <c r="Z347" i="9"/>
  <c r="AA347" i="9"/>
  <c r="V348" i="9"/>
  <c r="W348" i="9"/>
  <c r="X348" i="9"/>
  <c r="Y348" i="9"/>
  <c r="Z348" i="9"/>
  <c r="AA348" i="9"/>
  <c r="V349" i="9"/>
  <c r="W349" i="9"/>
  <c r="X349" i="9"/>
  <c r="Y349" i="9"/>
  <c r="Z349" i="9"/>
  <c r="AA349" i="9"/>
  <c r="V350" i="9"/>
  <c r="W350" i="9"/>
  <c r="X350" i="9"/>
  <c r="Y350" i="9"/>
  <c r="Z350" i="9"/>
  <c r="AA350" i="9"/>
  <c r="V351" i="9"/>
  <c r="W351" i="9"/>
  <c r="X351" i="9"/>
  <c r="Y351" i="9"/>
  <c r="Z351" i="9"/>
  <c r="AA351" i="9"/>
  <c r="V352" i="9"/>
  <c r="W352" i="9"/>
  <c r="X352" i="9"/>
  <c r="Y352" i="9"/>
  <c r="Z352" i="9"/>
  <c r="AA352" i="9"/>
  <c r="V353" i="9"/>
  <c r="W353" i="9"/>
  <c r="X353" i="9"/>
  <c r="Y353" i="9"/>
  <c r="Z353" i="9"/>
  <c r="AA353" i="9"/>
  <c r="V354" i="9"/>
  <c r="W354" i="9"/>
  <c r="X354" i="9"/>
  <c r="Y354" i="9"/>
  <c r="Z354" i="9"/>
  <c r="AA354" i="9"/>
  <c r="V355" i="9"/>
  <c r="W355" i="9"/>
  <c r="X355" i="9"/>
  <c r="Y355" i="9"/>
  <c r="Z355" i="9"/>
  <c r="AA355" i="9"/>
  <c r="V356" i="9"/>
  <c r="W356" i="9"/>
  <c r="X356" i="9"/>
  <c r="Y356" i="9"/>
  <c r="Z356" i="9"/>
  <c r="AA356" i="9"/>
  <c r="V357" i="9"/>
  <c r="W357" i="9"/>
  <c r="X357" i="9"/>
  <c r="Y357" i="9"/>
  <c r="Z357" i="9"/>
  <c r="AA357" i="9"/>
  <c r="V358" i="9"/>
  <c r="W358" i="9"/>
  <c r="X358" i="9"/>
  <c r="Y358" i="9"/>
  <c r="Z358" i="9"/>
  <c r="AA358" i="9"/>
  <c r="V359" i="9"/>
  <c r="W359" i="9"/>
  <c r="X359" i="9"/>
  <c r="Y359" i="9"/>
  <c r="Z359" i="9"/>
  <c r="AA359" i="9"/>
  <c r="V360" i="9"/>
  <c r="W360" i="9"/>
  <c r="X360" i="9"/>
  <c r="Y360" i="9"/>
  <c r="Z360" i="9"/>
  <c r="AA360" i="9"/>
  <c r="V361" i="9"/>
  <c r="W361" i="9"/>
  <c r="X361" i="9"/>
  <c r="Y361" i="9"/>
  <c r="Z361" i="9"/>
  <c r="AA361" i="9"/>
  <c r="V362" i="9"/>
  <c r="W362" i="9"/>
  <c r="X362" i="9"/>
  <c r="Y362" i="9"/>
  <c r="Z362" i="9"/>
  <c r="AA362" i="9"/>
  <c r="V363" i="9"/>
  <c r="W363" i="9"/>
  <c r="X363" i="9"/>
  <c r="Y363" i="9"/>
  <c r="Z363" i="9"/>
  <c r="AA363" i="9"/>
  <c r="V364" i="9"/>
  <c r="W364" i="9"/>
  <c r="X364" i="9"/>
  <c r="Y364" i="9"/>
  <c r="Z364" i="9"/>
  <c r="AA364" i="9"/>
  <c r="V365" i="9"/>
  <c r="W365" i="9"/>
  <c r="X365" i="9"/>
  <c r="Y365" i="9"/>
  <c r="Z365" i="9"/>
  <c r="AA365" i="9"/>
  <c r="V366" i="9"/>
  <c r="W366" i="9"/>
  <c r="X366" i="9"/>
  <c r="Y366" i="9"/>
  <c r="Z366" i="9"/>
  <c r="AA366" i="9"/>
  <c r="V367" i="9"/>
  <c r="W367" i="9"/>
  <c r="X367" i="9"/>
  <c r="Y367" i="9"/>
  <c r="Z367" i="9"/>
  <c r="AA367" i="9"/>
  <c r="V368" i="9"/>
  <c r="W368" i="9"/>
  <c r="X368" i="9"/>
  <c r="Y368" i="9"/>
  <c r="Z368" i="9"/>
  <c r="AA368" i="9"/>
  <c r="V369" i="9"/>
  <c r="W369" i="9"/>
  <c r="X369" i="9"/>
  <c r="Y369" i="9"/>
  <c r="Z369" i="9"/>
  <c r="AA369" i="9"/>
  <c r="V370" i="9"/>
  <c r="W370" i="9"/>
  <c r="X370" i="9"/>
  <c r="Y370" i="9"/>
  <c r="Z370" i="9"/>
  <c r="AA370" i="9"/>
  <c r="V371" i="9"/>
  <c r="W371" i="9"/>
  <c r="X371" i="9"/>
  <c r="Y371" i="9"/>
  <c r="Z371" i="9"/>
  <c r="AA371" i="9"/>
  <c r="V372" i="9"/>
  <c r="W372" i="9"/>
  <c r="X372" i="9"/>
  <c r="Y372" i="9"/>
  <c r="Z372" i="9"/>
  <c r="AA372" i="9"/>
  <c r="V373" i="9"/>
  <c r="W373" i="9"/>
  <c r="X373" i="9"/>
  <c r="Y373" i="9"/>
  <c r="Z373" i="9"/>
  <c r="AA373" i="9"/>
  <c r="V374" i="9"/>
  <c r="W374" i="9"/>
  <c r="X374" i="9"/>
  <c r="Y374" i="9"/>
  <c r="Z374" i="9"/>
  <c r="AA374" i="9"/>
  <c r="V375" i="9"/>
  <c r="W375" i="9"/>
  <c r="X375" i="9"/>
  <c r="Y375" i="9"/>
  <c r="Z375" i="9"/>
  <c r="AA375" i="9"/>
  <c r="V376" i="9"/>
  <c r="W376" i="9"/>
  <c r="X376" i="9"/>
  <c r="Y376" i="9"/>
  <c r="Z376" i="9"/>
  <c r="AA376" i="9"/>
  <c r="V377" i="9"/>
  <c r="W377" i="9"/>
  <c r="X377" i="9"/>
  <c r="Y377" i="9"/>
  <c r="Z377" i="9"/>
  <c r="AA377" i="9"/>
  <c r="V378" i="9"/>
  <c r="W378" i="9"/>
  <c r="X378" i="9"/>
  <c r="Y378" i="9"/>
  <c r="Z378" i="9"/>
  <c r="AA378" i="9"/>
  <c r="V379" i="9"/>
  <c r="W379" i="9"/>
  <c r="X379" i="9"/>
  <c r="Y379" i="9"/>
  <c r="Z379" i="9"/>
  <c r="AA379" i="9"/>
  <c r="V380" i="9"/>
  <c r="W380" i="9"/>
  <c r="X380" i="9"/>
  <c r="Y380" i="9"/>
  <c r="Z380" i="9"/>
  <c r="AA380" i="9"/>
  <c r="V381" i="9"/>
  <c r="W381" i="9"/>
  <c r="X381" i="9"/>
  <c r="Y381" i="9"/>
  <c r="Z381" i="9"/>
  <c r="AA381" i="9"/>
  <c r="V382" i="9"/>
  <c r="W382" i="9"/>
  <c r="X382" i="9"/>
  <c r="Y382" i="9"/>
  <c r="Z382" i="9"/>
  <c r="AA382" i="9"/>
  <c r="V383" i="9"/>
  <c r="W383" i="9"/>
  <c r="X383" i="9"/>
  <c r="Y383" i="9"/>
  <c r="Z383" i="9"/>
  <c r="AA383" i="9"/>
  <c r="V384" i="9"/>
  <c r="W384" i="9"/>
  <c r="X384" i="9"/>
  <c r="Y384" i="9"/>
  <c r="Z384" i="9"/>
  <c r="AA384" i="9"/>
  <c r="V385" i="9"/>
  <c r="W385" i="9"/>
  <c r="X385" i="9"/>
  <c r="Y385" i="9"/>
  <c r="Z385" i="9"/>
  <c r="AA385" i="9"/>
  <c r="V386" i="9"/>
  <c r="W386" i="9"/>
  <c r="X386" i="9"/>
  <c r="Y386" i="9"/>
  <c r="Z386" i="9"/>
  <c r="AA386" i="9"/>
  <c r="V387" i="9"/>
  <c r="W387" i="9"/>
  <c r="X387" i="9"/>
  <c r="Y387" i="9"/>
  <c r="Z387" i="9"/>
  <c r="AA387" i="9"/>
  <c r="V388" i="9"/>
  <c r="W388" i="9"/>
  <c r="X388" i="9"/>
  <c r="Y388" i="9"/>
  <c r="Z388" i="9"/>
  <c r="AA388" i="9"/>
  <c r="V389" i="9"/>
  <c r="W389" i="9"/>
  <c r="X389" i="9"/>
  <c r="Y389" i="9"/>
  <c r="Z389" i="9"/>
  <c r="AA389" i="9"/>
  <c r="V390" i="9"/>
  <c r="W390" i="9"/>
  <c r="X390" i="9"/>
  <c r="Y390" i="9"/>
  <c r="Z390" i="9"/>
  <c r="AA390" i="9"/>
  <c r="V391" i="9"/>
  <c r="W391" i="9"/>
  <c r="X391" i="9"/>
  <c r="Y391" i="9"/>
  <c r="Z391" i="9"/>
  <c r="AA391" i="9"/>
  <c r="V392" i="9"/>
  <c r="W392" i="9"/>
  <c r="X392" i="9"/>
  <c r="Y392" i="9"/>
  <c r="Z392" i="9"/>
  <c r="AA392" i="9"/>
  <c r="V393" i="9"/>
  <c r="W393" i="9"/>
  <c r="X393" i="9"/>
  <c r="Y393" i="9"/>
  <c r="Z393" i="9"/>
  <c r="AA393" i="9"/>
  <c r="V394" i="9"/>
  <c r="W394" i="9"/>
  <c r="X394" i="9"/>
  <c r="Y394" i="9"/>
  <c r="Z394" i="9"/>
  <c r="AA394" i="9"/>
  <c r="V395" i="9"/>
  <c r="W395" i="9"/>
  <c r="X395" i="9"/>
  <c r="Y395" i="9"/>
  <c r="Z395" i="9"/>
  <c r="AA395" i="9"/>
  <c r="V396" i="9"/>
  <c r="W396" i="9"/>
  <c r="X396" i="9"/>
  <c r="Y396" i="9"/>
  <c r="Z396" i="9"/>
  <c r="AA396" i="9"/>
  <c r="V397" i="9"/>
  <c r="W397" i="9"/>
  <c r="X397" i="9"/>
  <c r="Y397" i="9"/>
  <c r="Z397" i="9"/>
  <c r="AA397" i="9"/>
  <c r="V398" i="9"/>
  <c r="W398" i="9"/>
  <c r="X398" i="9"/>
  <c r="Y398" i="9"/>
  <c r="Z398" i="9"/>
  <c r="AA398" i="9"/>
  <c r="V399" i="9"/>
  <c r="W399" i="9"/>
  <c r="X399" i="9"/>
  <c r="Y399" i="9"/>
  <c r="Z399" i="9"/>
  <c r="AA399" i="9"/>
  <c r="V400" i="9"/>
  <c r="W400" i="9"/>
  <c r="X400" i="9"/>
  <c r="Y400" i="9"/>
  <c r="Z400" i="9"/>
  <c r="AA400" i="9"/>
  <c r="V401" i="9"/>
  <c r="W401" i="9"/>
  <c r="X401" i="9"/>
  <c r="Y401" i="9"/>
  <c r="Z401" i="9"/>
  <c r="AA401" i="9"/>
  <c r="V402" i="9"/>
  <c r="W402" i="9"/>
  <c r="X402" i="9"/>
  <c r="Y402" i="9"/>
  <c r="Z402" i="9"/>
  <c r="AA402" i="9"/>
  <c r="V403" i="9"/>
  <c r="W403" i="9"/>
  <c r="X403" i="9"/>
  <c r="Y403" i="9"/>
  <c r="Z403" i="9"/>
  <c r="AA403" i="9"/>
  <c r="V404" i="9"/>
  <c r="W404" i="9"/>
  <c r="X404" i="9"/>
  <c r="Y404" i="9"/>
  <c r="Z404" i="9"/>
  <c r="AA404" i="9"/>
  <c r="V405" i="9"/>
  <c r="W405" i="9"/>
  <c r="X405" i="9"/>
  <c r="Y405" i="9"/>
  <c r="Z405" i="9"/>
  <c r="AA405" i="9"/>
  <c r="V406" i="9"/>
  <c r="W406" i="9"/>
  <c r="X406" i="9"/>
  <c r="Y406" i="9"/>
  <c r="Z406" i="9"/>
  <c r="AA406" i="9"/>
  <c r="V407" i="9"/>
  <c r="W407" i="9"/>
  <c r="X407" i="9"/>
  <c r="Y407" i="9"/>
  <c r="Z407" i="9"/>
  <c r="AA407" i="9"/>
  <c r="V408" i="9"/>
  <c r="W408" i="9"/>
  <c r="X408" i="9"/>
  <c r="Y408" i="9"/>
  <c r="Z408" i="9"/>
  <c r="AA408" i="9"/>
  <c r="V409" i="9"/>
  <c r="W409" i="9"/>
  <c r="X409" i="9"/>
  <c r="Y409" i="9"/>
  <c r="Z409" i="9"/>
  <c r="AA409" i="9"/>
  <c r="V410" i="9"/>
  <c r="W410" i="9"/>
  <c r="X410" i="9"/>
  <c r="Y410" i="9"/>
  <c r="Z410" i="9"/>
  <c r="AA410" i="9"/>
  <c r="V411" i="9"/>
  <c r="W411" i="9"/>
  <c r="X411" i="9"/>
  <c r="Y411" i="9"/>
  <c r="Z411" i="9"/>
  <c r="AA411" i="9"/>
  <c r="V412" i="9"/>
  <c r="W412" i="9"/>
  <c r="X412" i="9"/>
  <c r="Y412" i="9"/>
  <c r="Z412" i="9"/>
  <c r="AA412" i="9"/>
  <c r="V413" i="9"/>
  <c r="W413" i="9"/>
  <c r="X413" i="9"/>
  <c r="Y413" i="9"/>
  <c r="Z413" i="9"/>
  <c r="AA413" i="9"/>
  <c r="V414" i="9"/>
  <c r="W414" i="9"/>
  <c r="X414" i="9"/>
  <c r="Y414" i="9"/>
  <c r="Z414" i="9"/>
  <c r="AA414" i="9"/>
  <c r="V415" i="9"/>
  <c r="W415" i="9"/>
  <c r="X415" i="9"/>
  <c r="Y415" i="9"/>
  <c r="Z415" i="9"/>
  <c r="AA415" i="9"/>
  <c r="V416" i="9"/>
  <c r="W416" i="9"/>
  <c r="X416" i="9"/>
  <c r="Y416" i="9"/>
  <c r="Z416" i="9"/>
  <c r="AA416" i="9"/>
  <c r="V417" i="9"/>
  <c r="W417" i="9"/>
  <c r="X417" i="9"/>
  <c r="Y417" i="9"/>
  <c r="Z417" i="9"/>
  <c r="AA417" i="9"/>
  <c r="V418" i="9"/>
  <c r="W418" i="9"/>
  <c r="X418" i="9"/>
  <c r="Y418" i="9"/>
  <c r="Z418" i="9"/>
  <c r="AA418" i="9"/>
  <c r="V419" i="9"/>
  <c r="W419" i="9"/>
  <c r="X419" i="9"/>
  <c r="Y419" i="9"/>
  <c r="Z419" i="9"/>
  <c r="AA419" i="9"/>
  <c r="V420" i="9"/>
  <c r="W420" i="9"/>
  <c r="X420" i="9"/>
  <c r="Y420" i="9"/>
  <c r="Z420" i="9"/>
  <c r="AA420" i="9"/>
  <c r="V421" i="9"/>
  <c r="W421" i="9"/>
  <c r="X421" i="9"/>
  <c r="Y421" i="9"/>
  <c r="Z421" i="9"/>
  <c r="AA421" i="9"/>
  <c r="V422" i="9"/>
  <c r="W422" i="9"/>
  <c r="X422" i="9"/>
  <c r="Y422" i="9"/>
  <c r="Z422" i="9"/>
  <c r="AA422" i="9"/>
  <c r="V423" i="9"/>
  <c r="W423" i="9"/>
  <c r="X423" i="9"/>
  <c r="Y423" i="9"/>
  <c r="Z423" i="9"/>
  <c r="AA423" i="9"/>
  <c r="V424" i="9"/>
  <c r="W424" i="9"/>
  <c r="X424" i="9"/>
  <c r="Y424" i="9"/>
  <c r="Z424" i="9"/>
  <c r="AA424" i="9"/>
  <c r="V425" i="9"/>
  <c r="W425" i="9"/>
  <c r="X425" i="9"/>
  <c r="Y425" i="9"/>
  <c r="Z425" i="9"/>
  <c r="AA425" i="9"/>
  <c r="V426" i="9"/>
  <c r="W426" i="9"/>
  <c r="X426" i="9"/>
  <c r="Y426" i="9"/>
  <c r="Z426" i="9"/>
  <c r="AA426" i="9"/>
  <c r="V427" i="9"/>
  <c r="W427" i="9"/>
  <c r="X427" i="9"/>
  <c r="Y427" i="9"/>
  <c r="Z427" i="9"/>
  <c r="AA427" i="9"/>
  <c r="V428" i="9"/>
  <c r="W428" i="9"/>
  <c r="X428" i="9"/>
  <c r="Y428" i="9"/>
  <c r="Z428" i="9"/>
  <c r="AA428" i="9"/>
  <c r="V429" i="9"/>
  <c r="W429" i="9"/>
  <c r="X429" i="9"/>
  <c r="Y429" i="9"/>
  <c r="Z429" i="9"/>
  <c r="AA429" i="9"/>
  <c r="V430" i="9"/>
  <c r="W430" i="9"/>
  <c r="X430" i="9"/>
  <c r="Y430" i="9"/>
  <c r="Z430" i="9"/>
  <c r="AA430" i="9"/>
  <c r="V431" i="9"/>
  <c r="W431" i="9"/>
  <c r="X431" i="9"/>
  <c r="Y431" i="9"/>
  <c r="Z431" i="9"/>
  <c r="AA431" i="9"/>
  <c r="V432" i="9"/>
  <c r="W432" i="9"/>
  <c r="X432" i="9"/>
  <c r="Y432" i="9"/>
  <c r="Z432" i="9"/>
  <c r="AA432" i="9"/>
  <c r="V433" i="9"/>
  <c r="W433" i="9"/>
  <c r="X433" i="9"/>
  <c r="Y433" i="9"/>
  <c r="Z433" i="9"/>
  <c r="AA433" i="9"/>
  <c r="V434" i="9"/>
  <c r="W434" i="9"/>
  <c r="X434" i="9"/>
  <c r="Y434" i="9"/>
  <c r="Z434" i="9"/>
  <c r="AA434" i="9"/>
  <c r="V435" i="9"/>
  <c r="W435" i="9"/>
  <c r="X435" i="9"/>
  <c r="Y435" i="9"/>
  <c r="Z435" i="9"/>
  <c r="AA435" i="9"/>
  <c r="V436" i="9"/>
  <c r="W436" i="9"/>
  <c r="X436" i="9"/>
  <c r="Y436" i="9"/>
  <c r="Z436" i="9"/>
  <c r="AA436" i="9"/>
  <c r="V437" i="9"/>
  <c r="W437" i="9"/>
  <c r="X437" i="9"/>
  <c r="Y437" i="9"/>
  <c r="Z437" i="9"/>
  <c r="AA437" i="9"/>
  <c r="V438" i="9"/>
  <c r="W438" i="9"/>
  <c r="X438" i="9"/>
  <c r="Y438" i="9"/>
  <c r="Z438" i="9"/>
  <c r="AA438" i="9"/>
  <c r="V439" i="9"/>
  <c r="W439" i="9"/>
  <c r="X439" i="9"/>
  <c r="Y439" i="9"/>
  <c r="Z439" i="9"/>
  <c r="AA439" i="9"/>
  <c r="V440" i="9"/>
  <c r="W440" i="9"/>
  <c r="X440" i="9"/>
  <c r="Y440" i="9"/>
  <c r="Z440" i="9"/>
  <c r="AA440" i="9"/>
  <c r="V441" i="9"/>
  <c r="W441" i="9"/>
  <c r="X441" i="9"/>
  <c r="Y441" i="9"/>
  <c r="Z441" i="9"/>
  <c r="AA441" i="9"/>
  <c r="V442" i="9"/>
  <c r="W442" i="9"/>
  <c r="X442" i="9"/>
  <c r="Y442" i="9"/>
  <c r="Z442" i="9"/>
  <c r="AA442" i="9"/>
  <c r="V443" i="9"/>
  <c r="W443" i="9"/>
  <c r="X443" i="9"/>
  <c r="Y443" i="9"/>
  <c r="Z443" i="9"/>
  <c r="AA443" i="9"/>
  <c r="V444" i="9"/>
  <c r="W444" i="9"/>
  <c r="X444" i="9"/>
  <c r="Y444" i="9"/>
  <c r="Z444" i="9"/>
  <c r="AA444" i="9"/>
  <c r="V445" i="9"/>
  <c r="W445" i="9"/>
  <c r="X445" i="9"/>
  <c r="Y445" i="9"/>
  <c r="Z445" i="9"/>
  <c r="AA445" i="9"/>
  <c r="V446" i="9"/>
  <c r="W446" i="9"/>
  <c r="X446" i="9"/>
  <c r="Y446" i="9"/>
  <c r="Z446" i="9"/>
  <c r="AA446" i="9"/>
  <c r="V447" i="9"/>
  <c r="W447" i="9"/>
  <c r="X447" i="9"/>
  <c r="Y447" i="9"/>
  <c r="Z447" i="9"/>
  <c r="AA447" i="9"/>
  <c r="V448" i="9"/>
  <c r="W448" i="9"/>
  <c r="X448" i="9"/>
  <c r="Y448" i="9"/>
  <c r="Z448" i="9"/>
  <c r="AA448" i="9"/>
  <c r="V449" i="9"/>
  <c r="W449" i="9"/>
  <c r="X449" i="9"/>
  <c r="Y449" i="9"/>
  <c r="Z449" i="9"/>
  <c r="AA449" i="9"/>
  <c r="V450" i="9"/>
  <c r="W450" i="9"/>
  <c r="X450" i="9"/>
  <c r="Y450" i="9"/>
  <c r="Z450" i="9"/>
  <c r="AA450" i="9"/>
  <c r="V451" i="9"/>
  <c r="W451" i="9"/>
  <c r="X451" i="9"/>
  <c r="Y451" i="9"/>
  <c r="Z451" i="9"/>
  <c r="AA451" i="9"/>
  <c r="V452" i="9"/>
  <c r="W452" i="9"/>
  <c r="X452" i="9"/>
  <c r="Y452" i="9"/>
  <c r="Z452" i="9"/>
  <c r="AA452" i="9"/>
  <c r="V453" i="9"/>
  <c r="W453" i="9"/>
  <c r="X453" i="9"/>
  <c r="Y453" i="9"/>
  <c r="Z453" i="9"/>
  <c r="AA453" i="9"/>
  <c r="V454" i="9"/>
  <c r="W454" i="9"/>
  <c r="X454" i="9"/>
  <c r="Y454" i="9"/>
  <c r="Z454" i="9"/>
  <c r="AA454" i="9"/>
  <c r="V455" i="9"/>
  <c r="W455" i="9"/>
  <c r="X455" i="9"/>
  <c r="Y455" i="9"/>
  <c r="Z455" i="9"/>
  <c r="AA455" i="9"/>
  <c r="V456" i="9"/>
  <c r="W456" i="9"/>
  <c r="X456" i="9"/>
  <c r="Y456" i="9"/>
  <c r="Z456" i="9"/>
  <c r="AA456" i="9"/>
  <c r="V457" i="9"/>
  <c r="W457" i="9"/>
  <c r="X457" i="9"/>
  <c r="Y457" i="9"/>
  <c r="Z457" i="9"/>
  <c r="AA457" i="9"/>
  <c r="V458" i="9"/>
  <c r="W458" i="9"/>
  <c r="X458" i="9"/>
  <c r="Y458" i="9"/>
  <c r="Z458" i="9"/>
  <c r="AA458" i="9"/>
  <c r="V459" i="9"/>
  <c r="W459" i="9"/>
  <c r="X459" i="9"/>
  <c r="Y459" i="9"/>
  <c r="Z459" i="9"/>
  <c r="AA459" i="9"/>
  <c r="V460" i="9"/>
  <c r="W460" i="9"/>
  <c r="X460" i="9"/>
  <c r="Y460" i="9"/>
  <c r="Z460" i="9"/>
  <c r="AA460" i="9"/>
  <c r="V461" i="9"/>
  <c r="W461" i="9"/>
  <c r="X461" i="9"/>
  <c r="Y461" i="9"/>
  <c r="Z461" i="9"/>
  <c r="AA461" i="9"/>
  <c r="V462" i="9"/>
  <c r="W462" i="9"/>
  <c r="X462" i="9"/>
  <c r="Y462" i="9"/>
  <c r="Z462" i="9"/>
  <c r="AA462" i="9"/>
  <c r="V463" i="9"/>
  <c r="W463" i="9"/>
  <c r="X463" i="9"/>
  <c r="Y463" i="9"/>
  <c r="Z463" i="9"/>
  <c r="AA463" i="9"/>
  <c r="V464" i="9"/>
  <c r="W464" i="9"/>
  <c r="X464" i="9"/>
  <c r="Y464" i="9"/>
  <c r="Z464" i="9"/>
  <c r="AA464" i="9"/>
  <c r="V465" i="9"/>
  <c r="W465" i="9"/>
  <c r="X465" i="9"/>
  <c r="Y465" i="9"/>
  <c r="Z465" i="9"/>
  <c r="AA465" i="9"/>
  <c r="V466" i="9"/>
  <c r="W466" i="9"/>
  <c r="X466" i="9"/>
  <c r="Y466" i="9"/>
  <c r="Z466" i="9"/>
  <c r="AA466" i="9"/>
  <c r="V467" i="9"/>
  <c r="W467" i="9"/>
  <c r="X467" i="9"/>
  <c r="Y467" i="9"/>
  <c r="Z467" i="9"/>
  <c r="AA467" i="9"/>
  <c r="V468" i="9"/>
  <c r="W468" i="9"/>
  <c r="X468" i="9"/>
  <c r="Y468" i="9"/>
  <c r="Z468" i="9"/>
  <c r="AA468" i="9"/>
  <c r="V469" i="9"/>
  <c r="W469" i="9"/>
  <c r="X469" i="9"/>
  <c r="Y469" i="9"/>
  <c r="Z469" i="9"/>
  <c r="AA469" i="9"/>
  <c r="V470" i="9"/>
  <c r="W470" i="9"/>
  <c r="X470" i="9"/>
  <c r="Y470" i="9"/>
  <c r="Z470" i="9"/>
  <c r="AA470" i="9"/>
  <c r="V471" i="9"/>
  <c r="W471" i="9"/>
  <c r="X471" i="9"/>
  <c r="Y471" i="9"/>
  <c r="Z471" i="9"/>
  <c r="AA471" i="9"/>
  <c r="V472" i="9"/>
  <c r="W472" i="9"/>
  <c r="X472" i="9"/>
  <c r="Y472" i="9"/>
  <c r="Z472" i="9"/>
  <c r="AA472" i="9"/>
  <c r="V473" i="9"/>
  <c r="W473" i="9"/>
  <c r="X473" i="9"/>
  <c r="Y473" i="9"/>
  <c r="Z473" i="9"/>
  <c r="AA473" i="9"/>
  <c r="V474" i="9"/>
  <c r="W474" i="9"/>
  <c r="X474" i="9"/>
  <c r="Y474" i="9"/>
  <c r="Z474" i="9"/>
  <c r="AA474" i="9"/>
  <c r="V475" i="9"/>
  <c r="W475" i="9"/>
  <c r="X475" i="9"/>
  <c r="Y475" i="9"/>
  <c r="Z475" i="9"/>
  <c r="AA475" i="9"/>
  <c r="V476" i="9"/>
  <c r="W476" i="9"/>
  <c r="X476" i="9"/>
  <c r="Y476" i="9"/>
  <c r="Z476" i="9"/>
  <c r="AA476" i="9"/>
  <c r="V477" i="9"/>
  <c r="W477" i="9"/>
  <c r="X477" i="9"/>
  <c r="Y477" i="9"/>
  <c r="Z477" i="9"/>
  <c r="AA477" i="9"/>
  <c r="V478" i="9"/>
  <c r="W478" i="9"/>
  <c r="X478" i="9"/>
  <c r="Y478" i="9"/>
  <c r="Z478" i="9"/>
  <c r="AA478" i="9"/>
  <c r="V479" i="9"/>
  <c r="W479" i="9"/>
  <c r="X479" i="9"/>
  <c r="Y479" i="9"/>
  <c r="Z479" i="9"/>
  <c r="AA479" i="9"/>
  <c r="V480" i="9"/>
  <c r="W480" i="9"/>
  <c r="X480" i="9"/>
  <c r="Y480" i="9"/>
  <c r="Z480" i="9"/>
  <c r="AA480" i="9"/>
  <c r="V481" i="9"/>
  <c r="W481" i="9"/>
  <c r="X481" i="9"/>
  <c r="Y481" i="9"/>
  <c r="Z481" i="9"/>
  <c r="AA481" i="9"/>
  <c r="V482" i="9"/>
  <c r="W482" i="9"/>
  <c r="X482" i="9"/>
  <c r="Y482" i="9"/>
  <c r="Z482" i="9"/>
  <c r="AA482" i="9"/>
  <c r="V483" i="9"/>
  <c r="W483" i="9"/>
  <c r="X483" i="9"/>
  <c r="Y483" i="9"/>
  <c r="Z483" i="9"/>
  <c r="AA483" i="9"/>
  <c r="V484" i="9"/>
  <c r="W484" i="9"/>
  <c r="X484" i="9"/>
  <c r="Y484" i="9"/>
  <c r="Z484" i="9"/>
  <c r="AA484" i="9"/>
  <c r="V485" i="9"/>
  <c r="W485" i="9"/>
  <c r="X485" i="9"/>
  <c r="Y485" i="9"/>
  <c r="Z485" i="9"/>
  <c r="AA485" i="9"/>
  <c r="V486" i="9"/>
  <c r="W486" i="9"/>
  <c r="X486" i="9"/>
  <c r="Y486" i="9"/>
  <c r="Z486" i="9"/>
  <c r="AA486" i="9"/>
  <c r="V487" i="9"/>
  <c r="W487" i="9"/>
  <c r="X487" i="9"/>
  <c r="Y487" i="9"/>
  <c r="Z487" i="9"/>
  <c r="AA487" i="9"/>
  <c r="V488" i="9"/>
  <c r="W488" i="9"/>
  <c r="X488" i="9"/>
  <c r="Y488" i="9"/>
  <c r="Z488" i="9"/>
  <c r="AA488" i="9"/>
  <c r="V489" i="9"/>
  <c r="W489" i="9"/>
  <c r="X489" i="9"/>
  <c r="Y489" i="9"/>
  <c r="Z489" i="9"/>
  <c r="AA489" i="9"/>
  <c r="V490" i="9"/>
  <c r="W490" i="9"/>
  <c r="X490" i="9"/>
  <c r="Y490" i="9"/>
  <c r="Z490" i="9"/>
  <c r="AA490" i="9"/>
  <c r="V491" i="9"/>
  <c r="W491" i="9"/>
  <c r="X491" i="9"/>
  <c r="Y491" i="9"/>
  <c r="Z491" i="9"/>
  <c r="AA491" i="9"/>
  <c r="V492" i="9"/>
  <c r="W492" i="9"/>
  <c r="X492" i="9"/>
  <c r="Y492" i="9"/>
  <c r="Z492" i="9"/>
  <c r="AA492" i="9"/>
  <c r="V493" i="9"/>
  <c r="W493" i="9"/>
  <c r="X493" i="9"/>
  <c r="Y493" i="9"/>
  <c r="Z493" i="9"/>
  <c r="AA493" i="9"/>
  <c r="V494" i="9"/>
  <c r="W494" i="9"/>
  <c r="X494" i="9"/>
  <c r="Y494" i="9"/>
  <c r="Z494" i="9"/>
  <c r="AA494" i="9"/>
  <c r="V495" i="9"/>
  <c r="W495" i="9"/>
  <c r="X495" i="9"/>
  <c r="Y495" i="9"/>
  <c r="Z495" i="9"/>
  <c r="AA495" i="9"/>
  <c r="V496" i="9"/>
  <c r="W496" i="9"/>
  <c r="X496" i="9"/>
  <c r="Y496" i="9"/>
  <c r="Z496" i="9"/>
  <c r="AA496" i="9"/>
  <c r="V497" i="9"/>
  <c r="W497" i="9"/>
  <c r="X497" i="9"/>
  <c r="Y497" i="9"/>
  <c r="Z497" i="9"/>
  <c r="AA497" i="9"/>
  <c r="V498" i="9"/>
  <c r="W498" i="9"/>
  <c r="X498" i="9"/>
  <c r="Y498" i="9"/>
  <c r="Z498" i="9"/>
  <c r="AA498" i="9"/>
  <c r="V499" i="9"/>
  <c r="W499" i="9"/>
  <c r="X499" i="9"/>
  <c r="Y499" i="9"/>
  <c r="Z499" i="9"/>
  <c r="AA499" i="9"/>
  <c r="V500" i="9"/>
  <c r="W500" i="9"/>
  <c r="X500" i="9"/>
  <c r="Y500" i="9"/>
  <c r="Z500" i="9"/>
  <c r="AA500" i="9"/>
  <c r="V501" i="9"/>
  <c r="W501" i="9"/>
  <c r="X501" i="9"/>
  <c r="Y501" i="9"/>
  <c r="Z501" i="9"/>
  <c r="AA501" i="9"/>
  <c r="V502" i="9"/>
  <c r="W502" i="9"/>
  <c r="X502" i="9"/>
  <c r="Y502" i="9"/>
  <c r="Z502" i="9"/>
  <c r="AA502" i="9"/>
  <c r="V503" i="9"/>
  <c r="W503" i="9"/>
  <c r="X503" i="9"/>
  <c r="Y503" i="9"/>
  <c r="Z503" i="9"/>
  <c r="AA503" i="9"/>
  <c r="V504" i="9"/>
  <c r="W504" i="9"/>
  <c r="X504" i="9"/>
  <c r="Y504" i="9"/>
  <c r="Z504" i="9"/>
  <c r="AA504" i="9"/>
  <c r="V505" i="9"/>
  <c r="W505" i="9"/>
  <c r="X505" i="9"/>
  <c r="Y505" i="9"/>
  <c r="Z505" i="9"/>
  <c r="AA505" i="9"/>
  <c r="V506" i="9"/>
  <c r="W506" i="9"/>
  <c r="X506" i="9"/>
  <c r="Y506" i="9"/>
  <c r="Z506" i="9"/>
  <c r="AA506" i="9"/>
  <c r="V507" i="9"/>
  <c r="W507" i="9"/>
  <c r="X507" i="9"/>
  <c r="Y507" i="9"/>
  <c r="Z507" i="9"/>
  <c r="AA507" i="9"/>
  <c r="V508" i="9"/>
  <c r="W508" i="9"/>
  <c r="X508" i="9"/>
  <c r="Y508" i="9"/>
  <c r="Z508" i="9"/>
  <c r="AA508" i="9"/>
  <c r="V509" i="9"/>
  <c r="W509" i="9"/>
  <c r="X509" i="9"/>
  <c r="Y509" i="9"/>
  <c r="Z509" i="9"/>
  <c r="AA509" i="9"/>
  <c r="V510" i="9"/>
  <c r="W510" i="9"/>
  <c r="X510" i="9"/>
  <c r="Y510" i="9"/>
  <c r="Z510" i="9"/>
  <c r="AA510" i="9"/>
  <c r="V511" i="9"/>
  <c r="W511" i="9"/>
  <c r="X511" i="9"/>
  <c r="Y511" i="9"/>
  <c r="Z511" i="9"/>
  <c r="AA511" i="9"/>
  <c r="V512" i="9"/>
  <c r="W512" i="9"/>
  <c r="X512" i="9"/>
  <c r="Y512" i="9"/>
  <c r="Z512" i="9"/>
  <c r="AA512" i="9"/>
  <c r="V513" i="9"/>
  <c r="W513" i="9"/>
  <c r="X513" i="9"/>
  <c r="Y513" i="9"/>
  <c r="Z513" i="9"/>
  <c r="AA513" i="9"/>
  <c r="V514" i="9"/>
  <c r="W514" i="9"/>
  <c r="X514" i="9"/>
  <c r="Y514" i="9"/>
  <c r="Z514" i="9"/>
  <c r="AA514" i="9"/>
  <c r="V515" i="9"/>
  <c r="W515" i="9"/>
  <c r="X515" i="9"/>
  <c r="Y515" i="9"/>
  <c r="Z515" i="9"/>
  <c r="AA515" i="9"/>
  <c r="V516" i="9"/>
  <c r="W516" i="9"/>
  <c r="X516" i="9"/>
  <c r="Y516" i="9"/>
  <c r="Z516" i="9"/>
  <c r="AA516" i="9"/>
  <c r="V517" i="9"/>
  <c r="W517" i="9"/>
  <c r="X517" i="9"/>
  <c r="Y517" i="9"/>
  <c r="Z517" i="9"/>
  <c r="AA517" i="9"/>
  <c r="V518" i="9"/>
  <c r="W518" i="9"/>
  <c r="X518" i="9"/>
  <c r="Y518" i="9"/>
  <c r="Z518" i="9"/>
  <c r="AA518" i="9"/>
  <c r="V519" i="9"/>
  <c r="W519" i="9"/>
  <c r="X519" i="9"/>
  <c r="Y519" i="9"/>
  <c r="Z519" i="9"/>
  <c r="AA519" i="9"/>
  <c r="V520" i="9"/>
  <c r="W520" i="9"/>
  <c r="X520" i="9"/>
  <c r="Y520" i="9"/>
  <c r="Z520" i="9"/>
  <c r="AA520" i="9"/>
  <c r="V521" i="9"/>
  <c r="W521" i="9"/>
  <c r="X521" i="9"/>
  <c r="Y521" i="9"/>
  <c r="Z521" i="9"/>
  <c r="AA521" i="9"/>
  <c r="V522" i="9"/>
  <c r="W522" i="9"/>
  <c r="X522" i="9"/>
  <c r="Y522" i="9"/>
  <c r="Z522" i="9"/>
  <c r="AA522" i="9"/>
  <c r="V523" i="9"/>
  <c r="W523" i="9"/>
  <c r="X523" i="9"/>
  <c r="Y523" i="9"/>
  <c r="Z523" i="9"/>
  <c r="AA523" i="9"/>
  <c r="V524" i="9"/>
  <c r="W524" i="9"/>
  <c r="X524" i="9"/>
  <c r="Y524" i="9"/>
  <c r="Z524" i="9"/>
  <c r="AA524" i="9"/>
  <c r="V525" i="9"/>
  <c r="W525" i="9"/>
  <c r="X525" i="9"/>
  <c r="Y525" i="9"/>
  <c r="Z525" i="9"/>
  <c r="AA525" i="9"/>
  <c r="V526" i="9"/>
  <c r="W526" i="9"/>
  <c r="X526" i="9"/>
  <c r="Y526" i="9"/>
  <c r="Z526" i="9"/>
  <c r="AA526" i="9"/>
  <c r="V527" i="9"/>
  <c r="W527" i="9"/>
  <c r="X527" i="9"/>
  <c r="Y527" i="9"/>
  <c r="Z527" i="9"/>
  <c r="AA527" i="9"/>
  <c r="V528" i="9"/>
  <c r="W528" i="9"/>
  <c r="X528" i="9"/>
  <c r="Y528" i="9"/>
  <c r="Z528" i="9"/>
  <c r="AA528" i="9"/>
  <c r="V529" i="9"/>
  <c r="W529" i="9"/>
  <c r="X529" i="9"/>
  <c r="Y529" i="9"/>
  <c r="Z529" i="9"/>
  <c r="AA529" i="9"/>
  <c r="V530" i="9"/>
  <c r="W530" i="9"/>
  <c r="X530" i="9"/>
  <c r="Y530" i="9"/>
  <c r="Z530" i="9"/>
  <c r="AA530" i="9"/>
  <c r="V531" i="9"/>
  <c r="W531" i="9"/>
  <c r="X531" i="9"/>
  <c r="Y531" i="9"/>
  <c r="Z531" i="9"/>
  <c r="AA531" i="9"/>
  <c r="V532" i="9"/>
  <c r="W532" i="9"/>
  <c r="X532" i="9"/>
  <c r="Y532" i="9"/>
  <c r="Z532" i="9"/>
  <c r="AA532" i="9"/>
  <c r="V533" i="9"/>
  <c r="W533" i="9"/>
  <c r="X533" i="9"/>
  <c r="Y533" i="9"/>
  <c r="Z533" i="9"/>
  <c r="AA533" i="9"/>
  <c r="V534" i="9"/>
  <c r="W534" i="9"/>
  <c r="X534" i="9"/>
  <c r="Y534" i="9"/>
  <c r="Z534" i="9"/>
  <c r="AA534" i="9"/>
  <c r="V535" i="9"/>
  <c r="W535" i="9"/>
  <c r="X535" i="9"/>
  <c r="Y535" i="9"/>
  <c r="Z535" i="9"/>
  <c r="AA535" i="9"/>
  <c r="V536" i="9"/>
  <c r="W536" i="9"/>
  <c r="X536" i="9"/>
  <c r="Y536" i="9"/>
  <c r="Z536" i="9"/>
  <c r="AA536" i="9"/>
  <c r="V537" i="9"/>
  <c r="W537" i="9"/>
  <c r="X537" i="9"/>
  <c r="Y537" i="9"/>
  <c r="Z537" i="9"/>
  <c r="AA537" i="9"/>
  <c r="V538" i="9"/>
  <c r="W538" i="9"/>
  <c r="X538" i="9"/>
  <c r="Y538" i="9"/>
  <c r="Z538" i="9"/>
  <c r="AA538" i="9"/>
  <c r="V539" i="9"/>
  <c r="W539" i="9"/>
  <c r="X539" i="9"/>
  <c r="Y539" i="9"/>
  <c r="Z539" i="9"/>
  <c r="AA539" i="9"/>
  <c r="V540" i="9"/>
  <c r="W540" i="9"/>
  <c r="X540" i="9"/>
  <c r="Y540" i="9"/>
  <c r="Z540" i="9"/>
  <c r="AA540" i="9"/>
  <c r="V541" i="9"/>
  <c r="W541" i="9"/>
  <c r="X541" i="9"/>
  <c r="Y541" i="9"/>
  <c r="Z541" i="9"/>
  <c r="AA541" i="9"/>
  <c r="V542" i="9"/>
  <c r="W542" i="9"/>
  <c r="X542" i="9"/>
  <c r="Y542" i="9"/>
  <c r="Z542" i="9"/>
  <c r="AA542" i="9"/>
  <c r="V543" i="9"/>
  <c r="W543" i="9"/>
  <c r="X543" i="9"/>
  <c r="Y543" i="9"/>
  <c r="Z543" i="9"/>
  <c r="AA543" i="9"/>
  <c r="V544" i="9"/>
  <c r="W544" i="9"/>
  <c r="X544" i="9"/>
  <c r="Y544" i="9"/>
  <c r="Z544" i="9"/>
  <c r="AA544" i="9"/>
  <c r="V545" i="9"/>
  <c r="W545" i="9"/>
  <c r="X545" i="9"/>
  <c r="Y545" i="9"/>
  <c r="Z545" i="9"/>
  <c r="AA545" i="9"/>
  <c r="V546" i="9"/>
  <c r="W546" i="9"/>
  <c r="X546" i="9"/>
  <c r="Y546" i="9"/>
  <c r="Z546" i="9"/>
  <c r="AA546" i="9"/>
  <c r="V547" i="9"/>
  <c r="W547" i="9"/>
  <c r="X547" i="9"/>
  <c r="Y547" i="9"/>
  <c r="Z547" i="9"/>
  <c r="AA547" i="9"/>
  <c r="V548" i="9"/>
  <c r="W548" i="9"/>
  <c r="X548" i="9"/>
  <c r="Y548" i="9"/>
  <c r="Z548" i="9"/>
  <c r="AA548" i="9"/>
  <c r="V549" i="9"/>
  <c r="W549" i="9"/>
  <c r="X549" i="9"/>
  <c r="Y549" i="9"/>
  <c r="Z549" i="9"/>
  <c r="AA549" i="9"/>
  <c r="V550" i="9"/>
  <c r="W550" i="9"/>
  <c r="X550" i="9"/>
  <c r="Y550" i="9"/>
  <c r="Z550" i="9"/>
  <c r="AA550" i="9"/>
  <c r="V551" i="9"/>
  <c r="W551" i="9"/>
  <c r="X551" i="9"/>
  <c r="Y551" i="9"/>
  <c r="Z551" i="9"/>
  <c r="AA551" i="9"/>
  <c r="V552" i="9"/>
  <c r="W552" i="9"/>
  <c r="X552" i="9"/>
  <c r="Y552" i="9"/>
  <c r="Z552" i="9"/>
  <c r="AA552" i="9"/>
  <c r="V553" i="9"/>
  <c r="W553" i="9"/>
  <c r="X553" i="9"/>
  <c r="Y553" i="9"/>
  <c r="Z553" i="9"/>
  <c r="AA553" i="9"/>
  <c r="V554" i="9"/>
  <c r="W554" i="9"/>
  <c r="X554" i="9"/>
  <c r="Y554" i="9"/>
  <c r="Z554" i="9"/>
  <c r="AA554" i="9"/>
  <c r="V555" i="9"/>
  <c r="W555" i="9"/>
  <c r="X555" i="9"/>
  <c r="Y555" i="9"/>
  <c r="Z555" i="9"/>
  <c r="AA555" i="9"/>
  <c r="V556" i="9"/>
  <c r="W556" i="9"/>
  <c r="X556" i="9"/>
  <c r="Y556" i="9"/>
  <c r="Z556" i="9"/>
  <c r="AA556" i="9"/>
  <c r="V557" i="9"/>
  <c r="W557" i="9"/>
  <c r="X557" i="9"/>
  <c r="Y557" i="9"/>
  <c r="Z557" i="9"/>
  <c r="AA557" i="9"/>
  <c r="V558" i="9"/>
  <c r="W558" i="9"/>
  <c r="X558" i="9"/>
  <c r="Y558" i="9"/>
  <c r="Z558" i="9"/>
  <c r="AA558" i="9"/>
  <c r="V559" i="9"/>
  <c r="W559" i="9"/>
  <c r="X559" i="9"/>
  <c r="Y559" i="9"/>
  <c r="Z559" i="9"/>
  <c r="AA559" i="9"/>
  <c r="V560" i="9"/>
  <c r="W560" i="9"/>
  <c r="X560" i="9"/>
  <c r="Y560" i="9"/>
  <c r="Z560" i="9"/>
  <c r="AA560" i="9"/>
  <c r="V561" i="9"/>
  <c r="W561" i="9"/>
  <c r="X561" i="9"/>
  <c r="Y561" i="9"/>
  <c r="Z561" i="9"/>
  <c r="AA561" i="9"/>
  <c r="V562" i="9"/>
  <c r="W562" i="9"/>
  <c r="X562" i="9"/>
  <c r="Y562" i="9"/>
  <c r="Z562" i="9"/>
  <c r="AA562" i="9"/>
  <c r="V563" i="9"/>
  <c r="W563" i="9"/>
  <c r="X563" i="9"/>
  <c r="Y563" i="9"/>
  <c r="Z563" i="9"/>
  <c r="AA563" i="9"/>
  <c r="V564" i="9"/>
  <c r="W564" i="9"/>
  <c r="X564" i="9"/>
  <c r="Y564" i="9"/>
  <c r="Z564" i="9"/>
  <c r="AA564" i="9"/>
  <c r="V565" i="9"/>
  <c r="W565" i="9"/>
  <c r="X565" i="9"/>
  <c r="Y565" i="9"/>
  <c r="Z565" i="9"/>
  <c r="AA565" i="9"/>
  <c r="V566" i="9"/>
  <c r="W566" i="9"/>
  <c r="X566" i="9"/>
  <c r="Y566" i="9"/>
  <c r="Z566" i="9"/>
  <c r="AA566" i="9"/>
  <c r="V567" i="9"/>
  <c r="W567" i="9"/>
  <c r="X567" i="9"/>
  <c r="Y567" i="9"/>
  <c r="Z567" i="9"/>
  <c r="AA567" i="9"/>
  <c r="V568" i="9"/>
  <c r="W568" i="9"/>
  <c r="X568" i="9"/>
  <c r="Y568" i="9"/>
  <c r="Z568" i="9"/>
  <c r="AA568" i="9"/>
  <c r="V569" i="9"/>
  <c r="W569" i="9"/>
  <c r="X569" i="9"/>
  <c r="Y569" i="9"/>
  <c r="Z569" i="9"/>
  <c r="AA569" i="9"/>
  <c r="V570" i="9"/>
  <c r="W570" i="9"/>
  <c r="X570" i="9"/>
  <c r="Y570" i="9"/>
  <c r="Z570" i="9"/>
  <c r="AA570" i="9"/>
  <c r="V571" i="9"/>
  <c r="W571" i="9"/>
  <c r="X571" i="9"/>
  <c r="Y571" i="9"/>
  <c r="Z571" i="9"/>
  <c r="AA571" i="9"/>
  <c r="V572" i="9"/>
  <c r="W572" i="9"/>
  <c r="X572" i="9"/>
  <c r="Y572" i="9"/>
  <c r="Z572" i="9"/>
  <c r="AA572" i="9"/>
  <c r="V573" i="9"/>
  <c r="W573" i="9"/>
  <c r="X573" i="9"/>
  <c r="Y573" i="9"/>
  <c r="Z573" i="9"/>
  <c r="AA573" i="9"/>
  <c r="V574" i="9"/>
  <c r="W574" i="9"/>
  <c r="X574" i="9"/>
  <c r="Y574" i="9"/>
  <c r="Z574" i="9"/>
  <c r="AA574" i="9"/>
  <c r="V575" i="9"/>
  <c r="W575" i="9"/>
  <c r="X575" i="9"/>
  <c r="Y575" i="9"/>
  <c r="Z575" i="9"/>
  <c r="AA575" i="9"/>
  <c r="V576" i="9"/>
  <c r="W576" i="9"/>
  <c r="X576" i="9"/>
  <c r="Y576" i="9"/>
  <c r="Z576" i="9"/>
  <c r="AA576" i="9"/>
  <c r="V577" i="9"/>
  <c r="W577" i="9"/>
  <c r="X577" i="9"/>
  <c r="Y577" i="9"/>
  <c r="Z577" i="9"/>
  <c r="AA577" i="9"/>
  <c r="V578" i="9"/>
  <c r="W578" i="9"/>
  <c r="X578" i="9"/>
  <c r="Y578" i="9"/>
  <c r="Z578" i="9"/>
  <c r="AA578" i="9"/>
  <c r="V579" i="9"/>
  <c r="W579" i="9"/>
  <c r="X579" i="9"/>
  <c r="Y579" i="9"/>
  <c r="Z579" i="9"/>
  <c r="AA579" i="9"/>
  <c r="V580" i="9"/>
  <c r="W580" i="9"/>
  <c r="X580" i="9"/>
  <c r="Y580" i="9"/>
  <c r="Z580" i="9"/>
  <c r="AA580" i="9"/>
  <c r="V581" i="9"/>
  <c r="W581" i="9"/>
  <c r="X581" i="9"/>
  <c r="Y581" i="9"/>
  <c r="Z581" i="9"/>
  <c r="AA581" i="9"/>
  <c r="V582" i="9"/>
  <c r="W582" i="9"/>
  <c r="X582" i="9"/>
  <c r="Y582" i="9"/>
  <c r="Z582" i="9"/>
  <c r="AA582" i="9"/>
  <c r="V583" i="9"/>
  <c r="W583" i="9"/>
  <c r="X583" i="9"/>
  <c r="Y583" i="9"/>
  <c r="Z583" i="9"/>
  <c r="AA583" i="9"/>
  <c r="V584" i="9"/>
  <c r="W584" i="9"/>
  <c r="X584" i="9"/>
  <c r="Y584" i="9"/>
  <c r="Z584" i="9"/>
  <c r="AA584" i="9"/>
  <c r="V585" i="9"/>
  <c r="W585" i="9"/>
  <c r="X585" i="9"/>
  <c r="Y585" i="9"/>
  <c r="Z585" i="9"/>
  <c r="AA585" i="9"/>
  <c r="V586" i="9"/>
  <c r="W586" i="9"/>
  <c r="X586" i="9"/>
  <c r="Y586" i="9"/>
  <c r="Z586" i="9"/>
  <c r="AA586" i="9"/>
  <c r="V587" i="9"/>
  <c r="W587" i="9"/>
  <c r="X587" i="9"/>
  <c r="Y587" i="9"/>
  <c r="Z587" i="9"/>
  <c r="AA587" i="9"/>
  <c r="V588" i="9"/>
  <c r="W588" i="9"/>
  <c r="X588" i="9"/>
  <c r="Y588" i="9"/>
  <c r="Z588" i="9"/>
  <c r="AA588" i="9"/>
  <c r="V589" i="9"/>
  <c r="W589" i="9"/>
  <c r="X589" i="9"/>
  <c r="Y589" i="9"/>
  <c r="Z589" i="9"/>
  <c r="AA589" i="9"/>
  <c r="V590" i="9"/>
  <c r="W590" i="9"/>
  <c r="X590" i="9"/>
  <c r="Y590" i="9"/>
  <c r="Z590" i="9"/>
  <c r="AA590" i="9"/>
  <c r="V591" i="9"/>
  <c r="W591" i="9"/>
  <c r="X591" i="9"/>
  <c r="Y591" i="9"/>
  <c r="Z591" i="9"/>
  <c r="AA591" i="9"/>
  <c r="V592" i="9"/>
  <c r="W592" i="9"/>
  <c r="X592" i="9"/>
  <c r="Y592" i="9"/>
  <c r="Z592" i="9"/>
  <c r="AA592" i="9"/>
  <c r="V593" i="9"/>
  <c r="W593" i="9"/>
  <c r="X593" i="9"/>
  <c r="Y593" i="9"/>
  <c r="Z593" i="9"/>
  <c r="AA593" i="9"/>
  <c r="V594" i="9"/>
  <c r="W594" i="9"/>
  <c r="X594" i="9"/>
  <c r="Y594" i="9"/>
  <c r="Z594" i="9"/>
  <c r="AA594" i="9"/>
  <c r="V595" i="9"/>
  <c r="W595" i="9"/>
  <c r="X595" i="9"/>
  <c r="Y595" i="9"/>
  <c r="Z595" i="9"/>
  <c r="AA595" i="9"/>
  <c r="V596" i="9"/>
  <c r="W596" i="9"/>
  <c r="X596" i="9"/>
  <c r="Y596" i="9"/>
  <c r="Z596" i="9"/>
  <c r="AA596" i="9"/>
  <c r="V597" i="9"/>
  <c r="W597" i="9"/>
  <c r="X597" i="9"/>
  <c r="Y597" i="9"/>
  <c r="Z597" i="9"/>
  <c r="AA597" i="9"/>
  <c r="V598" i="9"/>
  <c r="W598" i="9"/>
  <c r="X598" i="9"/>
  <c r="Y598" i="9"/>
  <c r="Z598" i="9"/>
  <c r="AA598" i="9"/>
  <c r="V599" i="9"/>
  <c r="W599" i="9"/>
  <c r="X599" i="9"/>
  <c r="Y599" i="9"/>
  <c r="Z599" i="9"/>
  <c r="AA599" i="9"/>
  <c r="V600" i="9"/>
  <c r="W600" i="9"/>
  <c r="X600" i="9"/>
  <c r="Y600" i="9"/>
  <c r="Z600" i="9"/>
  <c r="AA600" i="9"/>
  <c r="V601" i="9"/>
  <c r="W601" i="9"/>
  <c r="X601" i="9"/>
  <c r="Y601" i="9"/>
  <c r="Z601" i="9"/>
  <c r="AA601" i="9"/>
  <c r="V602" i="9"/>
  <c r="W602" i="9"/>
  <c r="X602" i="9"/>
  <c r="Y602" i="9"/>
  <c r="Z602" i="9"/>
  <c r="AA602" i="9"/>
  <c r="V603" i="9"/>
  <c r="W603" i="9"/>
  <c r="X603" i="9"/>
  <c r="Y603" i="9"/>
  <c r="Z603" i="9"/>
  <c r="AA603" i="9"/>
  <c r="V604" i="9"/>
  <c r="W604" i="9"/>
  <c r="X604" i="9"/>
  <c r="Y604" i="9"/>
  <c r="Z604" i="9"/>
  <c r="AA604" i="9"/>
  <c r="V605" i="9"/>
  <c r="W605" i="9"/>
  <c r="X605" i="9"/>
  <c r="Y605" i="9"/>
  <c r="Z605" i="9"/>
  <c r="AA605" i="9"/>
  <c r="V606" i="9"/>
  <c r="W606" i="9"/>
  <c r="X606" i="9"/>
  <c r="Y606" i="9"/>
  <c r="Z606" i="9"/>
  <c r="AA606" i="9"/>
  <c r="V607" i="9"/>
  <c r="W607" i="9"/>
  <c r="X607" i="9"/>
  <c r="Y607" i="9"/>
  <c r="Z607" i="9"/>
  <c r="AA607" i="9"/>
  <c r="V608" i="9"/>
  <c r="W608" i="9"/>
  <c r="X608" i="9"/>
  <c r="Y608" i="9"/>
  <c r="Z608" i="9"/>
  <c r="AA608" i="9"/>
  <c r="V609" i="9"/>
  <c r="W609" i="9"/>
  <c r="X609" i="9"/>
  <c r="Y609" i="9"/>
  <c r="Z609" i="9"/>
  <c r="AA609" i="9"/>
  <c r="V610" i="9"/>
  <c r="W610" i="9"/>
  <c r="X610" i="9"/>
  <c r="Y610" i="9"/>
  <c r="Z610" i="9"/>
  <c r="AA610" i="9"/>
  <c r="V611" i="9"/>
  <c r="W611" i="9"/>
  <c r="X611" i="9"/>
  <c r="Y611" i="9"/>
  <c r="Z611" i="9"/>
  <c r="AA611" i="9"/>
  <c r="V612" i="9"/>
  <c r="W612" i="9"/>
  <c r="X612" i="9"/>
  <c r="Y612" i="9"/>
  <c r="Z612" i="9"/>
  <c r="AA612" i="9"/>
  <c r="V613" i="9"/>
  <c r="W613" i="9"/>
  <c r="X613" i="9"/>
  <c r="Y613" i="9"/>
  <c r="Z613" i="9"/>
  <c r="AA613" i="9"/>
  <c r="V614" i="9"/>
  <c r="W614" i="9"/>
  <c r="X614" i="9"/>
  <c r="Y614" i="9"/>
  <c r="Z614" i="9"/>
  <c r="AA614" i="9"/>
  <c r="V615" i="9"/>
  <c r="W615" i="9"/>
  <c r="X615" i="9"/>
  <c r="Y615" i="9"/>
  <c r="Z615" i="9"/>
  <c r="AA615" i="9"/>
  <c r="V616" i="9"/>
  <c r="W616" i="9"/>
  <c r="X616" i="9"/>
  <c r="Y616" i="9"/>
  <c r="Z616" i="9"/>
  <c r="AA616" i="9"/>
  <c r="V617" i="9"/>
  <c r="W617" i="9"/>
  <c r="X617" i="9"/>
  <c r="Y617" i="9"/>
  <c r="Z617" i="9"/>
  <c r="AA617" i="9"/>
  <c r="V618" i="9"/>
  <c r="W618" i="9"/>
  <c r="X618" i="9"/>
  <c r="Y618" i="9"/>
  <c r="Z618" i="9"/>
  <c r="AA618" i="9"/>
  <c r="V619" i="9"/>
  <c r="W619" i="9"/>
  <c r="X619" i="9"/>
  <c r="Y619" i="9"/>
  <c r="Z619" i="9"/>
  <c r="AA619" i="9"/>
  <c r="V620" i="9"/>
  <c r="W620" i="9"/>
  <c r="X620" i="9"/>
  <c r="Y620" i="9"/>
  <c r="Z620" i="9"/>
  <c r="AA620" i="9"/>
  <c r="V621" i="9"/>
  <c r="W621" i="9"/>
  <c r="X621" i="9"/>
  <c r="Y621" i="9"/>
  <c r="Z621" i="9"/>
  <c r="AA621" i="9"/>
  <c r="V622" i="9"/>
  <c r="W622" i="9"/>
  <c r="X622" i="9"/>
  <c r="Y622" i="9"/>
  <c r="Z622" i="9"/>
  <c r="AA622" i="9"/>
  <c r="V623" i="9"/>
  <c r="W623" i="9"/>
  <c r="X623" i="9"/>
  <c r="Y623" i="9"/>
  <c r="Z623" i="9"/>
  <c r="AA623" i="9"/>
  <c r="V624" i="9"/>
  <c r="W624" i="9"/>
  <c r="X624" i="9"/>
  <c r="Y624" i="9"/>
  <c r="Z624" i="9"/>
  <c r="AA624" i="9"/>
  <c r="V625" i="9"/>
  <c r="W625" i="9"/>
  <c r="X625" i="9"/>
  <c r="Y625" i="9"/>
  <c r="Z625" i="9"/>
  <c r="AA625" i="9"/>
  <c r="V626" i="9"/>
  <c r="W626" i="9"/>
  <c r="X626" i="9"/>
  <c r="Y626" i="9"/>
  <c r="Z626" i="9"/>
  <c r="AA626" i="9"/>
  <c r="V627" i="9"/>
  <c r="W627" i="9"/>
  <c r="X627" i="9"/>
  <c r="Y627" i="9"/>
  <c r="Z627" i="9"/>
  <c r="AA627" i="9"/>
  <c r="V628" i="9"/>
  <c r="W628" i="9"/>
  <c r="X628" i="9"/>
  <c r="Y628" i="9"/>
  <c r="Z628" i="9"/>
  <c r="AA628" i="9"/>
  <c r="V629" i="9"/>
  <c r="W629" i="9"/>
  <c r="X629" i="9"/>
  <c r="Y629" i="9"/>
  <c r="Z629" i="9"/>
  <c r="AA629" i="9"/>
  <c r="V630" i="9"/>
  <c r="W630" i="9"/>
  <c r="X630" i="9"/>
  <c r="Y630" i="9"/>
  <c r="Z630" i="9"/>
  <c r="AA630" i="9"/>
  <c r="V631" i="9"/>
  <c r="W631" i="9"/>
  <c r="X631" i="9"/>
  <c r="Y631" i="9"/>
  <c r="Z631" i="9"/>
  <c r="AA631" i="9"/>
  <c r="V632" i="9"/>
  <c r="W632" i="9"/>
  <c r="X632" i="9"/>
  <c r="Y632" i="9"/>
  <c r="Z632" i="9"/>
  <c r="AA632" i="9"/>
  <c r="V633" i="9"/>
  <c r="W633" i="9"/>
  <c r="X633" i="9"/>
  <c r="Y633" i="9"/>
  <c r="Z633" i="9"/>
  <c r="AA633" i="9"/>
  <c r="V634" i="9"/>
  <c r="W634" i="9"/>
  <c r="X634" i="9"/>
  <c r="Y634" i="9"/>
  <c r="Z634" i="9"/>
  <c r="AA634" i="9"/>
  <c r="V635" i="9"/>
  <c r="W635" i="9"/>
  <c r="X635" i="9"/>
  <c r="Y635" i="9"/>
  <c r="Z635" i="9"/>
  <c r="AA635" i="9"/>
  <c r="V636" i="9"/>
  <c r="W636" i="9"/>
  <c r="X636" i="9"/>
  <c r="Y636" i="9"/>
  <c r="Z636" i="9"/>
  <c r="AA636" i="9"/>
  <c r="V637" i="9"/>
  <c r="W637" i="9"/>
  <c r="X637" i="9"/>
  <c r="Y637" i="9"/>
  <c r="Z637" i="9"/>
  <c r="AA637" i="9"/>
  <c r="V638" i="9"/>
  <c r="W638" i="9"/>
  <c r="X638" i="9"/>
  <c r="Y638" i="9"/>
  <c r="Z638" i="9"/>
  <c r="AA638" i="9"/>
  <c r="V639" i="9"/>
  <c r="W639" i="9"/>
  <c r="X639" i="9"/>
  <c r="Y639" i="9"/>
  <c r="Z639" i="9"/>
  <c r="AA639" i="9"/>
  <c r="V640" i="9"/>
  <c r="W640" i="9"/>
  <c r="X640" i="9"/>
  <c r="Y640" i="9"/>
  <c r="Z640" i="9"/>
  <c r="AA640" i="9"/>
  <c r="V641" i="9"/>
  <c r="W641" i="9"/>
  <c r="X641" i="9"/>
  <c r="Y641" i="9"/>
  <c r="Z641" i="9"/>
  <c r="AA641" i="9"/>
  <c r="V642" i="9"/>
  <c r="W642" i="9"/>
  <c r="X642" i="9"/>
  <c r="Y642" i="9"/>
  <c r="Z642" i="9"/>
  <c r="AA642" i="9"/>
  <c r="V643" i="9"/>
  <c r="W643" i="9"/>
  <c r="X643" i="9"/>
  <c r="Y643" i="9"/>
  <c r="Z643" i="9"/>
  <c r="AA643" i="9"/>
  <c r="V644" i="9"/>
  <c r="W644" i="9"/>
  <c r="X644" i="9"/>
  <c r="Y644" i="9"/>
  <c r="Z644" i="9"/>
  <c r="AA644" i="9"/>
  <c r="V645" i="9"/>
  <c r="W645" i="9"/>
  <c r="X645" i="9"/>
  <c r="Y645" i="9"/>
  <c r="Z645" i="9"/>
  <c r="AA645" i="9"/>
  <c r="V646" i="9"/>
  <c r="W646" i="9"/>
  <c r="X646" i="9"/>
  <c r="Y646" i="9"/>
  <c r="Z646" i="9"/>
  <c r="AA646" i="9"/>
  <c r="V647" i="9"/>
  <c r="W647" i="9"/>
  <c r="X647" i="9"/>
  <c r="Y647" i="9"/>
  <c r="Z647" i="9"/>
  <c r="AA647" i="9"/>
  <c r="V648" i="9"/>
  <c r="W648" i="9"/>
  <c r="X648" i="9"/>
  <c r="Y648" i="9"/>
  <c r="Z648" i="9"/>
  <c r="AA648" i="9"/>
  <c r="V649" i="9"/>
  <c r="W649" i="9"/>
  <c r="X649" i="9"/>
  <c r="Y649" i="9"/>
  <c r="Z649" i="9"/>
  <c r="AA649" i="9"/>
  <c r="V650" i="9"/>
  <c r="W650" i="9"/>
  <c r="X650" i="9"/>
  <c r="Y650" i="9"/>
  <c r="Z650" i="9"/>
  <c r="AA650" i="9"/>
  <c r="V651" i="9"/>
  <c r="W651" i="9"/>
  <c r="X651" i="9"/>
  <c r="Y651" i="9"/>
  <c r="Z651" i="9"/>
  <c r="AA651" i="9"/>
  <c r="V652" i="9"/>
  <c r="W652" i="9"/>
  <c r="X652" i="9"/>
  <c r="Y652" i="9"/>
  <c r="Z652" i="9"/>
  <c r="AA652" i="9"/>
  <c r="V653" i="9"/>
  <c r="W653" i="9"/>
  <c r="X653" i="9"/>
  <c r="Y653" i="9"/>
  <c r="Z653" i="9"/>
  <c r="AA653" i="9"/>
  <c r="V654" i="9"/>
  <c r="W654" i="9"/>
  <c r="X654" i="9"/>
  <c r="Y654" i="9"/>
  <c r="Z654" i="9"/>
  <c r="AA654" i="9"/>
  <c r="V655" i="9"/>
  <c r="W655" i="9"/>
  <c r="X655" i="9"/>
  <c r="Y655" i="9"/>
  <c r="Z655" i="9"/>
  <c r="AA655" i="9"/>
  <c r="V656" i="9"/>
  <c r="W656" i="9"/>
  <c r="X656" i="9"/>
  <c r="Y656" i="9"/>
  <c r="Z656" i="9"/>
  <c r="AA656" i="9"/>
  <c r="V657" i="9"/>
  <c r="W657" i="9"/>
  <c r="X657" i="9"/>
  <c r="Y657" i="9"/>
  <c r="Z657" i="9"/>
  <c r="AA657" i="9"/>
  <c r="V658" i="9"/>
  <c r="W658" i="9"/>
  <c r="X658" i="9"/>
  <c r="Y658" i="9"/>
  <c r="Z658" i="9"/>
  <c r="AA658" i="9"/>
  <c r="V659" i="9"/>
  <c r="W659" i="9"/>
  <c r="X659" i="9"/>
  <c r="Y659" i="9"/>
  <c r="Z659" i="9"/>
  <c r="AA659" i="9"/>
  <c r="V660" i="9"/>
  <c r="W660" i="9"/>
  <c r="X660" i="9"/>
  <c r="Y660" i="9"/>
  <c r="Z660" i="9"/>
  <c r="AA660" i="9"/>
  <c r="V661" i="9"/>
  <c r="W661" i="9"/>
  <c r="X661" i="9"/>
  <c r="Y661" i="9"/>
  <c r="Z661" i="9"/>
  <c r="AA661" i="9"/>
  <c r="V662" i="9"/>
  <c r="W662" i="9"/>
  <c r="X662" i="9"/>
  <c r="Y662" i="9"/>
  <c r="Z662" i="9"/>
  <c r="AA662" i="9"/>
  <c r="V663" i="9"/>
  <c r="W663" i="9"/>
  <c r="X663" i="9"/>
  <c r="Y663" i="9"/>
  <c r="Z663" i="9"/>
  <c r="AA663" i="9"/>
  <c r="V664" i="9"/>
  <c r="W664" i="9"/>
  <c r="X664" i="9"/>
  <c r="Y664" i="9"/>
  <c r="Z664" i="9"/>
  <c r="AA664" i="9"/>
  <c r="V665" i="9"/>
  <c r="W665" i="9"/>
  <c r="X665" i="9"/>
  <c r="Y665" i="9"/>
  <c r="Z665" i="9"/>
  <c r="AA665" i="9"/>
  <c r="V666" i="9"/>
  <c r="W666" i="9"/>
  <c r="X666" i="9"/>
  <c r="Y666" i="9"/>
  <c r="Z666" i="9"/>
  <c r="AA666" i="9"/>
  <c r="V667" i="9"/>
  <c r="W667" i="9"/>
  <c r="X667" i="9"/>
  <c r="Y667" i="9"/>
  <c r="Z667" i="9"/>
  <c r="AA667" i="9"/>
  <c r="V668" i="9"/>
  <c r="W668" i="9"/>
  <c r="X668" i="9"/>
  <c r="Y668" i="9"/>
  <c r="Z668" i="9"/>
  <c r="AA668" i="9"/>
  <c r="V669" i="9"/>
  <c r="W669" i="9"/>
  <c r="X669" i="9"/>
  <c r="Y669" i="9"/>
  <c r="Z669" i="9"/>
  <c r="AA669" i="9"/>
  <c r="V670" i="9"/>
  <c r="W670" i="9"/>
  <c r="X670" i="9"/>
  <c r="Y670" i="9"/>
  <c r="Z670" i="9"/>
  <c r="AA670" i="9"/>
  <c r="V671" i="9"/>
  <c r="W671" i="9"/>
  <c r="X671" i="9"/>
  <c r="Y671" i="9"/>
  <c r="Z671" i="9"/>
  <c r="AA671" i="9"/>
  <c r="V672" i="9"/>
  <c r="W672" i="9"/>
  <c r="X672" i="9"/>
  <c r="Y672" i="9"/>
  <c r="Z672" i="9"/>
  <c r="AA672" i="9"/>
  <c r="V673" i="9"/>
  <c r="W673" i="9"/>
  <c r="X673" i="9"/>
  <c r="Y673" i="9"/>
  <c r="Z673" i="9"/>
  <c r="AA673" i="9"/>
  <c r="V674" i="9"/>
  <c r="W674" i="9"/>
  <c r="X674" i="9"/>
  <c r="Y674" i="9"/>
  <c r="Z674" i="9"/>
  <c r="AA674" i="9"/>
  <c r="V675" i="9"/>
  <c r="W675" i="9"/>
  <c r="X675" i="9"/>
  <c r="Y675" i="9"/>
  <c r="Z675" i="9"/>
  <c r="AA675" i="9"/>
  <c r="V676" i="9"/>
  <c r="W676" i="9"/>
  <c r="X676" i="9"/>
  <c r="Y676" i="9"/>
  <c r="Z676" i="9"/>
  <c r="AA676" i="9"/>
  <c r="V677" i="9"/>
  <c r="W677" i="9"/>
  <c r="X677" i="9"/>
  <c r="Y677" i="9"/>
  <c r="Z677" i="9"/>
  <c r="AA677" i="9"/>
  <c r="V678" i="9"/>
  <c r="W678" i="9"/>
  <c r="X678" i="9"/>
  <c r="Y678" i="9"/>
  <c r="Z678" i="9"/>
  <c r="AA678" i="9"/>
  <c r="V679" i="9"/>
  <c r="W679" i="9"/>
  <c r="X679" i="9"/>
  <c r="Y679" i="9"/>
  <c r="Z679" i="9"/>
  <c r="AA679" i="9"/>
  <c r="V680" i="9"/>
  <c r="W680" i="9"/>
  <c r="X680" i="9"/>
  <c r="Y680" i="9"/>
  <c r="Z680" i="9"/>
  <c r="AA680" i="9"/>
  <c r="V681" i="9"/>
  <c r="W681" i="9"/>
  <c r="X681" i="9"/>
  <c r="Y681" i="9"/>
  <c r="Z681" i="9"/>
  <c r="AA681" i="9"/>
  <c r="V682" i="9"/>
  <c r="W682" i="9"/>
  <c r="X682" i="9"/>
  <c r="Y682" i="9"/>
  <c r="Z682" i="9"/>
  <c r="AA682" i="9"/>
  <c r="V683" i="9"/>
  <c r="W683" i="9"/>
  <c r="X683" i="9"/>
  <c r="Y683" i="9"/>
  <c r="Z683" i="9"/>
  <c r="AA683" i="9"/>
  <c r="V684" i="9"/>
  <c r="W684" i="9"/>
  <c r="X684" i="9"/>
  <c r="Y684" i="9"/>
  <c r="Z684" i="9"/>
  <c r="AA684" i="9"/>
  <c r="V685" i="9"/>
  <c r="W685" i="9"/>
  <c r="X685" i="9"/>
  <c r="Y685" i="9"/>
  <c r="Z685" i="9"/>
  <c r="AA685" i="9"/>
  <c r="V686" i="9"/>
  <c r="W686" i="9"/>
  <c r="X686" i="9"/>
  <c r="Y686" i="9"/>
  <c r="Z686" i="9"/>
  <c r="AA686" i="9"/>
  <c r="V687" i="9"/>
  <c r="W687" i="9"/>
  <c r="X687" i="9"/>
  <c r="Y687" i="9"/>
  <c r="Z687" i="9"/>
  <c r="AA687" i="9"/>
  <c r="V688" i="9"/>
  <c r="W688" i="9"/>
  <c r="X688" i="9"/>
  <c r="Y688" i="9"/>
  <c r="Z688" i="9"/>
  <c r="AA688" i="9"/>
  <c r="V689" i="9"/>
  <c r="W689" i="9"/>
  <c r="X689" i="9"/>
  <c r="Y689" i="9"/>
  <c r="Z689" i="9"/>
  <c r="AA689" i="9"/>
  <c r="V690" i="9"/>
  <c r="W690" i="9"/>
  <c r="X690" i="9"/>
  <c r="Y690" i="9"/>
  <c r="Z690" i="9"/>
  <c r="AA690" i="9"/>
  <c r="V691" i="9"/>
  <c r="W691" i="9"/>
  <c r="X691" i="9"/>
  <c r="Y691" i="9"/>
  <c r="Z691" i="9"/>
  <c r="AA691" i="9"/>
  <c r="V692" i="9"/>
  <c r="W692" i="9"/>
  <c r="X692" i="9"/>
  <c r="Y692" i="9"/>
  <c r="Z692" i="9"/>
  <c r="AA692" i="9"/>
  <c r="V693" i="9"/>
  <c r="W693" i="9"/>
  <c r="X693" i="9"/>
  <c r="Y693" i="9"/>
  <c r="Z693" i="9"/>
  <c r="AA693" i="9"/>
  <c r="V694" i="9"/>
  <c r="W694" i="9"/>
  <c r="X694" i="9"/>
  <c r="Y694" i="9"/>
  <c r="Z694" i="9"/>
  <c r="AA694" i="9"/>
  <c r="V695" i="9"/>
  <c r="W695" i="9"/>
  <c r="X695" i="9"/>
  <c r="Y695" i="9"/>
  <c r="Z695" i="9"/>
  <c r="AA695" i="9"/>
  <c r="V696" i="9"/>
  <c r="W696" i="9"/>
  <c r="X696" i="9"/>
  <c r="Y696" i="9"/>
  <c r="Z696" i="9"/>
  <c r="AA696" i="9"/>
  <c r="V697" i="9"/>
  <c r="W697" i="9"/>
  <c r="X697" i="9"/>
  <c r="Y697" i="9"/>
  <c r="Z697" i="9"/>
  <c r="AA697" i="9"/>
  <c r="V698" i="9"/>
  <c r="W698" i="9"/>
  <c r="X698" i="9"/>
  <c r="Y698" i="9"/>
  <c r="Z698" i="9"/>
  <c r="AA698" i="9"/>
  <c r="V699" i="9"/>
  <c r="W699" i="9"/>
  <c r="X699" i="9"/>
  <c r="Y699" i="9"/>
  <c r="Z699" i="9"/>
  <c r="AA699" i="9"/>
  <c r="V700" i="9"/>
  <c r="W700" i="9"/>
  <c r="X700" i="9"/>
  <c r="Y700" i="9"/>
  <c r="Z700" i="9"/>
  <c r="AA700" i="9"/>
  <c r="V701" i="9"/>
  <c r="W701" i="9"/>
  <c r="X701" i="9"/>
  <c r="Y701" i="9"/>
  <c r="Z701" i="9"/>
  <c r="AA701" i="9"/>
  <c r="V702" i="9"/>
  <c r="W702" i="9"/>
  <c r="X702" i="9"/>
  <c r="Y702" i="9"/>
  <c r="Z702" i="9"/>
  <c r="AA702" i="9"/>
  <c r="V703" i="9"/>
  <c r="W703" i="9"/>
  <c r="X703" i="9"/>
  <c r="Y703" i="9"/>
  <c r="Z703" i="9"/>
  <c r="AA703" i="9"/>
  <c r="V704" i="9"/>
  <c r="W704" i="9"/>
  <c r="X704" i="9"/>
  <c r="Y704" i="9"/>
  <c r="Z704" i="9"/>
  <c r="AA704" i="9"/>
  <c r="V705" i="9"/>
  <c r="W705" i="9"/>
  <c r="X705" i="9"/>
  <c r="Y705" i="9"/>
  <c r="Z705" i="9"/>
  <c r="AA705" i="9"/>
  <c r="V706" i="9"/>
  <c r="W706" i="9"/>
  <c r="X706" i="9"/>
  <c r="Y706" i="9"/>
  <c r="Z706" i="9"/>
  <c r="AA706" i="9"/>
  <c r="V707" i="9"/>
  <c r="W707" i="9"/>
  <c r="X707" i="9"/>
  <c r="Y707" i="9"/>
  <c r="Z707" i="9"/>
  <c r="AA707" i="9"/>
  <c r="V708" i="9"/>
  <c r="W708" i="9"/>
  <c r="X708" i="9"/>
  <c r="Y708" i="9"/>
  <c r="Z708" i="9"/>
  <c r="AA708" i="9"/>
  <c r="V709" i="9"/>
  <c r="W709" i="9"/>
  <c r="X709" i="9"/>
  <c r="Y709" i="9"/>
  <c r="Z709" i="9"/>
  <c r="AA709" i="9"/>
  <c r="V710" i="9"/>
  <c r="W710" i="9"/>
  <c r="X710" i="9"/>
  <c r="Y710" i="9"/>
  <c r="Z710" i="9"/>
  <c r="AA710" i="9"/>
  <c r="V711" i="9"/>
  <c r="W711" i="9"/>
  <c r="X711" i="9"/>
  <c r="Y711" i="9"/>
  <c r="Z711" i="9"/>
  <c r="AA711" i="9"/>
  <c r="V712" i="9"/>
  <c r="W712" i="9"/>
  <c r="X712" i="9"/>
  <c r="Y712" i="9"/>
  <c r="Z712" i="9"/>
  <c r="AA712" i="9"/>
  <c r="V713" i="9"/>
  <c r="W713" i="9"/>
  <c r="X713" i="9"/>
  <c r="Y713" i="9"/>
  <c r="Z713" i="9"/>
  <c r="AA713" i="9"/>
  <c r="V714" i="9"/>
  <c r="W714" i="9"/>
  <c r="X714" i="9"/>
  <c r="Y714" i="9"/>
  <c r="Z714" i="9"/>
  <c r="AA714" i="9"/>
  <c r="V715" i="9"/>
  <c r="W715" i="9"/>
  <c r="X715" i="9"/>
  <c r="Y715" i="9"/>
  <c r="Z715" i="9"/>
  <c r="AA715" i="9"/>
  <c r="V716" i="9"/>
  <c r="W716" i="9"/>
  <c r="X716" i="9"/>
  <c r="Y716" i="9"/>
  <c r="Z716" i="9"/>
  <c r="AA716" i="9"/>
  <c r="V717" i="9"/>
  <c r="W717" i="9"/>
  <c r="X717" i="9"/>
  <c r="Y717" i="9"/>
  <c r="Z717" i="9"/>
  <c r="AA717" i="9"/>
  <c r="V718" i="9"/>
  <c r="W718" i="9"/>
  <c r="X718" i="9"/>
  <c r="Y718" i="9"/>
  <c r="Z718" i="9"/>
  <c r="AA718" i="9"/>
  <c r="V719" i="9"/>
  <c r="W719" i="9"/>
  <c r="X719" i="9"/>
  <c r="Y719" i="9"/>
  <c r="Z719" i="9"/>
  <c r="AA719" i="9"/>
  <c r="V720" i="9"/>
  <c r="W720" i="9"/>
  <c r="X720" i="9"/>
  <c r="Y720" i="9"/>
  <c r="Z720" i="9"/>
  <c r="AA720" i="9"/>
  <c r="V721" i="9"/>
  <c r="W721" i="9"/>
  <c r="X721" i="9"/>
  <c r="Y721" i="9"/>
  <c r="Z721" i="9"/>
  <c r="AA721" i="9"/>
  <c r="V722" i="9"/>
  <c r="W722" i="9"/>
  <c r="X722" i="9"/>
  <c r="Y722" i="9"/>
  <c r="Z722" i="9"/>
  <c r="AA722" i="9"/>
  <c r="V723" i="9"/>
  <c r="W723" i="9"/>
  <c r="X723" i="9"/>
  <c r="Y723" i="9"/>
  <c r="Z723" i="9"/>
  <c r="AA723" i="9"/>
  <c r="V724" i="9"/>
  <c r="W724" i="9"/>
  <c r="X724" i="9"/>
  <c r="Y724" i="9"/>
  <c r="Z724" i="9"/>
  <c r="AA724" i="9"/>
  <c r="V725" i="9"/>
  <c r="W725" i="9"/>
  <c r="X725" i="9"/>
  <c r="Y725" i="9"/>
  <c r="Z725" i="9"/>
  <c r="AA725" i="9"/>
  <c r="V726" i="9"/>
  <c r="W726" i="9"/>
  <c r="X726" i="9"/>
  <c r="Y726" i="9"/>
  <c r="Z726" i="9"/>
  <c r="AA726" i="9"/>
  <c r="V727" i="9"/>
  <c r="W727" i="9"/>
  <c r="X727" i="9"/>
  <c r="Y727" i="9"/>
  <c r="Z727" i="9"/>
  <c r="AA727" i="9"/>
  <c r="V728" i="9"/>
  <c r="W728" i="9"/>
  <c r="X728" i="9"/>
  <c r="Y728" i="9"/>
  <c r="Z728" i="9"/>
  <c r="AA728" i="9"/>
  <c r="V729" i="9"/>
  <c r="W729" i="9"/>
  <c r="X729" i="9"/>
  <c r="Y729" i="9"/>
  <c r="Z729" i="9"/>
  <c r="AA729" i="9"/>
  <c r="V730" i="9"/>
  <c r="W730" i="9"/>
  <c r="X730" i="9"/>
  <c r="Y730" i="9"/>
  <c r="Z730" i="9"/>
  <c r="AA730" i="9"/>
  <c r="V731" i="9"/>
  <c r="W731" i="9"/>
  <c r="X731" i="9"/>
  <c r="Y731" i="9"/>
  <c r="Z731" i="9"/>
  <c r="AA731" i="9"/>
  <c r="V732" i="9"/>
  <c r="W732" i="9"/>
  <c r="X732" i="9"/>
  <c r="Y732" i="9"/>
  <c r="Z732" i="9"/>
  <c r="AA732" i="9"/>
  <c r="V733" i="9"/>
  <c r="W733" i="9"/>
  <c r="X733" i="9"/>
  <c r="Y733" i="9"/>
  <c r="Z733" i="9"/>
  <c r="AA733" i="9"/>
  <c r="V734" i="9"/>
  <c r="W734" i="9"/>
  <c r="X734" i="9"/>
  <c r="Y734" i="9"/>
  <c r="Z734" i="9"/>
  <c r="AA734" i="9"/>
  <c r="V735" i="9"/>
  <c r="W735" i="9"/>
  <c r="X735" i="9"/>
  <c r="Y735" i="9"/>
  <c r="Z735" i="9"/>
  <c r="AA735" i="9"/>
  <c r="V736" i="9"/>
  <c r="W736" i="9"/>
  <c r="X736" i="9"/>
  <c r="Y736" i="9"/>
  <c r="Z736" i="9"/>
  <c r="AA736" i="9"/>
  <c r="V737" i="9"/>
  <c r="W737" i="9"/>
  <c r="X737" i="9"/>
  <c r="Y737" i="9"/>
  <c r="Z737" i="9"/>
  <c r="AA737" i="9"/>
  <c r="V738" i="9"/>
  <c r="W738" i="9"/>
  <c r="X738" i="9"/>
  <c r="Y738" i="9"/>
  <c r="Z738" i="9"/>
  <c r="AA738" i="9"/>
  <c r="V739" i="9"/>
  <c r="W739" i="9"/>
  <c r="X739" i="9"/>
  <c r="Y739" i="9"/>
  <c r="Z739" i="9"/>
  <c r="AA739" i="9"/>
  <c r="V740" i="9"/>
  <c r="W740" i="9"/>
  <c r="X740" i="9"/>
  <c r="Y740" i="9"/>
  <c r="Z740" i="9"/>
  <c r="AA740" i="9"/>
  <c r="V741" i="9"/>
  <c r="W741" i="9"/>
  <c r="X741" i="9"/>
  <c r="Y741" i="9"/>
  <c r="Z741" i="9"/>
  <c r="AA741" i="9"/>
  <c r="V742" i="9"/>
  <c r="W742" i="9"/>
  <c r="X742" i="9"/>
  <c r="Y742" i="9"/>
  <c r="Z742" i="9"/>
  <c r="AA742" i="9"/>
  <c r="V743" i="9"/>
  <c r="W743" i="9"/>
  <c r="X743" i="9"/>
  <c r="Y743" i="9"/>
  <c r="Z743" i="9"/>
  <c r="AA743" i="9"/>
  <c r="V744" i="9"/>
  <c r="W744" i="9"/>
  <c r="X744" i="9"/>
  <c r="Y744" i="9"/>
  <c r="Z744" i="9"/>
  <c r="AA744" i="9"/>
  <c r="V745" i="9"/>
  <c r="W745" i="9"/>
  <c r="X745" i="9"/>
  <c r="Y745" i="9"/>
  <c r="Z745" i="9"/>
  <c r="AA745" i="9"/>
  <c r="V746" i="9"/>
  <c r="W746" i="9"/>
  <c r="X746" i="9"/>
  <c r="Y746" i="9"/>
  <c r="Z746" i="9"/>
  <c r="AA746" i="9"/>
  <c r="V747" i="9"/>
  <c r="W747" i="9"/>
  <c r="X747" i="9"/>
  <c r="Y747" i="9"/>
  <c r="Z747" i="9"/>
  <c r="AA747" i="9"/>
  <c r="V748" i="9"/>
  <c r="W748" i="9"/>
  <c r="X748" i="9"/>
  <c r="Y748" i="9"/>
  <c r="Z748" i="9"/>
  <c r="AA748" i="9"/>
  <c r="V749" i="9"/>
  <c r="W749" i="9"/>
  <c r="X749" i="9"/>
  <c r="Y749" i="9"/>
  <c r="Z749" i="9"/>
  <c r="AA749" i="9"/>
  <c r="V750" i="9"/>
  <c r="W750" i="9"/>
  <c r="X750" i="9"/>
  <c r="Y750" i="9"/>
  <c r="Z750" i="9"/>
  <c r="AA750" i="9"/>
  <c r="V751" i="9"/>
  <c r="W751" i="9"/>
  <c r="X751" i="9"/>
  <c r="Y751" i="9"/>
  <c r="Z751" i="9"/>
  <c r="AA751" i="9"/>
  <c r="V752" i="9"/>
  <c r="W752" i="9"/>
  <c r="X752" i="9"/>
  <c r="Y752" i="9"/>
  <c r="Z752" i="9"/>
  <c r="AA752" i="9"/>
  <c r="V753" i="9"/>
  <c r="W753" i="9"/>
  <c r="X753" i="9"/>
  <c r="Y753" i="9"/>
  <c r="Z753" i="9"/>
  <c r="AA753" i="9"/>
  <c r="V754" i="9"/>
  <c r="W754" i="9"/>
  <c r="X754" i="9"/>
  <c r="Y754" i="9"/>
  <c r="Z754" i="9"/>
  <c r="AA754" i="9"/>
  <c r="V755" i="9"/>
  <c r="W755" i="9"/>
  <c r="X755" i="9"/>
  <c r="Y755" i="9"/>
  <c r="Z755" i="9"/>
  <c r="AA755" i="9"/>
  <c r="V756" i="9"/>
  <c r="W756" i="9"/>
  <c r="X756" i="9"/>
  <c r="Y756" i="9"/>
  <c r="Z756" i="9"/>
  <c r="AA756" i="9"/>
  <c r="V757" i="9"/>
  <c r="W757" i="9"/>
  <c r="X757" i="9"/>
  <c r="Y757" i="9"/>
  <c r="Z757" i="9"/>
  <c r="AA757" i="9"/>
  <c r="V758" i="9"/>
  <c r="W758" i="9"/>
  <c r="X758" i="9"/>
  <c r="Y758" i="9"/>
  <c r="Z758" i="9"/>
  <c r="AA758" i="9"/>
  <c r="V759" i="9"/>
  <c r="W759" i="9"/>
  <c r="X759" i="9"/>
  <c r="Y759" i="9"/>
  <c r="Z759" i="9"/>
  <c r="AA759" i="9"/>
  <c r="V760" i="9"/>
  <c r="W760" i="9"/>
  <c r="X760" i="9"/>
  <c r="Y760" i="9"/>
  <c r="Z760" i="9"/>
  <c r="AA760" i="9"/>
  <c r="V761" i="9"/>
  <c r="W761" i="9"/>
  <c r="X761" i="9"/>
  <c r="Y761" i="9"/>
  <c r="Z761" i="9"/>
  <c r="AA761" i="9"/>
  <c r="V762" i="9"/>
  <c r="W762" i="9"/>
  <c r="X762" i="9"/>
  <c r="Y762" i="9"/>
  <c r="Z762" i="9"/>
  <c r="AA762" i="9"/>
  <c r="V763" i="9"/>
  <c r="W763" i="9"/>
  <c r="X763" i="9"/>
  <c r="Y763" i="9"/>
  <c r="Z763" i="9"/>
  <c r="AA763" i="9"/>
  <c r="V764" i="9"/>
  <c r="W764" i="9"/>
  <c r="X764" i="9"/>
  <c r="Y764" i="9"/>
  <c r="Z764" i="9"/>
  <c r="AA764" i="9"/>
  <c r="V765" i="9"/>
  <c r="W765" i="9"/>
  <c r="X765" i="9"/>
  <c r="Y765" i="9"/>
  <c r="Z765" i="9"/>
  <c r="AA765" i="9"/>
  <c r="V766" i="9"/>
  <c r="W766" i="9"/>
  <c r="X766" i="9"/>
  <c r="Y766" i="9"/>
  <c r="Z766" i="9"/>
  <c r="AA766" i="9"/>
  <c r="V767" i="9"/>
  <c r="W767" i="9"/>
  <c r="X767" i="9"/>
  <c r="Y767" i="9"/>
  <c r="Z767" i="9"/>
  <c r="AA767" i="9"/>
  <c r="V768" i="9"/>
  <c r="W768" i="9"/>
  <c r="X768" i="9"/>
  <c r="Y768" i="9"/>
  <c r="Z768" i="9"/>
  <c r="AA768" i="9"/>
  <c r="V769" i="9"/>
  <c r="W769" i="9"/>
  <c r="X769" i="9"/>
  <c r="Y769" i="9"/>
  <c r="Z769" i="9"/>
  <c r="AA769" i="9"/>
  <c r="V770" i="9"/>
  <c r="W770" i="9"/>
  <c r="X770" i="9"/>
  <c r="Y770" i="9"/>
  <c r="Z770" i="9"/>
  <c r="AA770" i="9"/>
  <c r="V771" i="9"/>
  <c r="W771" i="9"/>
  <c r="X771" i="9"/>
  <c r="Y771" i="9"/>
  <c r="Z771" i="9"/>
  <c r="AA771" i="9"/>
  <c r="V772" i="9"/>
  <c r="W772" i="9"/>
  <c r="X772" i="9"/>
  <c r="Y772" i="9"/>
  <c r="Z772" i="9"/>
  <c r="AA772" i="9"/>
  <c r="V773" i="9"/>
  <c r="W773" i="9"/>
  <c r="X773" i="9"/>
  <c r="Y773" i="9"/>
  <c r="Z773" i="9"/>
  <c r="AA773" i="9"/>
  <c r="V774" i="9"/>
  <c r="W774" i="9"/>
  <c r="X774" i="9"/>
  <c r="Y774" i="9"/>
  <c r="Z774" i="9"/>
  <c r="AA774" i="9"/>
  <c r="V775" i="9"/>
  <c r="W775" i="9"/>
  <c r="X775" i="9"/>
  <c r="Y775" i="9"/>
  <c r="Z775" i="9"/>
  <c r="AA775" i="9"/>
  <c r="V776" i="9"/>
  <c r="W776" i="9"/>
  <c r="X776" i="9"/>
  <c r="Y776" i="9"/>
  <c r="Z776" i="9"/>
  <c r="AA776" i="9"/>
  <c r="V777" i="9"/>
  <c r="W777" i="9"/>
  <c r="X777" i="9"/>
  <c r="Y777" i="9"/>
  <c r="Z777" i="9"/>
  <c r="AA777" i="9"/>
  <c r="V778" i="9"/>
  <c r="W778" i="9"/>
  <c r="X778" i="9"/>
  <c r="Y778" i="9"/>
  <c r="Z778" i="9"/>
  <c r="AA778" i="9"/>
  <c r="V779" i="9"/>
  <c r="W779" i="9"/>
  <c r="X779" i="9"/>
  <c r="Y779" i="9"/>
  <c r="Z779" i="9"/>
  <c r="AA779" i="9"/>
  <c r="V780" i="9"/>
  <c r="W780" i="9"/>
  <c r="X780" i="9"/>
  <c r="Y780" i="9"/>
  <c r="Z780" i="9"/>
  <c r="AA780" i="9"/>
  <c r="V781" i="9"/>
  <c r="W781" i="9"/>
  <c r="X781" i="9"/>
  <c r="Y781" i="9"/>
  <c r="Z781" i="9"/>
  <c r="AA781" i="9"/>
  <c r="V782" i="9"/>
  <c r="W782" i="9"/>
  <c r="X782" i="9"/>
  <c r="Y782" i="9"/>
  <c r="Z782" i="9"/>
  <c r="AA782" i="9"/>
  <c r="V783" i="9"/>
  <c r="W783" i="9"/>
  <c r="X783" i="9"/>
  <c r="Y783" i="9"/>
  <c r="Z783" i="9"/>
  <c r="AA783" i="9"/>
  <c r="V784" i="9"/>
  <c r="W784" i="9"/>
  <c r="X784" i="9"/>
  <c r="Y784" i="9"/>
  <c r="Z784" i="9"/>
  <c r="AA784" i="9"/>
  <c r="V785" i="9"/>
  <c r="W785" i="9"/>
  <c r="X785" i="9"/>
  <c r="Y785" i="9"/>
  <c r="Z785" i="9"/>
  <c r="AA785" i="9"/>
  <c r="V786" i="9"/>
  <c r="W786" i="9"/>
  <c r="X786" i="9"/>
  <c r="Y786" i="9"/>
  <c r="Z786" i="9"/>
  <c r="AA786" i="9"/>
  <c r="V787" i="9"/>
  <c r="W787" i="9"/>
  <c r="X787" i="9"/>
  <c r="Y787" i="9"/>
  <c r="Z787" i="9"/>
  <c r="AA787" i="9"/>
  <c r="V788" i="9"/>
  <c r="W788" i="9"/>
  <c r="X788" i="9"/>
  <c r="Y788" i="9"/>
  <c r="Z788" i="9"/>
  <c r="AA788" i="9"/>
  <c r="V789" i="9"/>
  <c r="W789" i="9"/>
  <c r="X789" i="9"/>
  <c r="Y789" i="9"/>
  <c r="Z789" i="9"/>
  <c r="AA789" i="9"/>
  <c r="V790" i="9"/>
  <c r="W790" i="9"/>
  <c r="X790" i="9"/>
  <c r="Y790" i="9"/>
  <c r="Z790" i="9"/>
  <c r="AA790" i="9"/>
  <c r="V791" i="9"/>
  <c r="W791" i="9"/>
  <c r="X791" i="9"/>
  <c r="Y791" i="9"/>
  <c r="Z791" i="9"/>
  <c r="AA791" i="9"/>
  <c r="V792" i="9"/>
  <c r="W792" i="9"/>
  <c r="X792" i="9"/>
  <c r="Y792" i="9"/>
  <c r="Z792" i="9"/>
  <c r="AA792" i="9"/>
  <c r="V793" i="9"/>
  <c r="W793" i="9"/>
  <c r="X793" i="9"/>
  <c r="Y793" i="9"/>
  <c r="Z793" i="9"/>
  <c r="AA793" i="9"/>
  <c r="V794" i="9"/>
  <c r="W794" i="9"/>
  <c r="X794" i="9"/>
  <c r="Y794" i="9"/>
  <c r="Z794" i="9"/>
  <c r="AA794" i="9"/>
  <c r="V795" i="9"/>
  <c r="W795" i="9"/>
  <c r="X795" i="9"/>
  <c r="Y795" i="9"/>
  <c r="Z795" i="9"/>
  <c r="AA795" i="9"/>
  <c r="V796" i="9"/>
  <c r="W796" i="9"/>
  <c r="X796" i="9"/>
  <c r="Y796" i="9"/>
  <c r="Z796" i="9"/>
  <c r="AA796" i="9"/>
  <c r="V797" i="9"/>
  <c r="W797" i="9"/>
  <c r="X797" i="9"/>
  <c r="Y797" i="9"/>
  <c r="Z797" i="9"/>
  <c r="AA797" i="9"/>
  <c r="V798" i="9"/>
  <c r="W798" i="9"/>
  <c r="X798" i="9"/>
  <c r="Y798" i="9"/>
  <c r="Z798" i="9"/>
  <c r="AA798" i="9"/>
  <c r="V799" i="9"/>
  <c r="W799" i="9"/>
  <c r="X799" i="9"/>
  <c r="Y799" i="9"/>
  <c r="Z799" i="9"/>
  <c r="AA799" i="9"/>
  <c r="V800" i="9"/>
  <c r="W800" i="9"/>
  <c r="X800" i="9"/>
  <c r="Y800" i="9"/>
  <c r="Z800" i="9"/>
  <c r="AA800" i="9"/>
  <c r="V801" i="9"/>
  <c r="W801" i="9"/>
  <c r="X801" i="9"/>
  <c r="Y801" i="9"/>
  <c r="Z801" i="9"/>
  <c r="AA801" i="9"/>
  <c r="V802" i="9"/>
  <c r="W802" i="9"/>
  <c r="X802" i="9"/>
  <c r="Y802" i="9"/>
  <c r="Z802" i="9"/>
  <c r="AA802" i="9"/>
  <c r="V803" i="9"/>
  <c r="W803" i="9"/>
  <c r="X803" i="9"/>
  <c r="Y803" i="9"/>
  <c r="Z803" i="9"/>
  <c r="AA803" i="9"/>
  <c r="V804" i="9"/>
  <c r="W804" i="9"/>
  <c r="X804" i="9"/>
  <c r="Y804" i="9"/>
  <c r="Z804" i="9"/>
  <c r="AA804" i="9"/>
  <c r="V805" i="9"/>
  <c r="W805" i="9"/>
  <c r="X805" i="9"/>
  <c r="Y805" i="9"/>
  <c r="Z805" i="9"/>
  <c r="AA805" i="9"/>
  <c r="V806" i="9"/>
  <c r="W806" i="9"/>
  <c r="X806" i="9"/>
  <c r="Y806" i="9"/>
  <c r="Z806" i="9"/>
  <c r="AA806" i="9"/>
  <c r="V807" i="9"/>
  <c r="W807" i="9"/>
  <c r="X807" i="9"/>
  <c r="Y807" i="9"/>
  <c r="Z807" i="9"/>
  <c r="AA807" i="9"/>
  <c r="V808" i="9"/>
  <c r="W808" i="9"/>
  <c r="X808" i="9"/>
  <c r="Y808" i="9"/>
  <c r="Z808" i="9"/>
  <c r="AA808" i="9"/>
  <c r="V809" i="9"/>
  <c r="W809" i="9"/>
  <c r="X809" i="9"/>
  <c r="Y809" i="9"/>
  <c r="Z809" i="9"/>
  <c r="AA809" i="9"/>
  <c r="V810" i="9"/>
  <c r="W810" i="9"/>
  <c r="X810" i="9"/>
  <c r="Y810" i="9"/>
  <c r="Z810" i="9"/>
  <c r="AA810" i="9"/>
  <c r="V811" i="9"/>
  <c r="W811" i="9"/>
  <c r="X811" i="9"/>
  <c r="Y811" i="9"/>
  <c r="Z811" i="9"/>
  <c r="AA811" i="9"/>
  <c r="V812" i="9"/>
  <c r="W812" i="9"/>
  <c r="X812" i="9"/>
  <c r="Y812" i="9"/>
  <c r="Z812" i="9"/>
  <c r="AA812" i="9"/>
  <c r="V813" i="9"/>
  <c r="W813" i="9"/>
  <c r="X813" i="9"/>
  <c r="Y813" i="9"/>
  <c r="Z813" i="9"/>
  <c r="AA813" i="9"/>
  <c r="V814" i="9"/>
  <c r="W814" i="9"/>
  <c r="X814" i="9"/>
  <c r="Y814" i="9"/>
  <c r="Z814" i="9"/>
  <c r="AA814" i="9"/>
  <c r="V815" i="9"/>
  <c r="W815" i="9"/>
  <c r="X815" i="9"/>
  <c r="Y815" i="9"/>
  <c r="Z815" i="9"/>
  <c r="AA815" i="9"/>
  <c r="V816" i="9"/>
  <c r="W816" i="9"/>
  <c r="X816" i="9"/>
  <c r="Y816" i="9"/>
  <c r="Z816" i="9"/>
  <c r="AA816" i="9"/>
  <c r="V817" i="9"/>
  <c r="W817" i="9"/>
  <c r="X817" i="9"/>
  <c r="Y817" i="9"/>
  <c r="Z817" i="9"/>
  <c r="AA817" i="9"/>
  <c r="V818" i="9"/>
  <c r="W818" i="9"/>
  <c r="X818" i="9"/>
  <c r="Y818" i="9"/>
  <c r="Z818" i="9"/>
  <c r="AA818" i="9"/>
  <c r="V819" i="9"/>
  <c r="W819" i="9"/>
  <c r="X819" i="9"/>
  <c r="Y819" i="9"/>
  <c r="Z819" i="9"/>
  <c r="AA819" i="9"/>
  <c r="V820" i="9"/>
  <c r="W820" i="9"/>
  <c r="X820" i="9"/>
  <c r="Y820" i="9"/>
  <c r="Z820" i="9"/>
  <c r="AA820" i="9"/>
  <c r="V821" i="9"/>
  <c r="W821" i="9"/>
  <c r="X821" i="9"/>
  <c r="Y821" i="9"/>
  <c r="Z821" i="9"/>
  <c r="AA821" i="9"/>
  <c r="V822" i="9"/>
  <c r="W822" i="9"/>
  <c r="X822" i="9"/>
  <c r="Y822" i="9"/>
  <c r="Z822" i="9"/>
  <c r="AA822" i="9"/>
  <c r="V823" i="9"/>
  <c r="W823" i="9"/>
  <c r="X823" i="9"/>
  <c r="Y823" i="9"/>
  <c r="Z823" i="9"/>
  <c r="AA823" i="9"/>
  <c r="V824" i="9"/>
  <c r="W824" i="9"/>
  <c r="X824" i="9"/>
  <c r="Y824" i="9"/>
  <c r="Z824" i="9"/>
  <c r="AA824" i="9"/>
  <c r="V825" i="9"/>
  <c r="W825" i="9"/>
  <c r="X825" i="9"/>
  <c r="Y825" i="9"/>
  <c r="Z825" i="9"/>
  <c r="AA825" i="9"/>
  <c r="V826" i="9"/>
  <c r="W826" i="9"/>
  <c r="X826" i="9"/>
  <c r="Y826" i="9"/>
  <c r="Z826" i="9"/>
  <c r="AA826" i="9"/>
  <c r="V827" i="9"/>
  <c r="W827" i="9"/>
  <c r="X827" i="9"/>
  <c r="Y827" i="9"/>
  <c r="Z827" i="9"/>
  <c r="AA827" i="9"/>
  <c r="V828" i="9"/>
  <c r="W828" i="9"/>
  <c r="X828" i="9"/>
  <c r="Y828" i="9"/>
  <c r="Z828" i="9"/>
  <c r="AA828" i="9"/>
  <c r="V829" i="9"/>
  <c r="W829" i="9"/>
  <c r="X829" i="9"/>
  <c r="Y829" i="9"/>
  <c r="Z829" i="9"/>
  <c r="AA829" i="9"/>
  <c r="V830" i="9"/>
  <c r="W830" i="9"/>
  <c r="X830" i="9"/>
  <c r="Y830" i="9"/>
  <c r="Z830" i="9"/>
  <c r="AA830" i="9"/>
  <c r="V831" i="9"/>
  <c r="W831" i="9"/>
  <c r="X831" i="9"/>
  <c r="Y831" i="9"/>
  <c r="Z831" i="9"/>
  <c r="AA831" i="9"/>
  <c r="V832" i="9"/>
  <c r="W832" i="9"/>
  <c r="X832" i="9"/>
  <c r="Y832" i="9"/>
  <c r="Z832" i="9"/>
  <c r="AA832" i="9"/>
  <c r="V833" i="9"/>
  <c r="W833" i="9"/>
  <c r="X833" i="9"/>
  <c r="Y833" i="9"/>
  <c r="Z833" i="9"/>
  <c r="AA833" i="9"/>
  <c r="V834" i="9"/>
  <c r="W834" i="9"/>
  <c r="X834" i="9"/>
  <c r="Y834" i="9"/>
  <c r="Z834" i="9"/>
  <c r="AA834" i="9"/>
  <c r="V835" i="9"/>
  <c r="W835" i="9"/>
  <c r="X835" i="9"/>
  <c r="Y835" i="9"/>
  <c r="Z835" i="9"/>
  <c r="AA835" i="9"/>
  <c r="V836" i="9"/>
  <c r="W836" i="9"/>
  <c r="X836" i="9"/>
  <c r="Y836" i="9"/>
  <c r="Z836" i="9"/>
  <c r="AA836" i="9"/>
  <c r="V837" i="9"/>
  <c r="W837" i="9"/>
  <c r="X837" i="9"/>
  <c r="Y837" i="9"/>
  <c r="Z837" i="9"/>
  <c r="AA837" i="9"/>
  <c r="V838" i="9"/>
  <c r="W838" i="9"/>
  <c r="X838" i="9"/>
  <c r="Y838" i="9"/>
  <c r="Z838" i="9"/>
  <c r="AA838" i="9"/>
  <c r="V839" i="9"/>
  <c r="W839" i="9"/>
  <c r="X839" i="9"/>
  <c r="Y839" i="9"/>
  <c r="Z839" i="9"/>
  <c r="AA839" i="9"/>
  <c r="V840" i="9"/>
  <c r="W840" i="9"/>
  <c r="X840" i="9"/>
  <c r="Y840" i="9"/>
  <c r="Z840" i="9"/>
  <c r="AA840" i="9"/>
  <c r="V841" i="9"/>
  <c r="W841" i="9"/>
  <c r="X841" i="9"/>
  <c r="Y841" i="9"/>
  <c r="Z841" i="9"/>
  <c r="AA841" i="9"/>
  <c r="V842" i="9"/>
  <c r="W842" i="9"/>
  <c r="X842" i="9"/>
  <c r="Y842" i="9"/>
  <c r="Z842" i="9"/>
  <c r="AA842" i="9"/>
  <c r="V843" i="9"/>
  <c r="W843" i="9"/>
  <c r="X843" i="9"/>
  <c r="Y843" i="9"/>
  <c r="Z843" i="9"/>
  <c r="AA843" i="9"/>
  <c r="V844" i="9"/>
  <c r="W844" i="9"/>
  <c r="X844" i="9"/>
  <c r="Y844" i="9"/>
  <c r="Z844" i="9"/>
  <c r="AA844" i="9"/>
  <c r="V845" i="9"/>
  <c r="W845" i="9"/>
  <c r="X845" i="9"/>
  <c r="Y845" i="9"/>
  <c r="Z845" i="9"/>
  <c r="AA845" i="9"/>
  <c r="V846" i="9"/>
  <c r="W846" i="9"/>
  <c r="X846" i="9"/>
  <c r="Y846" i="9"/>
  <c r="Z846" i="9"/>
  <c r="AA846" i="9"/>
  <c r="V847" i="9"/>
  <c r="W847" i="9"/>
  <c r="X847" i="9"/>
  <c r="Y847" i="9"/>
  <c r="Z847" i="9"/>
  <c r="AA847" i="9"/>
  <c r="V848" i="9"/>
  <c r="W848" i="9"/>
  <c r="X848" i="9"/>
  <c r="Y848" i="9"/>
  <c r="Z848" i="9"/>
  <c r="AA848" i="9"/>
  <c r="V849" i="9"/>
  <c r="W849" i="9"/>
  <c r="X849" i="9"/>
  <c r="Y849" i="9"/>
  <c r="Z849" i="9"/>
  <c r="AA849" i="9"/>
  <c r="V850" i="9"/>
  <c r="W850" i="9"/>
  <c r="X850" i="9"/>
  <c r="Y850" i="9"/>
  <c r="Z850" i="9"/>
  <c r="AA850" i="9"/>
  <c r="V851" i="9"/>
  <c r="W851" i="9"/>
  <c r="X851" i="9"/>
  <c r="Y851" i="9"/>
  <c r="Z851" i="9"/>
  <c r="AA851" i="9"/>
  <c r="V852" i="9"/>
  <c r="W852" i="9"/>
  <c r="X852" i="9"/>
  <c r="Y852" i="9"/>
  <c r="Z852" i="9"/>
  <c r="AA852" i="9"/>
  <c r="V853" i="9"/>
  <c r="W853" i="9"/>
  <c r="X853" i="9"/>
  <c r="Y853" i="9"/>
  <c r="Z853" i="9"/>
  <c r="AA853" i="9"/>
  <c r="V854" i="9"/>
  <c r="W854" i="9"/>
  <c r="X854" i="9"/>
  <c r="Y854" i="9"/>
  <c r="Z854" i="9"/>
  <c r="AA854" i="9"/>
  <c r="V855" i="9"/>
  <c r="W855" i="9"/>
  <c r="X855" i="9"/>
  <c r="Y855" i="9"/>
  <c r="Z855" i="9"/>
  <c r="AA855" i="9"/>
  <c r="V856" i="9"/>
  <c r="W856" i="9"/>
  <c r="X856" i="9"/>
  <c r="Y856" i="9"/>
  <c r="Z856" i="9"/>
  <c r="AA856" i="9"/>
  <c r="V857" i="9"/>
  <c r="W857" i="9"/>
  <c r="X857" i="9"/>
  <c r="Y857" i="9"/>
  <c r="Z857" i="9"/>
  <c r="AA857" i="9"/>
  <c r="V858" i="9"/>
  <c r="W858" i="9"/>
  <c r="X858" i="9"/>
  <c r="Y858" i="9"/>
  <c r="Z858" i="9"/>
  <c r="AA858" i="9"/>
  <c r="V859" i="9"/>
  <c r="W859" i="9"/>
  <c r="X859" i="9"/>
  <c r="Y859" i="9"/>
  <c r="Z859" i="9"/>
  <c r="AA859" i="9"/>
  <c r="V860" i="9"/>
  <c r="W860" i="9"/>
  <c r="X860" i="9"/>
  <c r="Y860" i="9"/>
  <c r="Z860" i="9"/>
  <c r="AA860" i="9"/>
  <c r="V861" i="9"/>
  <c r="W861" i="9"/>
  <c r="X861" i="9"/>
  <c r="Y861" i="9"/>
  <c r="Z861" i="9"/>
  <c r="AA861" i="9"/>
  <c r="V862" i="9"/>
  <c r="W862" i="9"/>
  <c r="X862" i="9"/>
  <c r="Y862" i="9"/>
  <c r="Z862" i="9"/>
  <c r="AA862" i="9"/>
  <c r="V863" i="9"/>
  <c r="W863" i="9"/>
  <c r="X863" i="9"/>
  <c r="Y863" i="9"/>
  <c r="Z863" i="9"/>
  <c r="AA863" i="9"/>
  <c r="V864" i="9"/>
  <c r="W864" i="9"/>
  <c r="X864" i="9"/>
  <c r="Y864" i="9"/>
  <c r="Z864" i="9"/>
  <c r="AA864" i="9"/>
  <c r="V865" i="9"/>
  <c r="W865" i="9"/>
  <c r="X865" i="9"/>
  <c r="Y865" i="9"/>
  <c r="Z865" i="9"/>
  <c r="AA865" i="9"/>
  <c r="V866" i="9"/>
  <c r="W866" i="9"/>
  <c r="X866" i="9"/>
  <c r="Y866" i="9"/>
  <c r="Z866" i="9"/>
  <c r="AA866" i="9"/>
  <c r="V867" i="9"/>
  <c r="W867" i="9"/>
  <c r="X867" i="9"/>
  <c r="Y867" i="9"/>
  <c r="Z867" i="9"/>
  <c r="AA867" i="9"/>
  <c r="V868" i="9"/>
  <c r="W868" i="9"/>
  <c r="X868" i="9"/>
  <c r="Y868" i="9"/>
  <c r="Z868" i="9"/>
  <c r="AA868" i="9"/>
  <c r="V869" i="9"/>
  <c r="W869" i="9"/>
  <c r="X869" i="9"/>
  <c r="Y869" i="9"/>
  <c r="Z869" i="9"/>
  <c r="AA869" i="9"/>
  <c r="V870" i="9"/>
  <c r="W870" i="9"/>
  <c r="X870" i="9"/>
  <c r="Y870" i="9"/>
  <c r="Z870" i="9"/>
  <c r="AA870" i="9"/>
  <c r="V871" i="9"/>
  <c r="W871" i="9"/>
  <c r="X871" i="9"/>
  <c r="Y871" i="9"/>
  <c r="Z871" i="9"/>
  <c r="AA871" i="9"/>
  <c r="V872" i="9"/>
  <c r="W872" i="9"/>
  <c r="X872" i="9"/>
  <c r="Y872" i="9"/>
  <c r="Z872" i="9"/>
  <c r="AA872" i="9"/>
  <c r="V873" i="9"/>
  <c r="W873" i="9"/>
  <c r="X873" i="9"/>
  <c r="Y873" i="9"/>
  <c r="Z873" i="9"/>
  <c r="AA873" i="9"/>
  <c r="V874" i="9"/>
  <c r="W874" i="9"/>
  <c r="X874" i="9"/>
  <c r="Y874" i="9"/>
  <c r="Z874" i="9"/>
  <c r="AA874" i="9"/>
  <c r="V875" i="9"/>
  <c r="W875" i="9"/>
  <c r="X875" i="9"/>
  <c r="Y875" i="9"/>
  <c r="Z875" i="9"/>
  <c r="AA875" i="9"/>
  <c r="V876" i="9"/>
  <c r="W876" i="9"/>
  <c r="X876" i="9"/>
  <c r="Y876" i="9"/>
  <c r="Z876" i="9"/>
  <c r="AA876" i="9"/>
  <c r="V877" i="9"/>
  <c r="W877" i="9"/>
  <c r="X877" i="9"/>
  <c r="Y877" i="9"/>
  <c r="Z877" i="9"/>
  <c r="AA877" i="9"/>
  <c r="V878" i="9"/>
  <c r="W878" i="9"/>
  <c r="X878" i="9"/>
  <c r="Y878" i="9"/>
  <c r="Z878" i="9"/>
  <c r="AA878" i="9"/>
  <c r="V879" i="9"/>
  <c r="W879" i="9"/>
  <c r="X879" i="9"/>
  <c r="Y879" i="9"/>
  <c r="Z879" i="9"/>
  <c r="AA879" i="9"/>
  <c r="V880" i="9"/>
  <c r="W880" i="9"/>
  <c r="X880" i="9"/>
  <c r="Y880" i="9"/>
  <c r="Z880" i="9"/>
  <c r="AA880" i="9"/>
  <c r="V881" i="9"/>
  <c r="W881" i="9"/>
  <c r="X881" i="9"/>
  <c r="Y881" i="9"/>
  <c r="Z881" i="9"/>
  <c r="AA881" i="9"/>
  <c r="V882" i="9"/>
  <c r="W882" i="9"/>
  <c r="X882" i="9"/>
  <c r="Y882" i="9"/>
  <c r="Z882" i="9"/>
  <c r="AA882" i="9"/>
  <c r="V883" i="9"/>
  <c r="W883" i="9"/>
  <c r="X883" i="9"/>
  <c r="Y883" i="9"/>
  <c r="Z883" i="9"/>
  <c r="AA883" i="9"/>
  <c r="V884" i="9"/>
  <c r="W884" i="9"/>
  <c r="X884" i="9"/>
  <c r="Y884" i="9"/>
  <c r="Z884" i="9"/>
  <c r="AA884" i="9"/>
  <c r="V885" i="9"/>
  <c r="W885" i="9"/>
  <c r="X885" i="9"/>
  <c r="Y885" i="9"/>
  <c r="Z885" i="9"/>
  <c r="AA885" i="9"/>
  <c r="V886" i="9"/>
  <c r="W886" i="9"/>
  <c r="X886" i="9"/>
  <c r="Y886" i="9"/>
  <c r="Z886" i="9"/>
  <c r="AA886" i="9"/>
  <c r="V887" i="9"/>
  <c r="W887" i="9"/>
  <c r="X887" i="9"/>
  <c r="Y887" i="9"/>
  <c r="Z887" i="9"/>
  <c r="AA887" i="9"/>
  <c r="V888" i="9"/>
  <c r="W888" i="9"/>
  <c r="X888" i="9"/>
  <c r="Y888" i="9"/>
  <c r="Z888" i="9"/>
  <c r="AA888" i="9"/>
  <c r="V889" i="9"/>
  <c r="W889" i="9"/>
  <c r="X889" i="9"/>
  <c r="Y889" i="9"/>
  <c r="Z889" i="9"/>
  <c r="AA889" i="9"/>
  <c r="V890" i="9"/>
  <c r="W890" i="9"/>
  <c r="X890" i="9"/>
  <c r="Y890" i="9"/>
  <c r="Z890" i="9"/>
  <c r="AA890" i="9"/>
  <c r="V891" i="9"/>
  <c r="W891" i="9"/>
  <c r="X891" i="9"/>
  <c r="Y891" i="9"/>
  <c r="Z891" i="9"/>
  <c r="AA891" i="9"/>
  <c r="V892" i="9"/>
  <c r="W892" i="9"/>
  <c r="X892" i="9"/>
  <c r="Y892" i="9"/>
  <c r="Z892" i="9"/>
  <c r="AA892" i="9"/>
  <c r="V893" i="9"/>
  <c r="W893" i="9"/>
  <c r="X893" i="9"/>
  <c r="Y893" i="9"/>
  <c r="Z893" i="9"/>
  <c r="AA893" i="9"/>
  <c r="V894" i="9"/>
  <c r="W894" i="9"/>
  <c r="X894" i="9"/>
  <c r="Y894" i="9"/>
  <c r="Z894" i="9"/>
  <c r="AA894" i="9"/>
  <c r="V895" i="9"/>
  <c r="W895" i="9"/>
  <c r="X895" i="9"/>
  <c r="Y895" i="9"/>
  <c r="Z895" i="9"/>
  <c r="AA895" i="9"/>
  <c r="V896" i="9"/>
  <c r="W896" i="9"/>
  <c r="X896" i="9"/>
  <c r="Y896" i="9"/>
  <c r="Z896" i="9"/>
  <c r="AA896" i="9"/>
  <c r="V897" i="9"/>
  <c r="W897" i="9"/>
  <c r="X897" i="9"/>
  <c r="Y897" i="9"/>
  <c r="Z897" i="9"/>
  <c r="AA897" i="9"/>
  <c r="V898" i="9"/>
  <c r="W898" i="9"/>
  <c r="X898" i="9"/>
  <c r="Y898" i="9"/>
  <c r="Z898" i="9"/>
  <c r="AA898" i="9"/>
  <c r="V899" i="9"/>
  <c r="W899" i="9"/>
  <c r="X899" i="9"/>
  <c r="Y899" i="9"/>
  <c r="Z899" i="9"/>
  <c r="AA899" i="9"/>
  <c r="V900" i="9"/>
  <c r="W900" i="9"/>
  <c r="X900" i="9"/>
  <c r="Y900" i="9"/>
  <c r="Z900" i="9"/>
  <c r="AA900" i="9"/>
  <c r="V901" i="9"/>
  <c r="W901" i="9"/>
  <c r="X901" i="9"/>
  <c r="Y901" i="9"/>
  <c r="Z901" i="9"/>
  <c r="AA901" i="9"/>
  <c r="V902" i="9"/>
  <c r="W902" i="9"/>
  <c r="X902" i="9"/>
  <c r="Y902" i="9"/>
  <c r="Z902" i="9"/>
  <c r="AA902" i="9"/>
  <c r="V903" i="9"/>
  <c r="W903" i="9"/>
  <c r="X903" i="9"/>
  <c r="Y903" i="9"/>
  <c r="Z903" i="9"/>
  <c r="AA903" i="9"/>
  <c r="V904" i="9"/>
  <c r="W904" i="9"/>
  <c r="X904" i="9"/>
  <c r="Y904" i="9"/>
  <c r="Z904" i="9"/>
  <c r="AA904" i="9"/>
  <c r="V905" i="9"/>
  <c r="W905" i="9"/>
  <c r="X905" i="9"/>
  <c r="Y905" i="9"/>
  <c r="Z905" i="9"/>
  <c r="AA905" i="9"/>
  <c r="V906" i="9"/>
  <c r="W906" i="9"/>
  <c r="X906" i="9"/>
  <c r="Y906" i="9"/>
  <c r="Z906" i="9"/>
  <c r="AA906" i="9"/>
  <c r="V907" i="9"/>
  <c r="W907" i="9"/>
  <c r="X907" i="9"/>
  <c r="Y907" i="9"/>
  <c r="Z907" i="9"/>
  <c r="AA907" i="9"/>
  <c r="V908" i="9"/>
  <c r="W908" i="9"/>
  <c r="X908" i="9"/>
  <c r="Y908" i="9"/>
  <c r="Z908" i="9"/>
  <c r="AA908" i="9"/>
  <c r="V909" i="9"/>
  <c r="W909" i="9"/>
  <c r="X909" i="9"/>
  <c r="Y909" i="9"/>
  <c r="Z909" i="9"/>
  <c r="AA909" i="9"/>
  <c r="V910" i="9"/>
  <c r="W910" i="9"/>
  <c r="X910" i="9"/>
  <c r="Y910" i="9"/>
  <c r="Z910" i="9"/>
  <c r="AA910" i="9"/>
  <c r="V911" i="9"/>
  <c r="W911" i="9"/>
  <c r="X911" i="9"/>
  <c r="Y911" i="9"/>
  <c r="Z911" i="9"/>
  <c r="AA911" i="9"/>
  <c r="V912" i="9"/>
  <c r="W912" i="9"/>
  <c r="X912" i="9"/>
  <c r="Y912" i="9"/>
  <c r="Z912" i="9"/>
  <c r="AA912" i="9"/>
  <c r="V913" i="9"/>
  <c r="W913" i="9"/>
  <c r="X913" i="9"/>
  <c r="Y913" i="9"/>
  <c r="Z913" i="9"/>
  <c r="AA913" i="9"/>
  <c r="V914" i="9"/>
  <c r="W914" i="9"/>
  <c r="X914" i="9"/>
  <c r="Y914" i="9"/>
  <c r="Z914" i="9"/>
  <c r="AA914" i="9"/>
  <c r="V915" i="9"/>
  <c r="W915" i="9"/>
  <c r="X915" i="9"/>
  <c r="Y915" i="9"/>
  <c r="Z915" i="9"/>
  <c r="AA915" i="9"/>
  <c r="V916" i="9"/>
  <c r="W916" i="9"/>
  <c r="X916" i="9"/>
  <c r="Y916" i="9"/>
  <c r="Z916" i="9"/>
  <c r="AA916" i="9"/>
  <c r="V917" i="9"/>
  <c r="W917" i="9"/>
  <c r="X917" i="9"/>
  <c r="Y917" i="9"/>
  <c r="Z917" i="9"/>
  <c r="AA917" i="9"/>
  <c r="V918" i="9"/>
  <c r="W918" i="9"/>
  <c r="X918" i="9"/>
  <c r="Y918" i="9"/>
  <c r="Z918" i="9"/>
  <c r="AA918" i="9"/>
  <c r="V919" i="9"/>
  <c r="W919" i="9"/>
  <c r="X919" i="9"/>
  <c r="Y919" i="9"/>
  <c r="Z919" i="9"/>
  <c r="AA919" i="9"/>
  <c r="V920" i="9"/>
  <c r="W920" i="9"/>
  <c r="X920" i="9"/>
  <c r="Y920" i="9"/>
  <c r="Z920" i="9"/>
  <c r="AA920" i="9"/>
  <c r="V921" i="9"/>
  <c r="W921" i="9"/>
  <c r="X921" i="9"/>
  <c r="Y921" i="9"/>
  <c r="Z921" i="9"/>
  <c r="AA921" i="9"/>
  <c r="V922" i="9"/>
  <c r="W922" i="9"/>
  <c r="X922" i="9"/>
  <c r="Y922" i="9"/>
  <c r="Z922" i="9"/>
  <c r="AA922" i="9"/>
  <c r="V923" i="9"/>
  <c r="W923" i="9"/>
  <c r="X923" i="9"/>
  <c r="Y923" i="9"/>
  <c r="Z923" i="9"/>
  <c r="AA923" i="9"/>
  <c r="V924" i="9"/>
  <c r="W924" i="9"/>
  <c r="X924" i="9"/>
  <c r="Y924" i="9"/>
  <c r="Z924" i="9"/>
  <c r="AA924" i="9"/>
  <c r="V925" i="9"/>
  <c r="W925" i="9"/>
  <c r="X925" i="9"/>
  <c r="Y925" i="9"/>
  <c r="Z925" i="9"/>
  <c r="AA925" i="9"/>
  <c r="V926" i="9"/>
  <c r="W926" i="9"/>
  <c r="X926" i="9"/>
  <c r="Y926" i="9"/>
  <c r="Z926" i="9"/>
  <c r="AA926" i="9"/>
  <c r="V927" i="9"/>
  <c r="W927" i="9"/>
  <c r="X927" i="9"/>
  <c r="Y927" i="9"/>
  <c r="Z927" i="9"/>
  <c r="AA927" i="9"/>
  <c r="V928" i="9"/>
  <c r="W928" i="9"/>
  <c r="X928" i="9"/>
  <c r="Y928" i="9"/>
  <c r="Z928" i="9"/>
  <c r="AA928" i="9"/>
  <c r="V929" i="9"/>
  <c r="W929" i="9"/>
  <c r="X929" i="9"/>
  <c r="Y929" i="9"/>
  <c r="Z929" i="9"/>
  <c r="AA929" i="9"/>
  <c r="V930" i="9"/>
  <c r="W930" i="9"/>
  <c r="X930" i="9"/>
  <c r="Y930" i="9"/>
  <c r="Z930" i="9"/>
  <c r="AA930" i="9"/>
  <c r="V931" i="9"/>
  <c r="W931" i="9"/>
  <c r="X931" i="9"/>
  <c r="Y931" i="9"/>
  <c r="Z931" i="9"/>
  <c r="AA931" i="9"/>
  <c r="V932" i="9"/>
  <c r="W932" i="9"/>
  <c r="X932" i="9"/>
  <c r="Y932" i="9"/>
  <c r="Z932" i="9"/>
  <c r="AA932" i="9"/>
  <c r="V933" i="9"/>
  <c r="W933" i="9"/>
  <c r="X933" i="9"/>
  <c r="Y933" i="9"/>
  <c r="Z933" i="9"/>
  <c r="AA933" i="9"/>
  <c r="V934" i="9"/>
  <c r="W934" i="9"/>
  <c r="X934" i="9"/>
  <c r="Y934" i="9"/>
  <c r="Z934" i="9"/>
  <c r="AA934" i="9"/>
  <c r="V935" i="9"/>
  <c r="W935" i="9"/>
  <c r="X935" i="9"/>
  <c r="Y935" i="9"/>
  <c r="Z935" i="9"/>
  <c r="AA935" i="9"/>
  <c r="V936" i="9"/>
  <c r="W936" i="9"/>
  <c r="X936" i="9"/>
  <c r="Y936" i="9"/>
  <c r="Z936" i="9"/>
  <c r="AA936" i="9"/>
  <c r="V937" i="9"/>
  <c r="W937" i="9"/>
  <c r="X937" i="9"/>
  <c r="Y937" i="9"/>
  <c r="Z937" i="9"/>
  <c r="AA937" i="9"/>
  <c r="V938" i="9"/>
  <c r="W938" i="9"/>
  <c r="X938" i="9"/>
  <c r="Y938" i="9"/>
  <c r="Z938" i="9"/>
  <c r="AA938" i="9"/>
  <c r="V939" i="9"/>
  <c r="W939" i="9"/>
  <c r="X939" i="9"/>
  <c r="Y939" i="9"/>
  <c r="Z939" i="9"/>
  <c r="AA939" i="9"/>
  <c r="V940" i="9"/>
  <c r="W940" i="9"/>
  <c r="X940" i="9"/>
  <c r="Y940" i="9"/>
  <c r="Z940" i="9"/>
  <c r="AA940" i="9"/>
  <c r="V941" i="9"/>
  <c r="W941" i="9"/>
  <c r="X941" i="9"/>
  <c r="Y941" i="9"/>
  <c r="Z941" i="9"/>
  <c r="AA941" i="9"/>
  <c r="V942" i="9"/>
  <c r="W942" i="9"/>
  <c r="X942" i="9"/>
  <c r="Y942" i="9"/>
  <c r="Z942" i="9"/>
  <c r="AA942" i="9"/>
  <c r="V943" i="9"/>
  <c r="W943" i="9"/>
  <c r="X943" i="9"/>
  <c r="Y943" i="9"/>
  <c r="Z943" i="9"/>
  <c r="AA943" i="9"/>
  <c r="V944" i="9"/>
  <c r="W944" i="9"/>
  <c r="X944" i="9"/>
  <c r="Y944" i="9"/>
  <c r="Z944" i="9"/>
  <c r="AA944" i="9"/>
  <c r="V945" i="9"/>
  <c r="W945" i="9"/>
  <c r="X945" i="9"/>
  <c r="Y945" i="9"/>
  <c r="Z945" i="9"/>
  <c r="AA945" i="9"/>
  <c r="V946" i="9"/>
  <c r="W946" i="9"/>
  <c r="X946" i="9"/>
  <c r="Y946" i="9"/>
  <c r="Z946" i="9"/>
  <c r="AA946" i="9"/>
  <c r="V947" i="9"/>
  <c r="W947" i="9"/>
  <c r="X947" i="9"/>
  <c r="Y947" i="9"/>
  <c r="Z947" i="9"/>
  <c r="AA947" i="9"/>
  <c r="V948" i="9"/>
  <c r="W948" i="9"/>
  <c r="X948" i="9"/>
  <c r="Y948" i="9"/>
  <c r="Z948" i="9"/>
  <c r="AA948" i="9"/>
  <c r="V949" i="9"/>
  <c r="W949" i="9"/>
  <c r="X949" i="9"/>
  <c r="Y949" i="9"/>
  <c r="Z949" i="9"/>
  <c r="AA949" i="9"/>
  <c r="V950" i="9"/>
  <c r="W950" i="9"/>
  <c r="X950" i="9"/>
  <c r="Y950" i="9"/>
  <c r="Z950" i="9"/>
  <c r="AA950" i="9"/>
  <c r="V951" i="9"/>
  <c r="W951" i="9"/>
  <c r="X951" i="9"/>
  <c r="Y951" i="9"/>
  <c r="Z951" i="9"/>
  <c r="AA951" i="9"/>
  <c r="V952" i="9"/>
  <c r="W952" i="9"/>
  <c r="X952" i="9"/>
  <c r="Y952" i="9"/>
  <c r="Z952" i="9"/>
  <c r="AA952" i="9"/>
  <c r="V953" i="9"/>
  <c r="W953" i="9"/>
  <c r="X953" i="9"/>
  <c r="Y953" i="9"/>
  <c r="Z953" i="9"/>
  <c r="AA953" i="9"/>
  <c r="V954" i="9"/>
  <c r="W954" i="9"/>
  <c r="X954" i="9"/>
  <c r="Y954" i="9"/>
  <c r="Z954" i="9"/>
  <c r="AA954" i="9"/>
  <c r="V955" i="9"/>
  <c r="W955" i="9"/>
  <c r="X955" i="9"/>
  <c r="Y955" i="9"/>
  <c r="Z955" i="9"/>
  <c r="AA955" i="9"/>
  <c r="V956" i="9"/>
  <c r="W956" i="9"/>
  <c r="X956" i="9"/>
  <c r="Y956" i="9"/>
  <c r="Z956" i="9"/>
  <c r="AA956" i="9"/>
  <c r="V957" i="9"/>
  <c r="W957" i="9"/>
  <c r="X957" i="9"/>
  <c r="Y957" i="9"/>
  <c r="Z957" i="9"/>
  <c r="AA957" i="9"/>
  <c r="V958" i="9"/>
  <c r="W958" i="9"/>
  <c r="X958" i="9"/>
  <c r="Y958" i="9"/>
  <c r="Z958" i="9"/>
  <c r="AA958" i="9"/>
  <c r="V959" i="9"/>
  <c r="W959" i="9"/>
  <c r="X959" i="9"/>
  <c r="Y959" i="9"/>
  <c r="Z959" i="9"/>
  <c r="AA959" i="9"/>
  <c r="AA3" i="9"/>
  <c r="Z3" i="9"/>
  <c r="Y3" i="9"/>
  <c r="X3" i="9"/>
  <c r="W3" i="9"/>
  <c r="V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12" i="9"/>
  <c r="U213" i="9"/>
  <c r="U214" i="9"/>
  <c r="U215" i="9"/>
  <c r="U216" i="9"/>
  <c r="U217" i="9"/>
  <c r="U218" i="9"/>
  <c r="U219" i="9"/>
  <c r="U220" i="9"/>
  <c r="U221" i="9"/>
  <c r="U222" i="9"/>
  <c r="U223" i="9"/>
  <c r="U224" i="9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69" i="9"/>
  <c r="U270" i="9"/>
  <c r="U271" i="9"/>
  <c r="U272" i="9"/>
  <c r="U273" i="9"/>
  <c r="U274" i="9"/>
  <c r="U275" i="9"/>
  <c r="U276" i="9"/>
  <c r="U277" i="9"/>
  <c r="U278" i="9"/>
  <c r="U279" i="9"/>
  <c r="U280" i="9"/>
  <c r="U281" i="9"/>
  <c r="U282" i="9"/>
  <c r="U283" i="9"/>
  <c r="U284" i="9"/>
  <c r="U285" i="9"/>
  <c r="U286" i="9"/>
  <c r="U287" i="9"/>
  <c r="U288" i="9"/>
  <c r="U289" i="9"/>
  <c r="U290" i="9"/>
  <c r="U291" i="9"/>
  <c r="U292" i="9"/>
  <c r="U293" i="9"/>
  <c r="U294" i="9"/>
  <c r="U295" i="9"/>
  <c r="U296" i="9"/>
  <c r="U297" i="9"/>
  <c r="U298" i="9"/>
  <c r="U299" i="9"/>
  <c r="U300" i="9"/>
  <c r="U301" i="9"/>
  <c r="U302" i="9"/>
  <c r="U303" i="9"/>
  <c r="U304" i="9"/>
  <c r="U305" i="9"/>
  <c r="U306" i="9"/>
  <c r="U307" i="9"/>
  <c r="U308" i="9"/>
  <c r="U309" i="9"/>
  <c r="U310" i="9"/>
  <c r="U311" i="9"/>
  <c r="U312" i="9"/>
  <c r="U313" i="9"/>
  <c r="U314" i="9"/>
  <c r="U315" i="9"/>
  <c r="U316" i="9"/>
  <c r="U317" i="9"/>
  <c r="U318" i="9"/>
  <c r="U319" i="9"/>
  <c r="U320" i="9"/>
  <c r="U321" i="9"/>
  <c r="U322" i="9"/>
  <c r="U323" i="9"/>
  <c r="U324" i="9"/>
  <c r="U325" i="9"/>
  <c r="U326" i="9"/>
  <c r="U327" i="9"/>
  <c r="U328" i="9"/>
  <c r="U329" i="9"/>
  <c r="U330" i="9"/>
  <c r="U331" i="9"/>
  <c r="U332" i="9"/>
  <c r="U333" i="9"/>
  <c r="U334" i="9"/>
  <c r="U335" i="9"/>
  <c r="U336" i="9"/>
  <c r="U337" i="9"/>
  <c r="U338" i="9"/>
  <c r="U339" i="9"/>
  <c r="U340" i="9"/>
  <c r="U341" i="9"/>
  <c r="U342" i="9"/>
  <c r="U343" i="9"/>
  <c r="U344" i="9"/>
  <c r="U345" i="9"/>
  <c r="U346" i="9"/>
  <c r="U347" i="9"/>
  <c r="U348" i="9"/>
  <c r="U349" i="9"/>
  <c r="U350" i="9"/>
  <c r="U351" i="9"/>
  <c r="U352" i="9"/>
  <c r="U353" i="9"/>
  <c r="U354" i="9"/>
  <c r="U355" i="9"/>
  <c r="U356" i="9"/>
  <c r="U357" i="9"/>
  <c r="U358" i="9"/>
  <c r="U359" i="9"/>
  <c r="U360" i="9"/>
  <c r="U361" i="9"/>
  <c r="U362" i="9"/>
  <c r="U363" i="9"/>
  <c r="U364" i="9"/>
  <c r="U365" i="9"/>
  <c r="U366" i="9"/>
  <c r="U367" i="9"/>
  <c r="U368" i="9"/>
  <c r="U369" i="9"/>
  <c r="U370" i="9"/>
  <c r="U371" i="9"/>
  <c r="U372" i="9"/>
  <c r="U373" i="9"/>
  <c r="U374" i="9"/>
  <c r="U375" i="9"/>
  <c r="U376" i="9"/>
  <c r="U377" i="9"/>
  <c r="U378" i="9"/>
  <c r="U379" i="9"/>
  <c r="U380" i="9"/>
  <c r="U381" i="9"/>
  <c r="U382" i="9"/>
  <c r="U383" i="9"/>
  <c r="U384" i="9"/>
  <c r="U385" i="9"/>
  <c r="U386" i="9"/>
  <c r="U387" i="9"/>
  <c r="U388" i="9"/>
  <c r="U389" i="9"/>
  <c r="U390" i="9"/>
  <c r="U391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U405" i="9"/>
  <c r="U406" i="9"/>
  <c r="U407" i="9"/>
  <c r="U408" i="9"/>
  <c r="U409" i="9"/>
  <c r="U410" i="9"/>
  <c r="U411" i="9"/>
  <c r="U412" i="9"/>
  <c r="U413" i="9"/>
  <c r="U414" i="9"/>
  <c r="U415" i="9"/>
  <c r="U416" i="9"/>
  <c r="U417" i="9"/>
  <c r="U418" i="9"/>
  <c r="U419" i="9"/>
  <c r="U420" i="9"/>
  <c r="U421" i="9"/>
  <c r="U422" i="9"/>
  <c r="U423" i="9"/>
  <c r="U424" i="9"/>
  <c r="U425" i="9"/>
  <c r="U426" i="9"/>
  <c r="U427" i="9"/>
  <c r="U428" i="9"/>
  <c r="U429" i="9"/>
  <c r="U430" i="9"/>
  <c r="U431" i="9"/>
  <c r="U432" i="9"/>
  <c r="U433" i="9"/>
  <c r="U434" i="9"/>
  <c r="U435" i="9"/>
  <c r="U436" i="9"/>
  <c r="U437" i="9"/>
  <c r="U438" i="9"/>
  <c r="U439" i="9"/>
  <c r="U440" i="9"/>
  <c r="U441" i="9"/>
  <c r="U442" i="9"/>
  <c r="U443" i="9"/>
  <c r="U444" i="9"/>
  <c r="U445" i="9"/>
  <c r="U446" i="9"/>
  <c r="U447" i="9"/>
  <c r="U448" i="9"/>
  <c r="U449" i="9"/>
  <c r="U450" i="9"/>
  <c r="U451" i="9"/>
  <c r="U452" i="9"/>
  <c r="U453" i="9"/>
  <c r="U454" i="9"/>
  <c r="U455" i="9"/>
  <c r="U456" i="9"/>
  <c r="U457" i="9"/>
  <c r="U458" i="9"/>
  <c r="U459" i="9"/>
  <c r="U460" i="9"/>
  <c r="U461" i="9"/>
  <c r="U462" i="9"/>
  <c r="U463" i="9"/>
  <c r="U464" i="9"/>
  <c r="U465" i="9"/>
  <c r="U466" i="9"/>
  <c r="U467" i="9"/>
  <c r="U468" i="9"/>
  <c r="U469" i="9"/>
  <c r="U470" i="9"/>
  <c r="U471" i="9"/>
  <c r="U472" i="9"/>
  <c r="U473" i="9"/>
  <c r="U474" i="9"/>
  <c r="U475" i="9"/>
  <c r="U476" i="9"/>
  <c r="U477" i="9"/>
  <c r="U478" i="9"/>
  <c r="U479" i="9"/>
  <c r="U480" i="9"/>
  <c r="U481" i="9"/>
  <c r="U482" i="9"/>
  <c r="U483" i="9"/>
  <c r="U484" i="9"/>
  <c r="U485" i="9"/>
  <c r="U486" i="9"/>
  <c r="U487" i="9"/>
  <c r="U488" i="9"/>
  <c r="U489" i="9"/>
  <c r="U490" i="9"/>
  <c r="U491" i="9"/>
  <c r="U492" i="9"/>
  <c r="U493" i="9"/>
  <c r="U494" i="9"/>
  <c r="U495" i="9"/>
  <c r="U496" i="9"/>
  <c r="U497" i="9"/>
  <c r="U498" i="9"/>
  <c r="U499" i="9"/>
  <c r="U500" i="9"/>
  <c r="U501" i="9"/>
  <c r="U502" i="9"/>
  <c r="U503" i="9"/>
  <c r="U504" i="9"/>
  <c r="U505" i="9"/>
  <c r="U506" i="9"/>
  <c r="U507" i="9"/>
  <c r="U508" i="9"/>
  <c r="U509" i="9"/>
  <c r="U510" i="9"/>
  <c r="U511" i="9"/>
  <c r="U512" i="9"/>
  <c r="U513" i="9"/>
  <c r="U514" i="9"/>
  <c r="U515" i="9"/>
  <c r="U516" i="9"/>
  <c r="U517" i="9"/>
  <c r="U518" i="9"/>
  <c r="U519" i="9"/>
  <c r="U520" i="9"/>
  <c r="U521" i="9"/>
  <c r="U522" i="9"/>
  <c r="U523" i="9"/>
  <c r="U524" i="9"/>
  <c r="U525" i="9"/>
  <c r="U526" i="9"/>
  <c r="U527" i="9"/>
  <c r="U528" i="9"/>
  <c r="U529" i="9"/>
  <c r="U530" i="9"/>
  <c r="U531" i="9"/>
  <c r="U532" i="9"/>
  <c r="U533" i="9"/>
  <c r="U534" i="9"/>
  <c r="U535" i="9"/>
  <c r="U536" i="9"/>
  <c r="U537" i="9"/>
  <c r="U538" i="9"/>
  <c r="U539" i="9"/>
  <c r="U540" i="9"/>
  <c r="U541" i="9"/>
  <c r="U542" i="9"/>
  <c r="U543" i="9"/>
  <c r="U544" i="9"/>
  <c r="U545" i="9"/>
  <c r="U546" i="9"/>
  <c r="U547" i="9"/>
  <c r="U548" i="9"/>
  <c r="U549" i="9"/>
  <c r="U550" i="9"/>
  <c r="U551" i="9"/>
  <c r="U552" i="9"/>
  <c r="U553" i="9"/>
  <c r="U554" i="9"/>
  <c r="U555" i="9"/>
  <c r="U556" i="9"/>
  <c r="U557" i="9"/>
  <c r="U558" i="9"/>
  <c r="U559" i="9"/>
  <c r="U560" i="9"/>
  <c r="U561" i="9"/>
  <c r="U562" i="9"/>
  <c r="U563" i="9"/>
  <c r="U564" i="9"/>
  <c r="U565" i="9"/>
  <c r="U566" i="9"/>
  <c r="U567" i="9"/>
  <c r="U568" i="9"/>
  <c r="U569" i="9"/>
  <c r="U570" i="9"/>
  <c r="U571" i="9"/>
  <c r="U572" i="9"/>
  <c r="U573" i="9"/>
  <c r="U574" i="9"/>
  <c r="U575" i="9"/>
  <c r="U576" i="9"/>
  <c r="U577" i="9"/>
  <c r="U578" i="9"/>
  <c r="U579" i="9"/>
  <c r="U580" i="9"/>
  <c r="U581" i="9"/>
  <c r="U582" i="9"/>
  <c r="U583" i="9"/>
  <c r="U584" i="9"/>
  <c r="U585" i="9"/>
  <c r="U586" i="9"/>
  <c r="U587" i="9"/>
  <c r="U588" i="9"/>
  <c r="U589" i="9"/>
  <c r="U590" i="9"/>
  <c r="U591" i="9"/>
  <c r="U592" i="9"/>
  <c r="U593" i="9"/>
  <c r="U594" i="9"/>
  <c r="U595" i="9"/>
  <c r="U596" i="9"/>
  <c r="U597" i="9"/>
  <c r="U598" i="9"/>
  <c r="U599" i="9"/>
  <c r="U600" i="9"/>
  <c r="U601" i="9"/>
  <c r="U602" i="9"/>
  <c r="U603" i="9"/>
  <c r="U604" i="9"/>
  <c r="U605" i="9"/>
  <c r="U606" i="9"/>
  <c r="U607" i="9"/>
  <c r="U608" i="9"/>
  <c r="U609" i="9"/>
  <c r="U610" i="9"/>
  <c r="U611" i="9"/>
  <c r="U612" i="9"/>
  <c r="U613" i="9"/>
  <c r="U614" i="9"/>
  <c r="U615" i="9"/>
  <c r="U616" i="9"/>
  <c r="U617" i="9"/>
  <c r="U618" i="9"/>
  <c r="U619" i="9"/>
  <c r="U620" i="9"/>
  <c r="U621" i="9"/>
  <c r="U622" i="9"/>
  <c r="U623" i="9"/>
  <c r="U624" i="9"/>
  <c r="U625" i="9"/>
  <c r="U626" i="9"/>
  <c r="U627" i="9"/>
  <c r="U628" i="9"/>
  <c r="U629" i="9"/>
  <c r="U630" i="9"/>
  <c r="U631" i="9"/>
  <c r="U632" i="9"/>
  <c r="U633" i="9"/>
  <c r="U634" i="9"/>
  <c r="U635" i="9"/>
  <c r="U636" i="9"/>
  <c r="U637" i="9"/>
  <c r="U638" i="9"/>
  <c r="U639" i="9"/>
  <c r="U640" i="9"/>
  <c r="U641" i="9"/>
  <c r="U642" i="9"/>
  <c r="U643" i="9"/>
  <c r="U644" i="9"/>
  <c r="U645" i="9"/>
  <c r="U646" i="9"/>
  <c r="U647" i="9"/>
  <c r="U648" i="9"/>
  <c r="U649" i="9"/>
  <c r="U650" i="9"/>
  <c r="U651" i="9"/>
  <c r="U652" i="9"/>
  <c r="U653" i="9"/>
  <c r="U654" i="9"/>
  <c r="U655" i="9"/>
  <c r="U656" i="9"/>
  <c r="U657" i="9"/>
  <c r="U658" i="9"/>
  <c r="U659" i="9"/>
  <c r="U660" i="9"/>
  <c r="U661" i="9"/>
  <c r="U662" i="9"/>
  <c r="U663" i="9"/>
  <c r="U664" i="9"/>
  <c r="U665" i="9"/>
  <c r="U666" i="9"/>
  <c r="U667" i="9"/>
  <c r="U668" i="9"/>
  <c r="U669" i="9"/>
  <c r="U670" i="9"/>
  <c r="U671" i="9"/>
  <c r="U672" i="9"/>
  <c r="U673" i="9"/>
  <c r="U674" i="9"/>
  <c r="U675" i="9"/>
  <c r="U676" i="9"/>
  <c r="U677" i="9"/>
  <c r="U678" i="9"/>
  <c r="U679" i="9"/>
  <c r="U680" i="9"/>
  <c r="U681" i="9"/>
  <c r="U682" i="9"/>
  <c r="U683" i="9"/>
  <c r="U684" i="9"/>
  <c r="U685" i="9"/>
  <c r="U686" i="9"/>
  <c r="U687" i="9"/>
  <c r="U688" i="9"/>
  <c r="U689" i="9"/>
  <c r="U690" i="9"/>
  <c r="U691" i="9"/>
  <c r="U692" i="9"/>
  <c r="U693" i="9"/>
  <c r="U694" i="9"/>
  <c r="U695" i="9"/>
  <c r="U696" i="9"/>
  <c r="U697" i="9"/>
  <c r="U698" i="9"/>
  <c r="U699" i="9"/>
  <c r="U700" i="9"/>
  <c r="U701" i="9"/>
  <c r="U702" i="9"/>
  <c r="U703" i="9"/>
  <c r="U704" i="9"/>
  <c r="U705" i="9"/>
  <c r="U706" i="9"/>
  <c r="U707" i="9"/>
  <c r="U708" i="9"/>
  <c r="U709" i="9"/>
  <c r="U710" i="9"/>
  <c r="U711" i="9"/>
  <c r="U712" i="9"/>
  <c r="U713" i="9"/>
  <c r="U714" i="9"/>
  <c r="U715" i="9"/>
  <c r="U716" i="9"/>
  <c r="U717" i="9"/>
  <c r="U718" i="9"/>
  <c r="U719" i="9"/>
  <c r="U720" i="9"/>
  <c r="U721" i="9"/>
  <c r="U722" i="9"/>
  <c r="U723" i="9"/>
  <c r="U724" i="9"/>
  <c r="U725" i="9"/>
  <c r="U726" i="9"/>
  <c r="U727" i="9"/>
  <c r="U728" i="9"/>
  <c r="U729" i="9"/>
  <c r="U730" i="9"/>
  <c r="U731" i="9"/>
  <c r="U732" i="9"/>
  <c r="U733" i="9"/>
  <c r="U734" i="9"/>
  <c r="U735" i="9"/>
  <c r="U736" i="9"/>
  <c r="U737" i="9"/>
  <c r="U738" i="9"/>
  <c r="U739" i="9"/>
  <c r="U740" i="9"/>
  <c r="U741" i="9"/>
  <c r="U742" i="9"/>
  <c r="U743" i="9"/>
  <c r="U744" i="9"/>
  <c r="U745" i="9"/>
  <c r="U746" i="9"/>
  <c r="U747" i="9"/>
  <c r="U748" i="9"/>
  <c r="U749" i="9"/>
  <c r="U750" i="9"/>
  <c r="U751" i="9"/>
  <c r="U752" i="9"/>
  <c r="U753" i="9"/>
  <c r="U754" i="9"/>
  <c r="U755" i="9"/>
  <c r="U756" i="9"/>
  <c r="U757" i="9"/>
  <c r="U758" i="9"/>
  <c r="U759" i="9"/>
  <c r="U760" i="9"/>
  <c r="U761" i="9"/>
  <c r="U762" i="9"/>
  <c r="U763" i="9"/>
  <c r="U764" i="9"/>
  <c r="U765" i="9"/>
  <c r="U766" i="9"/>
  <c r="U767" i="9"/>
  <c r="U768" i="9"/>
  <c r="U769" i="9"/>
  <c r="U770" i="9"/>
  <c r="U771" i="9"/>
  <c r="U772" i="9"/>
  <c r="U773" i="9"/>
  <c r="U774" i="9"/>
  <c r="U775" i="9"/>
  <c r="U776" i="9"/>
  <c r="U777" i="9"/>
  <c r="U778" i="9"/>
  <c r="U779" i="9"/>
  <c r="U780" i="9"/>
  <c r="U781" i="9"/>
  <c r="U782" i="9"/>
  <c r="U783" i="9"/>
  <c r="U784" i="9"/>
  <c r="U785" i="9"/>
  <c r="U786" i="9"/>
  <c r="U787" i="9"/>
  <c r="U788" i="9"/>
  <c r="U789" i="9"/>
  <c r="U790" i="9"/>
  <c r="U791" i="9"/>
  <c r="U792" i="9"/>
  <c r="U793" i="9"/>
  <c r="U794" i="9"/>
  <c r="U795" i="9"/>
  <c r="U796" i="9"/>
  <c r="U797" i="9"/>
  <c r="U798" i="9"/>
  <c r="U799" i="9"/>
  <c r="U800" i="9"/>
  <c r="U801" i="9"/>
  <c r="U802" i="9"/>
  <c r="U803" i="9"/>
  <c r="U804" i="9"/>
  <c r="U805" i="9"/>
  <c r="U806" i="9"/>
  <c r="U807" i="9"/>
  <c r="U808" i="9"/>
  <c r="U809" i="9"/>
  <c r="U810" i="9"/>
  <c r="U811" i="9"/>
  <c r="U812" i="9"/>
  <c r="U813" i="9"/>
  <c r="U814" i="9"/>
  <c r="U815" i="9"/>
  <c r="U816" i="9"/>
  <c r="U817" i="9"/>
  <c r="U818" i="9"/>
  <c r="U819" i="9"/>
  <c r="U820" i="9"/>
  <c r="U821" i="9"/>
  <c r="U822" i="9"/>
  <c r="U823" i="9"/>
  <c r="U824" i="9"/>
  <c r="U825" i="9"/>
  <c r="U826" i="9"/>
  <c r="U827" i="9"/>
  <c r="U828" i="9"/>
  <c r="U829" i="9"/>
  <c r="U830" i="9"/>
  <c r="U831" i="9"/>
  <c r="U832" i="9"/>
  <c r="U833" i="9"/>
  <c r="U834" i="9"/>
  <c r="U835" i="9"/>
  <c r="U836" i="9"/>
  <c r="U837" i="9"/>
  <c r="U838" i="9"/>
  <c r="U839" i="9"/>
  <c r="U840" i="9"/>
  <c r="U841" i="9"/>
  <c r="U842" i="9"/>
  <c r="U843" i="9"/>
  <c r="U844" i="9"/>
  <c r="U845" i="9"/>
  <c r="U846" i="9"/>
  <c r="U847" i="9"/>
  <c r="U848" i="9"/>
  <c r="U849" i="9"/>
  <c r="U850" i="9"/>
  <c r="U851" i="9"/>
  <c r="U852" i="9"/>
  <c r="U853" i="9"/>
  <c r="U854" i="9"/>
  <c r="U855" i="9"/>
  <c r="U856" i="9"/>
  <c r="U857" i="9"/>
  <c r="U858" i="9"/>
  <c r="U859" i="9"/>
  <c r="U860" i="9"/>
  <c r="U861" i="9"/>
  <c r="U862" i="9"/>
  <c r="U863" i="9"/>
  <c r="U864" i="9"/>
  <c r="U865" i="9"/>
  <c r="U866" i="9"/>
  <c r="U867" i="9"/>
  <c r="U868" i="9"/>
  <c r="U869" i="9"/>
  <c r="U870" i="9"/>
  <c r="U871" i="9"/>
  <c r="U872" i="9"/>
  <c r="U873" i="9"/>
  <c r="U874" i="9"/>
  <c r="U875" i="9"/>
  <c r="U876" i="9"/>
  <c r="U877" i="9"/>
  <c r="U878" i="9"/>
  <c r="U879" i="9"/>
  <c r="U880" i="9"/>
  <c r="U881" i="9"/>
  <c r="U882" i="9"/>
  <c r="U883" i="9"/>
  <c r="U884" i="9"/>
  <c r="U885" i="9"/>
  <c r="U886" i="9"/>
  <c r="U887" i="9"/>
  <c r="U888" i="9"/>
  <c r="U889" i="9"/>
  <c r="U890" i="9"/>
  <c r="U891" i="9"/>
  <c r="U892" i="9"/>
  <c r="U893" i="9"/>
  <c r="U894" i="9"/>
  <c r="U895" i="9"/>
  <c r="U896" i="9"/>
  <c r="U897" i="9"/>
  <c r="U898" i="9"/>
  <c r="U899" i="9"/>
  <c r="U900" i="9"/>
  <c r="U901" i="9"/>
  <c r="U902" i="9"/>
  <c r="U903" i="9"/>
  <c r="U904" i="9"/>
  <c r="U905" i="9"/>
  <c r="U906" i="9"/>
  <c r="U907" i="9"/>
  <c r="U908" i="9"/>
  <c r="U909" i="9"/>
  <c r="U910" i="9"/>
  <c r="U911" i="9"/>
  <c r="U912" i="9"/>
  <c r="U913" i="9"/>
  <c r="U914" i="9"/>
  <c r="U915" i="9"/>
  <c r="U916" i="9"/>
  <c r="U917" i="9"/>
  <c r="U918" i="9"/>
  <c r="U919" i="9"/>
  <c r="U920" i="9"/>
  <c r="U921" i="9"/>
  <c r="U922" i="9"/>
  <c r="U923" i="9"/>
  <c r="U924" i="9"/>
  <c r="U925" i="9"/>
  <c r="U926" i="9"/>
  <c r="U927" i="9"/>
  <c r="U928" i="9"/>
  <c r="U929" i="9"/>
  <c r="U930" i="9"/>
  <c r="U931" i="9"/>
  <c r="U932" i="9"/>
  <c r="U933" i="9"/>
  <c r="U934" i="9"/>
  <c r="U935" i="9"/>
  <c r="U936" i="9"/>
  <c r="U937" i="9"/>
  <c r="U938" i="9"/>
  <c r="U939" i="9"/>
  <c r="U940" i="9"/>
  <c r="U941" i="9"/>
  <c r="U942" i="9"/>
  <c r="U943" i="9"/>
  <c r="U944" i="9"/>
  <c r="U945" i="9"/>
  <c r="U946" i="9"/>
  <c r="U947" i="9"/>
  <c r="U948" i="9"/>
  <c r="U949" i="9"/>
  <c r="U950" i="9"/>
  <c r="U951" i="9"/>
  <c r="U952" i="9"/>
  <c r="U953" i="9"/>
  <c r="U954" i="9"/>
  <c r="U955" i="9"/>
  <c r="U956" i="9"/>
  <c r="U957" i="9"/>
  <c r="U958" i="9"/>
  <c r="U959" i="9"/>
  <c r="U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0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612" i="9"/>
  <c r="T613" i="9"/>
  <c r="T614" i="9"/>
  <c r="T615" i="9"/>
  <c r="T616" i="9"/>
  <c r="T617" i="9"/>
  <c r="T618" i="9"/>
  <c r="T619" i="9"/>
  <c r="T620" i="9"/>
  <c r="T621" i="9"/>
  <c r="T622" i="9"/>
  <c r="T623" i="9"/>
  <c r="T624" i="9"/>
  <c r="T625" i="9"/>
  <c r="T626" i="9"/>
  <c r="T627" i="9"/>
  <c r="T628" i="9"/>
  <c r="T629" i="9"/>
  <c r="T630" i="9"/>
  <c r="T631" i="9"/>
  <c r="T632" i="9"/>
  <c r="T633" i="9"/>
  <c r="T634" i="9"/>
  <c r="T635" i="9"/>
  <c r="T636" i="9"/>
  <c r="T637" i="9"/>
  <c r="T638" i="9"/>
  <c r="T639" i="9"/>
  <c r="T640" i="9"/>
  <c r="T641" i="9"/>
  <c r="T642" i="9"/>
  <c r="T643" i="9"/>
  <c r="T644" i="9"/>
  <c r="T645" i="9"/>
  <c r="T646" i="9"/>
  <c r="T647" i="9"/>
  <c r="T648" i="9"/>
  <c r="T649" i="9"/>
  <c r="T650" i="9"/>
  <c r="T651" i="9"/>
  <c r="T652" i="9"/>
  <c r="T653" i="9"/>
  <c r="T654" i="9"/>
  <c r="T655" i="9"/>
  <c r="T656" i="9"/>
  <c r="T657" i="9"/>
  <c r="T658" i="9"/>
  <c r="T659" i="9"/>
  <c r="T660" i="9"/>
  <c r="T661" i="9"/>
  <c r="T662" i="9"/>
  <c r="T663" i="9"/>
  <c r="T664" i="9"/>
  <c r="T665" i="9"/>
  <c r="T666" i="9"/>
  <c r="T667" i="9"/>
  <c r="T668" i="9"/>
  <c r="T669" i="9"/>
  <c r="T670" i="9"/>
  <c r="T671" i="9"/>
  <c r="T672" i="9"/>
  <c r="T673" i="9"/>
  <c r="T674" i="9"/>
  <c r="T675" i="9"/>
  <c r="T676" i="9"/>
  <c r="T677" i="9"/>
  <c r="T678" i="9"/>
  <c r="T679" i="9"/>
  <c r="T680" i="9"/>
  <c r="T681" i="9"/>
  <c r="T682" i="9"/>
  <c r="T683" i="9"/>
  <c r="T684" i="9"/>
  <c r="T685" i="9"/>
  <c r="T686" i="9"/>
  <c r="T687" i="9"/>
  <c r="T688" i="9"/>
  <c r="T689" i="9"/>
  <c r="T690" i="9"/>
  <c r="T691" i="9"/>
  <c r="T692" i="9"/>
  <c r="T693" i="9"/>
  <c r="T694" i="9"/>
  <c r="T695" i="9"/>
  <c r="T696" i="9"/>
  <c r="T697" i="9"/>
  <c r="T698" i="9"/>
  <c r="T699" i="9"/>
  <c r="T700" i="9"/>
  <c r="T701" i="9"/>
  <c r="T702" i="9"/>
  <c r="T703" i="9"/>
  <c r="T704" i="9"/>
  <c r="T705" i="9"/>
  <c r="T706" i="9"/>
  <c r="T707" i="9"/>
  <c r="T708" i="9"/>
  <c r="T709" i="9"/>
  <c r="T710" i="9"/>
  <c r="T711" i="9"/>
  <c r="T712" i="9"/>
  <c r="T713" i="9"/>
  <c r="T714" i="9"/>
  <c r="T715" i="9"/>
  <c r="T716" i="9"/>
  <c r="T717" i="9"/>
  <c r="T718" i="9"/>
  <c r="T719" i="9"/>
  <c r="T720" i="9"/>
  <c r="T721" i="9"/>
  <c r="T722" i="9"/>
  <c r="T723" i="9"/>
  <c r="T724" i="9"/>
  <c r="T725" i="9"/>
  <c r="T726" i="9"/>
  <c r="T727" i="9"/>
  <c r="T728" i="9"/>
  <c r="T729" i="9"/>
  <c r="T730" i="9"/>
  <c r="T731" i="9"/>
  <c r="T732" i="9"/>
  <c r="T733" i="9"/>
  <c r="T734" i="9"/>
  <c r="T735" i="9"/>
  <c r="T736" i="9"/>
  <c r="T737" i="9"/>
  <c r="T738" i="9"/>
  <c r="T739" i="9"/>
  <c r="T740" i="9"/>
  <c r="T741" i="9"/>
  <c r="T742" i="9"/>
  <c r="T743" i="9"/>
  <c r="T744" i="9"/>
  <c r="T745" i="9"/>
  <c r="T746" i="9"/>
  <c r="T747" i="9"/>
  <c r="T748" i="9"/>
  <c r="T749" i="9"/>
  <c r="T750" i="9"/>
  <c r="T751" i="9"/>
  <c r="T752" i="9"/>
  <c r="T753" i="9"/>
  <c r="T754" i="9"/>
  <c r="T755" i="9"/>
  <c r="T756" i="9"/>
  <c r="T757" i="9"/>
  <c r="T758" i="9"/>
  <c r="T759" i="9"/>
  <c r="T760" i="9"/>
  <c r="T761" i="9"/>
  <c r="T762" i="9"/>
  <c r="T763" i="9"/>
  <c r="T764" i="9"/>
  <c r="T765" i="9"/>
  <c r="T766" i="9"/>
  <c r="T767" i="9"/>
  <c r="T768" i="9"/>
  <c r="T769" i="9"/>
  <c r="T770" i="9"/>
  <c r="T771" i="9"/>
  <c r="T772" i="9"/>
  <c r="T773" i="9"/>
  <c r="T774" i="9"/>
  <c r="T775" i="9"/>
  <c r="T776" i="9"/>
  <c r="T777" i="9"/>
  <c r="T778" i="9"/>
  <c r="T779" i="9"/>
  <c r="T780" i="9"/>
  <c r="T781" i="9"/>
  <c r="T782" i="9"/>
  <c r="T783" i="9"/>
  <c r="T784" i="9"/>
  <c r="T785" i="9"/>
  <c r="T786" i="9"/>
  <c r="T787" i="9"/>
  <c r="T788" i="9"/>
  <c r="T789" i="9"/>
  <c r="T790" i="9"/>
  <c r="T791" i="9"/>
  <c r="T792" i="9"/>
  <c r="T793" i="9"/>
  <c r="T794" i="9"/>
  <c r="T795" i="9"/>
  <c r="T796" i="9"/>
  <c r="T797" i="9"/>
  <c r="T798" i="9"/>
  <c r="T799" i="9"/>
  <c r="T800" i="9"/>
  <c r="T801" i="9"/>
  <c r="T802" i="9"/>
  <c r="T803" i="9"/>
  <c r="T804" i="9"/>
  <c r="T805" i="9"/>
  <c r="T806" i="9"/>
  <c r="T807" i="9"/>
  <c r="T808" i="9"/>
  <c r="T809" i="9"/>
  <c r="T810" i="9"/>
  <c r="T811" i="9"/>
  <c r="T812" i="9"/>
  <c r="T813" i="9"/>
  <c r="T814" i="9"/>
  <c r="T815" i="9"/>
  <c r="T816" i="9"/>
  <c r="T817" i="9"/>
  <c r="T818" i="9"/>
  <c r="T819" i="9"/>
  <c r="T820" i="9"/>
  <c r="T821" i="9"/>
  <c r="T822" i="9"/>
  <c r="T823" i="9"/>
  <c r="T824" i="9"/>
  <c r="T825" i="9"/>
  <c r="T826" i="9"/>
  <c r="T827" i="9"/>
  <c r="T828" i="9"/>
  <c r="T829" i="9"/>
  <c r="T830" i="9"/>
  <c r="T831" i="9"/>
  <c r="T832" i="9"/>
  <c r="T833" i="9"/>
  <c r="T834" i="9"/>
  <c r="T835" i="9"/>
  <c r="T836" i="9"/>
  <c r="T837" i="9"/>
  <c r="T838" i="9"/>
  <c r="T839" i="9"/>
  <c r="T840" i="9"/>
  <c r="T841" i="9"/>
  <c r="T842" i="9"/>
  <c r="T843" i="9"/>
  <c r="T844" i="9"/>
  <c r="T845" i="9"/>
  <c r="T846" i="9"/>
  <c r="T847" i="9"/>
  <c r="T848" i="9"/>
  <c r="T849" i="9"/>
  <c r="T850" i="9"/>
  <c r="T851" i="9"/>
  <c r="T852" i="9"/>
  <c r="T853" i="9"/>
  <c r="T854" i="9"/>
  <c r="T855" i="9"/>
  <c r="T856" i="9"/>
  <c r="T857" i="9"/>
  <c r="T858" i="9"/>
  <c r="T859" i="9"/>
  <c r="T860" i="9"/>
  <c r="T861" i="9"/>
  <c r="T862" i="9"/>
  <c r="T863" i="9"/>
  <c r="T864" i="9"/>
  <c r="T865" i="9"/>
  <c r="T866" i="9"/>
  <c r="T867" i="9"/>
  <c r="T868" i="9"/>
  <c r="T869" i="9"/>
  <c r="T870" i="9"/>
  <c r="T871" i="9"/>
  <c r="T872" i="9"/>
  <c r="T873" i="9"/>
  <c r="T874" i="9"/>
  <c r="T875" i="9"/>
  <c r="T876" i="9"/>
  <c r="T877" i="9"/>
  <c r="T878" i="9"/>
  <c r="T879" i="9"/>
  <c r="T880" i="9"/>
  <c r="T881" i="9"/>
  <c r="T882" i="9"/>
  <c r="T883" i="9"/>
  <c r="T884" i="9"/>
  <c r="T885" i="9"/>
  <c r="T886" i="9"/>
  <c r="T887" i="9"/>
  <c r="T888" i="9"/>
  <c r="T889" i="9"/>
  <c r="T890" i="9"/>
  <c r="T891" i="9"/>
  <c r="T892" i="9"/>
  <c r="T893" i="9"/>
  <c r="T894" i="9"/>
  <c r="T895" i="9"/>
  <c r="T896" i="9"/>
  <c r="T897" i="9"/>
  <c r="T898" i="9"/>
  <c r="T899" i="9"/>
  <c r="T900" i="9"/>
  <c r="T901" i="9"/>
  <c r="T902" i="9"/>
  <c r="T903" i="9"/>
  <c r="T904" i="9"/>
  <c r="T905" i="9"/>
  <c r="T906" i="9"/>
  <c r="T907" i="9"/>
  <c r="T908" i="9"/>
  <c r="T909" i="9"/>
  <c r="T910" i="9"/>
  <c r="T911" i="9"/>
  <c r="T912" i="9"/>
  <c r="T913" i="9"/>
  <c r="T914" i="9"/>
  <c r="T915" i="9"/>
  <c r="T916" i="9"/>
  <c r="T917" i="9"/>
  <c r="T918" i="9"/>
  <c r="T919" i="9"/>
  <c r="T920" i="9"/>
  <c r="T921" i="9"/>
  <c r="T922" i="9"/>
  <c r="T923" i="9"/>
  <c r="T924" i="9"/>
  <c r="T925" i="9"/>
  <c r="T926" i="9"/>
  <c r="T927" i="9"/>
  <c r="T928" i="9"/>
  <c r="T929" i="9"/>
  <c r="T930" i="9"/>
  <c r="T931" i="9"/>
  <c r="T932" i="9"/>
  <c r="T933" i="9"/>
  <c r="T934" i="9"/>
  <c r="T935" i="9"/>
  <c r="T936" i="9"/>
  <c r="T937" i="9"/>
  <c r="T938" i="9"/>
  <c r="T939" i="9"/>
  <c r="T940" i="9"/>
  <c r="T941" i="9"/>
  <c r="T942" i="9"/>
  <c r="T943" i="9"/>
  <c r="T944" i="9"/>
  <c r="T945" i="9"/>
  <c r="T946" i="9"/>
  <c r="T947" i="9"/>
  <c r="T948" i="9"/>
  <c r="T949" i="9"/>
  <c r="T950" i="9"/>
  <c r="T951" i="9"/>
  <c r="T952" i="9"/>
  <c r="T953" i="9"/>
  <c r="T954" i="9"/>
  <c r="T955" i="9"/>
  <c r="T956" i="9"/>
  <c r="T957" i="9"/>
  <c r="T958" i="9"/>
  <c r="T959" i="9"/>
  <c r="T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28" i="9"/>
  <c r="S329" i="9"/>
  <c r="S330" i="9"/>
  <c r="S331" i="9"/>
  <c r="S332" i="9"/>
  <c r="S333" i="9"/>
  <c r="S334" i="9"/>
  <c r="S335" i="9"/>
  <c r="S336" i="9"/>
  <c r="S337" i="9"/>
  <c r="S338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8" i="9"/>
  <c r="S369" i="9"/>
  <c r="S370" i="9"/>
  <c r="S371" i="9"/>
  <c r="S372" i="9"/>
  <c r="S373" i="9"/>
  <c r="S374" i="9"/>
  <c r="S375" i="9"/>
  <c r="S376" i="9"/>
  <c r="S377" i="9"/>
  <c r="S378" i="9"/>
  <c r="S379" i="9"/>
  <c r="S380" i="9"/>
  <c r="S381" i="9"/>
  <c r="S382" i="9"/>
  <c r="S383" i="9"/>
  <c r="S384" i="9"/>
  <c r="S385" i="9"/>
  <c r="S386" i="9"/>
  <c r="S387" i="9"/>
  <c r="S388" i="9"/>
  <c r="S389" i="9"/>
  <c r="S390" i="9"/>
  <c r="S391" i="9"/>
  <c r="S392" i="9"/>
  <c r="S393" i="9"/>
  <c r="S394" i="9"/>
  <c r="S395" i="9"/>
  <c r="S396" i="9"/>
  <c r="S397" i="9"/>
  <c r="S398" i="9"/>
  <c r="S399" i="9"/>
  <c r="S400" i="9"/>
  <c r="S401" i="9"/>
  <c r="S402" i="9"/>
  <c r="S403" i="9"/>
  <c r="S404" i="9"/>
  <c r="S405" i="9"/>
  <c r="S406" i="9"/>
  <c r="S407" i="9"/>
  <c r="S408" i="9"/>
  <c r="S409" i="9"/>
  <c r="S410" i="9"/>
  <c r="S411" i="9"/>
  <c r="S412" i="9"/>
  <c r="S413" i="9"/>
  <c r="S414" i="9"/>
  <c r="S415" i="9"/>
  <c r="S416" i="9"/>
  <c r="S417" i="9"/>
  <c r="S418" i="9"/>
  <c r="S419" i="9"/>
  <c r="S420" i="9"/>
  <c r="S421" i="9"/>
  <c r="S422" i="9"/>
  <c r="S423" i="9"/>
  <c r="S424" i="9"/>
  <c r="S425" i="9"/>
  <c r="S426" i="9"/>
  <c r="S427" i="9"/>
  <c r="S428" i="9"/>
  <c r="S429" i="9"/>
  <c r="S430" i="9"/>
  <c r="S431" i="9"/>
  <c r="S432" i="9"/>
  <c r="S433" i="9"/>
  <c r="S434" i="9"/>
  <c r="S435" i="9"/>
  <c r="S436" i="9"/>
  <c r="S437" i="9"/>
  <c r="S438" i="9"/>
  <c r="S439" i="9"/>
  <c r="S440" i="9"/>
  <c r="S441" i="9"/>
  <c r="S442" i="9"/>
  <c r="S443" i="9"/>
  <c r="S444" i="9"/>
  <c r="S445" i="9"/>
  <c r="S446" i="9"/>
  <c r="S447" i="9"/>
  <c r="S448" i="9"/>
  <c r="S449" i="9"/>
  <c r="S450" i="9"/>
  <c r="S451" i="9"/>
  <c r="S452" i="9"/>
  <c r="S453" i="9"/>
  <c r="S454" i="9"/>
  <c r="S455" i="9"/>
  <c r="S456" i="9"/>
  <c r="S457" i="9"/>
  <c r="S458" i="9"/>
  <c r="S459" i="9"/>
  <c r="S460" i="9"/>
  <c r="S461" i="9"/>
  <c r="S462" i="9"/>
  <c r="S463" i="9"/>
  <c r="S464" i="9"/>
  <c r="S465" i="9"/>
  <c r="S466" i="9"/>
  <c r="S467" i="9"/>
  <c r="S468" i="9"/>
  <c r="S469" i="9"/>
  <c r="S470" i="9"/>
  <c r="S471" i="9"/>
  <c r="S472" i="9"/>
  <c r="S473" i="9"/>
  <c r="S474" i="9"/>
  <c r="S475" i="9"/>
  <c r="S476" i="9"/>
  <c r="S477" i="9"/>
  <c r="S478" i="9"/>
  <c r="S479" i="9"/>
  <c r="S480" i="9"/>
  <c r="S481" i="9"/>
  <c r="S482" i="9"/>
  <c r="S483" i="9"/>
  <c r="S484" i="9"/>
  <c r="S485" i="9"/>
  <c r="S486" i="9"/>
  <c r="S487" i="9"/>
  <c r="S488" i="9"/>
  <c r="S489" i="9"/>
  <c r="S490" i="9"/>
  <c r="S491" i="9"/>
  <c r="S492" i="9"/>
  <c r="S493" i="9"/>
  <c r="S494" i="9"/>
  <c r="S495" i="9"/>
  <c r="S496" i="9"/>
  <c r="S497" i="9"/>
  <c r="S498" i="9"/>
  <c r="S499" i="9"/>
  <c r="S500" i="9"/>
  <c r="S501" i="9"/>
  <c r="S502" i="9"/>
  <c r="S503" i="9"/>
  <c r="S504" i="9"/>
  <c r="S505" i="9"/>
  <c r="S506" i="9"/>
  <c r="S507" i="9"/>
  <c r="S508" i="9"/>
  <c r="S509" i="9"/>
  <c r="S510" i="9"/>
  <c r="S511" i="9"/>
  <c r="S512" i="9"/>
  <c r="S513" i="9"/>
  <c r="S514" i="9"/>
  <c r="S515" i="9"/>
  <c r="S516" i="9"/>
  <c r="S517" i="9"/>
  <c r="S518" i="9"/>
  <c r="S519" i="9"/>
  <c r="S520" i="9"/>
  <c r="S521" i="9"/>
  <c r="S522" i="9"/>
  <c r="S523" i="9"/>
  <c r="S524" i="9"/>
  <c r="S525" i="9"/>
  <c r="S526" i="9"/>
  <c r="S527" i="9"/>
  <c r="S528" i="9"/>
  <c r="S529" i="9"/>
  <c r="S530" i="9"/>
  <c r="S531" i="9"/>
  <c r="S532" i="9"/>
  <c r="S533" i="9"/>
  <c r="S534" i="9"/>
  <c r="S535" i="9"/>
  <c r="S536" i="9"/>
  <c r="S537" i="9"/>
  <c r="S538" i="9"/>
  <c r="S539" i="9"/>
  <c r="S540" i="9"/>
  <c r="S541" i="9"/>
  <c r="S542" i="9"/>
  <c r="S543" i="9"/>
  <c r="S544" i="9"/>
  <c r="S545" i="9"/>
  <c r="S546" i="9"/>
  <c r="S547" i="9"/>
  <c r="S548" i="9"/>
  <c r="S549" i="9"/>
  <c r="S550" i="9"/>
  <c r="S551" i="9"/>
  <c r="S552" i="9"/>
  <c r="S553" i="9"/>
  <c r="S554" i="9"/>
  <c r="S555" i="9"/>
  <c r="S556" i="9"/>
  <c r="S557" i="9"/>
  <c r="S558" i="9"/>
  <c r="S559" i="9"/>
  <c r="S560" i="9"/>
  <c r="S561" i="9"/>
  <c r="S562" i="9"/>
  <c r="S563" i="9"/>
  <c r="S564" i="9"/>
  <c r="S565" i="9"/>
  <c r="S566" i="9"/>
  <c r="S567" i="9"/>
  <c r="S568" i="9"/>
  <c r="S569" i="9"/>
  <c r="S570" i="9"/>
  <c r="S571" i="9"/>
  <c r="S572" i="9"/>
  <c r="S573" i="9"/>
  <c r="S574" i="9"/>
  <c r="S575" i="9"/>
  <c r="S576" i="9"/>
  <c r="S577" i="9"/>
  <c r="S578" i="9"/>
  <c r="S579" i="9"/>
  <c r="S580" i="9"/>
  <c r="S581" i="9"/>
  <c r="S582" i="9"/>
  <c r="S583" i="9"/>
  <c r="S584" i="9"/>
  <c r="S585" i="9"/>
  <c r="S586" i="9"/>
  <c r="S587" i="9"/>
  <c r="S588" i="9"/>
  <c r="S589" i="9"/>
  <c r="S590" i="9"/>
  <c r="S591" i="9"/>
  <c r="S592" i="9"/>
  <c r="S593" i="9"/>
  <c r="S594" i="9"/>
  <c r="S595" i="9"/>
  <c r="S596" i="9"/>
  <c r="S597" i="9"/>
  <c r="S598" i="9"/>
  <c r="S599" i="9"/>
  <c r="S600" i="9"/>
  <c r="S601" i="9"/>
  <c r="S602" i="9"/>
  <c r="S603" i="9"/>
  <c r="S604" i="9"/>
  <c r="S605" i="9"/>
  <c r="S606" i="9"/>
  <c r="S607" i="9"/>
  <c r="S608" i="9"/>
  <c r="S609" i="9"/>
  <c r="S610" i="9"/>
  <c r="S611" i="9"/>
  <c r="S612" i="9"/>
  <c r="S613" i="9"/>
  <c r="S614" i="9"/>
  <c r="S615" i="9"/>
  <c r="S616" i="9"/>
  <c r="S617" i="9"/>
  <c r="S618" i="9"/>
  <c r="S619" i="9"/>
  <c r="S620" i="9"/>
  <c r="S621" i="9"/>
  <c r="S622" i="9"/>
  <c r="S623" i="9"/>
  <c r="S624" i="9"/>
  <c r="S625" i="9"/>
  <c r="S626" i="9"/>
  <c r="S627" i="9"/>
  <c r="S628" i="9"/>
  <c r="S629" i="9"/>
  <c r="S630" i="9"/>
  <c r="S631" i="9"/>
  <c r="S632" i="9"/>
  <c r="S633" i="9"/>
  <c r="S634" i="9"/>
  <c r="S635" i="9"/>
  <c r="S636" i="9"/>
  <c r="S637" i="9"/>
  <c r="S638" i="9"/>
  <c r="S639" i="9"/>
  <c r="S640" i="9"/>
  <c r="S641" i="9"/>
  <c r="S642" i="9"/>
  <c r="S643" i="9"/>
  <c r="S644" i="9"/>
  <c r="S645" i="9"/>
  <c r="S646" i="9"/>
  <c r="S647" i="9"/>
  <c r="S648" i="9"/>
  <c r="S649" i="9"/>
  <c r="S650" i="9"/>
  <c r="S651" i="9"/>
  <c r="S652" i="9"/>
  <c r="S653" i="9"/>
  <c r="S654" i="9"/>
  <c r="S655" i="9"/>
  <c r="S656" i="9"/>
  <c r="S657" i="9"/>
  <c r="S658" i="9"/>
  <c r="S659" i="9"/>
  <c r="S660" i="9"/>
  <c r="S661" i="9"/>
  <c r="S662" i="9"/>
  <c r="S663" i="9"/>
  <c r="S664" i="9"/>
  <c r="S665" i="9"/>
  <c r="S666" i="9"/>
  <c r="S667" i="9"/>
  <c r="S668" i="9"/>
  <c r="S669" i="9"/>
  <c r="S670" i="9"/>
  <c r="S671" i="9"/>
  <c r="S672" i="9"/>
  <c r="S673" i="9"/>
  <c r="S674" i="9"/>
  <c r="S675" i="9"/>
  <c r="S676" i="9"/>
  <c r="S677" i="9"/>
  <c r="S678" i="9"/>
  <c r="S679" i="9"/>
  <c r="S680" i="9"/>
  <c r="S681" i="9"/>
  <c r="S682" i="9"/>
  <c r="S683" i="9"/>
  <c r="S684" i="9"/>
  <c r="S685" i="9"/>
  <c r="S686" i="9"/>
  <c r="S687" i="9"/>
  <c r="S688" i="9"/>
  <c r="S689" i="9"/>
  <c r="S690" i="9"/>
  <c r="S691" i="9"/>
  <c r="S692" i="9"/>
  <c r="S693" i="9"/>
  <c r="S694" i="9"/>
  <c r="S695" i="9"/>
  <c r="S696" i="9"/>
  <c r="S697" i="9"/>
  <c r="S698" i="9"/>
  <c r="S699" i="9"/>
  <c r="S700" i="9"/>
  <c r="S701" i="9"/>
  <c r="S702" i="9"/>
  <c r="S703" i="9"/>
  <c r="S704" i="9"/>
  <c r="S705" i="9"/>
  <c r="S706" i="9"/>
  <c r="S707" i="9"/>
  <c r="S708" i="9"/>
  <c r="S709" i="9"/>
  <c r="S710" i="9"/>
  <c r="S711" i="9"/>
  <c r="S712" i="9"/>
  <c r="S713" i="9"/>
  <c r="S714" i="9"/>
  <c r="S715" i="9"/>
  <c r="S716" i="9"/>
  <c r="S717" i="9"/>
  <c r="S718" i="9"/>
  <c r="S719" i="9"/>
  <c r="S720" i="9"/>
  <c r="S721" i="9"/>
  <c r="S722" i="9"/>
  <c r="S723" i="9"/>
  <c r="S724" i="9"/>
  <c r="S725" i="9"/>
  <c r="S726" i="9"/>
  <c r="S727" i="9"/>
  <c r="S728" i="9"/>
  <c r="S729" i="9"/>
  <c r="S730" i="9"/>
  <c r="S731" i="9"/>
  <c r="S732" i="9"/>
  <c r="S733" i="9"/>
  <c r="S734" i="9"/>
  <c r="S735" i="9"/>
  <c r="S736" i="9"/>
  <c r="S737" i="9"/>
  <c r="S738" i="9"/>
  <c r="S739" i="9"/>
  <c r="S740" i="9"/>
  <c r="S741" i="9"/>
  <c r="S742" i="9"/>
  <c r="S743" i="9"/>
  <c r="S744" i="9"/>
  <c r="S745" i="9"/>
  <c r="S746" i="9"/>
  <c r="S747" i="9"/>
  <c r="S748" i="9"/>
  <c r="S749" i="9"/>
  <c r="S750" i="9"/>
  <c r="S751" i="9"/>
  <c r="S752" i="9"/>
  <c r="S753" i="9"/>
  <c r="S754" i="9"/>
  <c r="S755" i="9"/>
  <c r="S756" i="9"/>
  <c r="S757" i="9"/>
  <c r="S758" i="9"/>
  <c r="S759" i="9"/>
  <c r="S760" i="9"/>
  <c r="S761" i="9"/>
  <c r="S762" i="9"/>
  <c r="S763" i="9"/>
  <c r="S764" i="9"/>
  <c r="S765" i="9"/>
  <c r="S766" i="9"/>
  <c r="S767" i="9"/>
  <c r="S768" i="9"/>
  <c r="S769" i="9"/>
  <c r="S770" i="9"/>
  <c r="S771" i="9"/>
  <c r="S772" i="9"/>
  <c r="S773" i="9"/>
  <c r="S774" i="9"/>
  <c r="S775" i="9"/>
  <c r="S776" i="9"/>
  <c r="S777" i="9"/>
  <c r="S778" i="9"/>
  <c r="S779" i="9"/>
  <c r="S780" i="9"/>
  <c r="S781" i="9"/>
  <c r="S782" i="9"/>
  <c r="S783" i="9"/>
  <c r="S784" i="9"/>
  <c r="S785" i="9"/>
  <c r="S786" i="9"/>
  <c r="S787" i="9"/>
  <c r="S788" i="9"/>
  <c r="S789" i="9"/>
  <c r="S790" i="9"/>
  <c r="S791" i="9"/>
  <c r="S792" i="9"/>
  <c r="S793" i="9"/>
  <c r="S794" i="9"/>
  <c r="S795" i="9"/>
  <c r="S796" i="9"/>
  <c r="S797" i="9"/>
  <c r="S798" i="9"/>
  <c r="S799" i="9"/>
  <c r="S800" i="9"/>
  <c r="S801" i="9"/>
  <c r="S802" i="9"/>
  <c r="S803" i="9"/>
  <c r="S804" i="9"/>
  <c r="S805" i="9"/>
  <c r="S806" i="9"/>
  <c r="S807" i="9"/>
  <c r="S808" i="9"/>
  <c r="S809" i="9"/>
  <c r="S810" i="9"/>
  <c r="S811" i="9"/>
  <c r="S812" i="9"/>
  <c r="S813" i="9"/>
  <c r="S814" i="9"/>
  <c r="S815" i="9"/>
  <c r="S816" i="9"/>
  <c r="S817" i="9"/>
  <c r="S818" i="9"/>
  <c r="S819" i="9"/>
  <c r="S820" i="9"/>
  <c r="S821" i="9"/>
  <c r="S822" i="9"/>
  <c r="S823" i="9"/>
  <c r="S824" i="9"/>
  <c r="S825" i="9"/>
  <c r="S826" i="9"/>
  <c r="S827" i="9"/>
  <c r="S828" i="9"/>
  <c r="S829" i="9"/>
  <c r="S830" i="9"/>
  <c r="S831" i="9"/>
  <c r="S832" i="9"/>
  <c r="S833" i="9"/>
  <c r="S834" i="9"/>
  <c r="S835" i="9"/>
  <c r="S836" i="9"/>
  <c r="S837" i="9"/>
  <c r="S838" i="9"/>
  <c r="S839" i="9"/>
  <c r="S840" i="9"/>
  <c r="S841" i="9"/>
  <c r="S842" i="9"/>
  <c r="S843" i="9"/>
  <c r="S844" i="9"/>
  <c r="S845" i="9"/>
  <c r="S846" i="9"/>
  <c r="S847" i="9"/>
  <c r="S848" i="9"/>
  <c r="S849" i="9"/>
  <c r="S850" i="9"/>
  <c r="S851" i="9"/>
  <c r="S852" i="9"/>
  <c r="S853" i="9"/>
  <c r="S854" i="9"/>
  <c r="S855" i="9"/>
  <c r="S856" i="9"/>
  <c r="S857" i="9"/>
  <c r="S858" i="9"/>
  <c r="S859" i="9"/>
  <c r="S860" i="9"/>
  <c r="S861" i="9"/>
  <c r="S862" i="9"/>
  <c r="S863" i="9"/>
  <c r="S864" i="9"/>
  <c r="S865" i="9"/>
  <c r="S866" i="9"/>
  <c r="S867" i="9"/>
  <c r="S868" i="9"/>
  <c r="S869" i="9"/>
  <c r="S870" i="9"/>
  <c r="S871" i="9"/>
  <c r="S872" i="9"/>
  <c r="S873" i="9"/>
  <c r="S874" i="9"/>
  <c r="S875" i="9"/>
  <c r="S876" i="9"/>
  <c r="S877" i="9"/>
  <c r="S878" i="9"/>
  <c r="S879" i="9"/>
  <c r="S880" i="9"/>
  <c r="S881" i="9"/>
  <c r="S882" i="9"/>
  <c r="S883" i="9"/>
  <c r="S884" i="9"/>
  <c r="S885" i="9"/>
  <c r="S886" i="9"/>
  <c r="S887" i="9"/>
  <c r="S888" i="9"/>
  <c r="S889" i="9"/>
  <c r="S890" i="9"/>
  <c r="S891" i="9"/>
  <c r="S892" i="9"/>
  <c r="S893" i="9"/>
  <c r="S894" i="9"/>
  <c r="S895" i="9"/>
  <c r="S896" i="9"/>
  <c r="S897" i="9"/>
  <c r="S898" i="9"/>
  <c r="S899" i="9"/>
  <c r="S900" i="9"/>
  <c r="S901" i="9"/>
  <c r="S902" i="9"/>
  <c r="S903" i="9"/>
  <c r="S904" i="9"/>
  <c r="S905" i="9"/>
  <c r="S906" i="9"/>
  <c r="S907" i="9"/>
  <c r="S908" i="9"/>
  <c r="S909" i="9"/>
  <c r="S910" i="9"/>
  <c r="S911" i="9"/>
  <c r="S912" i="9"/>
  <c r="S913" i="9"/>
  <c r="S914" i="9"/>
  <c r="S915" i="9"/>
  <c r="S916" i="9"/>
  <c r="S917" i="9"/>
  <c r="S918" i="9"/>
  <c r="S919" i="9"/>
  <c r="S920" i="9"/>
  <c r="S921" i="9"/>
  <c r="S922" i="9"/>
  <c r="S923" i="9"/>
  <c r="S924" i="9"/>
  <c r="S925" i="9"/>
  <c r="S926" i="9"/>
  <c r="S927" i="9"/>
  <c r="S928" i="9"/>
  <c r="S929" i="9"/>
  <c r="S930" i="9"/>
  <c r="S931" i="9"/>
  <c r="S932" i="9"/>
  <c r="S933" i="9"/>
  <c r="S934" i="9"/>
  <c r="S935" i="9"/>
  <c r="S936" i="9"/>
  <c r="S937" i="9"/>
  <c r="S938" i="9"/>
  <c r="S939" i="9"/>
  <c r="S940" i="9"/>
  <c r="S941" i="9"/>
  <c r="S942" i="9"/>
  <c r="S943" i="9"/>
  <c r="S944" i="9"/>
  <c r="S945" i="9"/>
  <c r="S946" i="9"/>
  <c r="S947" i="9"/>
  <c r="S948" i="9"/>
  <c r="S949" i="9"/>
  <c r="S950" i="9"/>
  <c r="S951" i="9"/>
  <c r="S952" i="9"/>
  <c r="S953" i="9"/>
  <c r="S954" i="9"/>
  <c r="S955" i="9"/>
  <c r="S956" i="9"/>
  <c r="S957" i="9"/>
  <c r="S958" i="9"/>
  <c r="S959" i="9"/>
  <c r="S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502" i="9"/>
  <c r="R503" i="9"/>
  <c r="R504" i="9"/>
  <c r="R505" i="9"/>
  <c r="R506" i="9"/>
  <c r="R507" i="9"/>
  <c r="R508" i="9"/>
  <c r="R509" i="9"/>
  <c r="R510" i="9"/>
  <c r="R511" i="9"/>
  <c r="R512" i="9"/>
  <c r="R513" i="9"/>
  <c r="R514" i="9"/>
  <c r="R515" i="9"/>
  <c r="R516" i="9"/>
  <c r="R517" i="9"/>
  <c r="R518" i="9"/>
  <c r="R519" i="9"/>
  <c r="R520" i="9"/>
  <c r="R521" i="9"/>
  <c r="R522" i="9"/>
  <c r="R523" i="9"/>
  <c r="R524" i="9"/>
  <c r="R525" i="9"/>
  <c r="R526" i="9"/>
  <c r="R527" i="9"/>
  <c r="R528" i="9"/>
  <c r="R529" i="9"/>
  <c r="R530" i="9"/>
  <c r="R531" i="9"/>
  <c r="R532" i="9"/>
  <c r="R533" i="9"/>
  <c r="R534" i="9"/>
  <c r="R535" i="9"/>
  <c r="R536" i="9"/>
  <c r="R537" i="9"/>
  <c r="R538" i="9"/>
  <c r="R539" i="9"/>
  <c r="R540" i="9"/>
  <c r="R541" i="9"/>
  <c r="R542" i="9"/>
  <c r="R543" i="9"/>
  <c r="R544" i="9"/>
  <c r="R545" i="9"/>
  <c r="R546" i="9"/>
  <c r="R547" i="9"/>
  <c r="R548" i="9"/>
  <c r="R549" i="9"/>
  <c r="R550" i="9"/>
  <c r="R551" i="9"/>
  <c r="R552" i="9"/>
  <c r="R553" i="9"/>
  <c r="R554" i="9"/>
  <c r="R555" i="9"/>
  <c r="R556" i="9"/>
  <c r="R557" i="9"/>
  <c r="R558" i="9"/>
  <c r="R559" i="9"/>
  <c r="R560" i="9"/>
  <c r="R561" i="9"/>
  <c r="R562" i="9"/>
  <c r="R563" i="9"/>
  <c r="R564" i="9"/>
  <c r="R565" i="9"/>
  <c r="R566" i="9"/>
  <c r="R567" i="9"/>
  <c r="R568" i="9"/>
  <c r="R569" i="9"/>
  <c r="R570" i="9"/>
  <c r="R571" i="9"/>
  <c r="R572" i="9"/>
  <c r="R573" i="9"/>
  <c r="R574" i="9"/>
  <c r="R575" i="9"/>
  <c r="R576" i="9"/>
  <c r="R577" i="9"/>
  <c r="R578" i="9"/>
  <c r="R579" i="9"/>
  <c r="R580" i="9"/>
  <c r="R581" i="9"/>
  <c r="R582" i="9"/>
  <c r="R583" i="9"/>
  <c r="R584" i="9"/>
  <c r="R585" i="9"/>
  <c r="R586" i="9"/>
  <c r="R587" i="9"/>
  <c r="R588" i="9"/>
  <c r="R589" i="9"/>
  <c r="R590" i="9"/>
  <c r="R591" i="9"/>
  <c r="R592" i="9"/>
  <c r="R593" i="9"/>
  <c r="R594" i="9"/>
  <c r="R595" i="9"/>
  <c r="R596" i="9"/>
  <c r="R597" i="9"/>
  <c r="R598" i="9"/>
  <c r="R599" i="9"/>
  <c r="R600" i="9"/>
  <c r="R601" i="9"/>
  <c r="R602" i="9"/>
  <c r="R603" i="9"/>
  <c r="R604" i="9"/>
  <c r="R605" i="9"/>
  <c r="R606" i="9"/>
  <c r="R607" i="9"/>
  <c r="R608" i="9"/>
  <c r="R609" i="9"/>
  <c r="R610" i="9"/>
  <c r="R611" i="9"/>
  <c r="R612" i="9"/>
  <c r="R613" i="9"/>
  <c r="R614" i="9"/>
  <c r="R615" i="9"/>
  <c r="R616" i="9"/>
  <c r="R617" i="9"/>
  <c r="R618" i="9"/>
  <c r="R619" i="9"/>
  <c r="R620" i="9"/>
  <c r="R621" i="9"/>
  <c r="R622" i="9"/>
  <c r="R623" i="9"/>
  <c r="R624" i="9"/>
  <c r="R625" i="9"/>
  <c r="R626" i="9"/>
  <c r="R627" i="9"/>
  <c r="R628" i="9"/>
  <c r="R629" i="9"/>
  <c r="R630" i="9"/>
  <c r="R631" i="9"/>
  <c r="R632" i="9"/>
  <c r="R633" i="9"/>
  <c r="R634" i="9"/>
  <c r="R635" i="9"/>
  <c r="R636" i="9"/>
  <c r="R637" i="9"/>
  <c r="R638" i="9"/>
  <c r="R639" i="9"/>
  <c r="R640" i="9"/>
  <c r="R641" i="9"/>
  <c r="R642" i="9"/>
  <c r="R643" i="9"/>
  <c r="R644" i="9"/>
  <c r="R645" i="9"/>
  <c r="R646" i="9"/>
  <c r="R647" i="9"/>
  <c r="R648" i="9"/>
  <c r="R649" i="9"/>
  <c r="R650" i="9"/>
  <c r="R651" i="9"/>
  <c r="R652" i="9"/>
  <c r="R653" i="9"/>
  <c r="R654" i="9"/>
  <c r="R655" i="9"/>
  <c r="R656" i="9"/>
  <c r="R657" i="9"/>
  <c r="R658" i="9"/>
  <c r="R659" i="9"/>
  <c r="R660" i="9"/>
  <c r="R661" i="9"/>
  <c r="R662" i="9"/>
  <c r="R663" i="9"/>
  <c r="R664" i="9"/>
  <c r="R665" i="9"/>
  <c r="R666" i="9"/>
  <c r="R667" i="9"/>
  <c r="R668" i="9"/>
  <c r="R669" i="9"/>
  <c r="R670" i="9"/>
  <c r="R671" i="9"/>
  <c r="R672" i="9"/>
  <c r="R673" i="9"/>
  <c r="R674" i="9"/>
  <c r="R675" i="9"/>
  <c r="R676" i="9"/>
  <c r="R677" i="9"/>
  <c r="R678" i="9"/>
  <c r="R679" i="9"/>
  <c r="R680" i="9"/>
  <c r="R681" i="9"/>
  <c r="R682" i="9"/>
  <c r="R683" i="9"/>
  <c r="R684" i="9"/>
  <c r="R685" i="9"/>
  <c r="R686" i="9"/>
  <c r="R687" i="9"/>
  <c r="R688" i="9"/>
  <c r="R689" i="9"/>
  <c r="R690" i="9"/>
  <c r="R691" i="9"/>
  <c r="R692" i="9"/>
  <c r="R693" i="9"/>
  <c r="R694" i="9"/>
  <c r="R695" i="9"/>
  <c r="R696" i="9"/>
  <c r="R697" i="9"/>
  <c r="R698" i="9"/>
  <c r="R699" i="9"/>
  <c r="R700" i="9"/>
  <c r="R701" i="9"/>
  <c r="R702" i="9"/>
  <c r="R703" i="9"/>
  <c r="R704" i="9"/>
  <c r="R705" i="9"/>
  <c r="R706" i="9"/>
  <c r="R707" i="9"/>
  <c r="R708" i="9"/>
  <c r="R709" i="9"/>
  <c r="R710" i="9"/>
  <c r="R711" i="9"/>
  <c r="R712" i="9"/>
  <c r="R713" i="9"/>
  <c r="R714" i="9"/>
  <c r="R715" i="9"/>
  <c r="R716" i="9"/>
  <c r="R717" i="9"/>
  <c r="R718" i="9"/>
  <c r="R719" i="9"/>
  <c r="R720" i="9"/>
  <c r="R721" i="9"/>
  <c r="R722" i="9"/>
  <c r="R723" i="9"/>
  <c r="R724" i="9"/>
  <c r="R725" i="9"/>
  <c r="R726" i="9"/>
  <c r="R727" i="9"/>
  <c r="R728" i="9"/>
  <c r="R729" i="9"/>
  <c r="R730" i="9"/>
  <c r="R731" i="9"/>
  <c r="R732" i="9"/>
  <c r="R733" i="9"/>
  <c r="R734" i="9"/>
  <c r="R735" i="9"/>
  <c r="R736" i="9"/>
  <c r="R737" i="9"/>
  <c r="R738" i="9"/>
  <c r="R739" i="9"/>
  <c r="R740" i="9"/>
  <c r="R741" i="9"/>
  <c r="R742" i="9"/>
  <c r="R743" i="9"/>
  <c r="R744" i="9"/>
  <c r="R745" i="9"/>
  <c r="R746" i="9"/>
  <c r="R747" i="9"/>
  <c r="R748" i="9"/>
  <c r="R749" i="9"/>
  <c r="R750" i="9"/>
  <c r="R751" i="9"/>
  <c r="R752" i="9"/>
  <c r="R753" i="9"/>
  <c r="R754" i="9"/>
  <c r="R755" i="9"/>
  <c r="R756" i="9"/>
  <c r="R757" i="9"/>
  <c r="R758" i="9"/>
  <c r="R759" i="9"/>
  <c r="R760" i="9"/>
  <c r="R761" i="9"/>
  <c r="R762" i="9"/>
  <c r="R763" i="9"/>
  <c r="R764" i="9"/>
  <c r="R765" i="9"/>
  <c r="R766" i="9"/>
  <c r="R767" i="9"/>
  <c r="R768" i="9"/>
  <c r="R769" i="9"/>
  <c r="R770" i="9"/>
  <c r="R771" i="9"/>
  <c r="R772" i="9"/>
  <c r="R773" i="9"/>
  <c r="R774" i="9"/>
  <c r="R775" i="9"/>
  <c r="R776" i="9"/>
  <c r="R777" i="9"/>
  <c r="R778" i="9"/>
  <c r="R779" i="9"/>
  <c r="R780" i="9"/>
  <c r="R781" i="9"/>
  <c r="R782" i="9"/>
  <c r="R783" i="9"/>
  <c r="R784" i="9"/>
  <c r="R785" i="9"/>
  <c r="R786" i="9"/>
  <c r="R787" i="9"/>
  <c r="R788" i="9"/>
  <c r="R789" i="9"/>
  <c r="R790" i="9"/>
  <c r="R791" i="9"/>
  <c r="R792" i="9"/>
  <c r="R793" i="9"/>
  <c r="R794" i="9"/>
  <c r="R795" i="9"/>
  <c r="R796" i="9"/>
  <c r="R797" i="9"/>
  <c r="R798" i="9"/>
  <c r="R799" i="9"/>
  <c r="R800" i="9"/>
  <c r="R801" i="9"/>
  <c r="R802" i="9"/>
  <c r="R803" i="9"/>
  <c r="R804" i="9"/>
  <c r="R805" i="9"/>
  <c r="R806" i="9"/>
  <c r="R807" i="9"/>
  <c r="R808" i="9"/>
  <c r="R809" i="9"/>
  <c r="R810" i="9"/>
  <c r="R811" i="9"/>
  <c r="R812" i="9"/>
  <c r="R813" i="9"/>
  <c r="R814" i="9"/>
  <c r="R815" i="9"/>
  <c r="R816" i="9"/>
  <c r="R817" i="9"/>
  <c r="R818" i="9"/>
  <c r="R819" i="9"/>
  <c r="R820" i="9"/>
  <c r="R821" i="9"/>
  <c r="R822" i="9"/>
  <c r="R823" i="9"/>
  <c r="R824" i="9"/>
  <c r="R825" i="9"/>
  <c r="R826" i="9"/>
  <c r="R827" i="9"/>
  <c r="R828" i="9"/>
  <c r="R829" i="9"/>
  <c r="R830" i="9"/>
  <c r="R831" i="9"/>
  <c r="R832" i="9"/>
  <c r="R833" i="9"/>
  <c r="R834" i="9"/>
  <c r="R835" i="9"/>
  <c r="R836" i="9"/>
  <c r="R837" i="9"/>
  <c r="R838" i="9"/>
  <c r="R839" i="9"/>
  <c r="R840" i="9"/>
  <c r="R841" i="9"/>
  <c r="R842" i="9"/>
  <c r="R843" i="9"/>
  <c r="R844" i="9"/>
  <c r="R845" i="9"/>
  <c r="R846" i="9"/>
  <c r="R847" i="9"/>
  <c r="R848" i="9"/>
  <c r="R849" i="9"/>
  <c r="R850" i="9"/>
  <c r="R851" i="9"/>
  <c r="R852" i="9"/>
  <c r="R853" i="9"/>
  <c r="R854" i="9"/>
  <c r="R855" i="9"/>
  <c r="R856" i="9"/>
  <c r="R857" i="9"/>
  <c r="R858" i="9"/>
  <c r="R859" i="9"/>
  <c r="R860" i="9"/>
  <c r="R861" i="9"/>
  <c r="R862" i="9"/>
  <c r="R863" i="9"/>
  <c r="R864" i="9"/>
  <c r="R865" i="9"/>
  <c r="R866" i="9"/>
  <c r="R867" i="9"/>
  <c r="R868" i="9"/>
  <c r="R869" i="9"/>
  <c r="R870" i="9"/>
  <c r="R871" i="9"/>
  <c r="R872" i="9"/>
  <c r="R873" i="9"/>
  <c r="R874" i="9"/>
  <c r="R875" i="9"/>
  <c r="R876" i="9"/>
  <c r="R877" i="9"/>
  <c r="R878" i="9"/>
  <c r="R879" i="9"/>
  <c r="R880" i="9"/>
  <c r="R881" i="9"/>
  <c r="R882" i="9"/>
  <c r="R883" i="9"/>
  <c r="R884" i="9"/>
  <c r="R885" i="9"/>
  <c r="R886" i="9"/>
  <c r="R887" i="9"/>
  <c r="R888" i="9"/>
  <c r="R889" i="9"/>
  <c r="R890" i="9"/>
  <c r="R891" i="9"/>
  <c r="R892" i="9"/>
  <c r="R893" i="9"/>
  <c r="R894" i="9"/>
  <c r="R895" i="9"/>
  <c r="R896" i="9"/>
  <c r="R897" i="9"/>
  <c r="R898" i="9"/>
  <c r="R899" i="9"/>
  <c r="R900" i="9"/>
  <c r="R901" i="9"/>
  <c r="R902" i="9"/>
  <c r="R903" i="9"/>
  <c r="R904" i="9"/>
  <c r="R905" i="9"/>
  <c r="R906" i="9"/>
  <c r="R907" i="9"/>
  <c r="R908" i="9"/>
  <c r="R909" i="9"/>
  <c r="R910" i="9"/>
  <c r="R911" i="9"/>
  <c r="R912" i="9"/>
  <c r="R913" i="9"/>
  <c r="R914" i="9"/>
  <c r="R915" i="9"/>
  <c r="R916" i="9"/>
  <c r="R917" i="9"/>
  <c r="R918" i="9"/>
  <c r="R919" i="9"/>
  <c r="R920" i="9"/>
  <c r="R921" i="9"/>
  <c r="R922" i="9"/>
  <c r="R923" i="9"/>
  <c r="R924" i="9"/>
  <c r="R925" i="9"/>
  <c r="R926" i="9"/>
  <c r="R927" i="9"/>
  <c r="R928" i="9"/>
  <c r="R929" i="9"/>
  <c r="R930" i="9"/>
  <c r="R931" i="9"/>
  <c r="R932" i="9"/>
  <c r="R933" i="9"/>
  <c r="R934" i="9"/>
  <c r="R935" i="9"/>
  <c r="R936" i="9"/>
  <c r="R937" i="9"/>
  <c r="R938" i="9"/>
  <c r="R939" i="9"/>
  <c r="R940" i="9"/>
  <c r="R941" i="9"/>
  <c r="R942" i="9"/>
  <c r="R943" i="9"/>
  <c r="R944" i="9"/>
  <c r="R945" i="9"/>
  <c r="R946" i="9"/>
  <c r="R947" i="9"/>
  <c r="R948" i="9"/>
  <c r="R949" i="9"/>
  <c r="R950" i="9"/>
  <c r="R951" i="9"/>
  <c r="R952" i="9"/>
  <c r="R953" i="9"/>
  <c r="R954" i="9"/>
  <c r="R955" i="9"/>
  <c r="R956" i="9"/>
  <c r="R957" i="9"/>
  <c r="R958" i="9"/>
  <c r="R959" i="9"/>
  <c r="R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0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8" i="9"/>
  <c r="Q579" i="9"/>
  <c r="Q580" i="9"/>
  <c r="Q581" i="9"/>
  <c r="Q582" i="9"/>
  <c r="Q583" i="9"/>
  <c r="Q584" i="9"/>
  <c r="Q585" i="9"/>
  <c r="Q586" i="9"/>
  <c r="Q587" i="9"/>
  <c r="Q588" i="9"/>
  <c r="Q589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Q602" i="9"/>
  <c r="Q603" i="9"/>
  <c r="Q604" i="9"/>
  <c r="Q605" i="9"/>
  <c r="Q606" i="9"/>
  <c r="Q607" i="9"/>
  <c r="Q608" i="9"/>
  <c r="Q609" i="9"/>
  <c r="Q610" i="9"/>
  <c r="Q611" i="9"/>
  <c r="Q612" i="9"/>
  <c r="Q613" i="9"/>
  <c r="Q614" i="9"/>
  <c r="Q615" i="9"/>
  <c r="Q616" i="9"/>
  <c r="Q617" i="9"/>
  <c r="Q618" i="9"/>
  <c r="Q619" i="9"/>
  <c r="Q620" i="9"/>
  <c r="Q621" i="9"/>
  <c r="Q622" i="9"/>
  <c r="Q623" i="9"/>
  <c r="Q624" i="9"/>
  <c r="Q625" i="9"/>
  <c r="Q626" i="9"/>
  <c r="Q627" i="9"/>
  <c r="Q628" i="9"/>
  <c r="Q629" i="9"/>
  <c r="Q630" i="9"/>
  <c r="Q631" i="9"/>
  <c r="Q632" i="9"/>
  <c r="Q633" i="9"/>
  <c r="Q634" i="9"/>
  <c r="Q635" i="9"/>
  <c r="Q636" i="9"/>
  <c r="Q637" i="9"/>
  <c r="Q638" i="9"/>
  <c r="Q639" i="9"/>
  <c r="Q640" i="9"/>
  <c r="Q641" i="9"/>
  <c r="Q642" i="9"/>
  <c r="Q643" i="9"/>
  <c r="Q644" i="9"/>
  <c r="Q645" i="9"/>
  <c r="Q646" i="9"/>
  <c r="Q647" i="9"/>
  <c r="Q648" i="9"/>
  <c r="Q649" i="9"/>
  <c r="Q650" i="9"/>
  <c r="Q651" i="9"/>
  <c r="Q652" i="9"/>
  <c r="Q653" i="9"/>
  <c r="Q654" i="9"/>
  <c r="Q655" i="9"/>
  <c r="Q656" i="9"/>
  <c r="Q657" i="9"/>
  <c r="Q658" i="9"/>
  <c r="Q659" i="9"/>
  <c r="Q660" i="9"/>
  <c r="Q661" i="9"/>
  <c r="Q662" i="9"/>
  <c r="Q663" i="9"/>
  <c r="Q664" i="9"/>
  <c r="Q665" i="9"/>
  <c r="Q666" i="9"/>
  <c r="Q667" i="9"/>
  <c r="Q668" i="9"/>
  <c r="Q669" i="9"/>
  <c r="Q670" i="9"/>
  <c r="Q671" i="9"/>
  <c r="Q672" i="9"/>
  <c r="Q673" i="9"/>
  <c r="Q674" i="9"/>
  <c r="Q675" i="9"/>
  <c r="Q676" i="9"/>
  <c r="Q677" i="9"/>
  <c r="Q678" i="9"/>
  <c r="Q679" i="9"/>
  <c r="Q680" i="9"/>
  <c r="Q681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761" i="9"/>
  <c r="Q762" i="9"/>
  <c r="Q763" i="9"/>
  <c r="Q764" i="9"/>
  <c r="Q765" i="9"/>
  <c r="Q766" i="9"/>
  <c r="Q767" i="9"/>
  <c r="Q768" i="9"/>
  <c r="Q769" i="9"/>
  <c r="Q770" i="9"/>
  <c r="Q771" i="9"/>
  <c r="Q772" i="9"/>
  <c r="Q773" i="9"/>
  <c r="Q774" i="9"/>
  <c r="Q775" i="9"/>
  <c r="Q776" i="9"/>
  <c r="Q777" i="9"/>
  <c r="Q778" i="9"/>
  <c r="Q779" i="9"/>
  <c r="Q780" i="9"/>
  <c r="Q781" i="9"/>
  <c r="Q782" i="9"/>
  <c r="Q783" i="9"/>
  <c r="Q784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Q829" i="9"/>
  <c r="Q830" i="9"/>
  <c r="Q831" i="9"/>
  <c r="Q832" i="9"/>
  <c r="Q833" i="9"/>
  <c r="Q834" i="9"/>
  <c r="Q835" i="9"/>
  <c r="Q836" i="9"/>
  <c r="Q837" i="9"/>
  <c r="Q838" i="9"/>
  <c r="Q839" i="9"/>
  <c r="Q840" i="9"/>
  <c r="Q841" i="9"/>
  <c r="Q842" i="9"/>
  <c r="Q843" i="9"/>
  <c r="Q844" i="9"/>
  <c r="Q845" i="9"/>
  <c r="Q846" i="9"/>
  <c r="Q847" i="9"/>
  <c r="Q848" i="9"/>
  <c r="Q849" i="9"/>
  <c r="Q850" i="9"/>
  <c r="Q851" i="9"/>
  <c r="Q852" i="9"/>
  <c r="Q853" i="9"/>
  <c r="Q854" i="9"/>
  <c r="Q855" i="9"/>
  <c r="Q856" i="9"/>
  <c r="Q857" i="9"/>
  <c r="Q858" i="9"/>
  <c r="Q859" i="9"/>
  <c r="Q860" i="9"/>
  <c r="Q861" i="9"/>
  <c r="Q862" i="9"/>
  <c r="Q863" i="9"/>
  <c r="Q864" i="9"/>
  <c r="Q865" i="9"/>
  <c r="Q866" i="9"/>
  <c r="Q867" i="9"/>
  <c r="Q868" i="9"/>
  <c r="Q869" i="9"/>
  <c r="Q870" i="9"/>
  <c r="Q871" i="9"/>
  <c r="Q872" i="9"/>
  <c r="Q873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3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Q950" i="9"/>
  <c r="Q951" i="9"/>
  <c r="Q952" i="9"/>
  <c r="Q953" i="9"/>
  <c r="Q954" i="9"/>
  <c r="Q955" i="9"/>
  <c r="Q956" i="9"/>
  <c r="Q957" i="9"/>
  <c r="Q958" i="9"/>
  <c r="Q959" i="9"/>
  <c r="Q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959" i="9"/>
  <c r="P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3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4" i="9"/>
  <c r="L5" i="9"/>
  <c r="L3" i="9"/>
  <c r="J3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4" i="9"/>
  <c r="K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3" i="9"/>
</calcChain>
</file>

<file path=xl/sharedStrings.xml><?xml version="1.0" encoding="utf-8"?>
<sst xmlns="http://schemas.openxmlformats.org/spreadsheetml/2006/main" count="15191" uniqueCount="1411">
  <si>
    <t>DaFuq!?Boom!</t>
  </si>
  <si>
    <t>T-Series</t>
  </si>
  <si>
    <t>KL BRO Biju Rithvik</t>
  </si>
  <si>
    <t>Cocomelon - Nursery Rhymes</t>
  </si>
  <si>
    <t>SET India</t>
  </si>
  <si>
    <t>Zee TV</t>
  </si>
  <si>
    <t>StarPlus</t>
  </si>
  <si>
    <t>Sony SAB</t>
  </si>
  <si>
    <t>GR6 EXPLODE</t>
  </si>
  <si>
    <t>ZAMZAM ELECTRONICS TRADING</t>
  </si>
  <si>
    <t>BETER Bï¿½ï¿½</t>
  </si>
  <si>
    <t>BeatboxJCOP</t>
  </si>
  <si>
    <t>ViralHog</t>
  </si>
  <si>
    <t>MrBeast</t>
  </si>
  <si>
    <t>HAR PAL GEO</t>
  </si>
  <si>
    <t>dednahype</t>
  </si>
  <si>
    <t>PANDA BOI</t>
  </si>
  <si>
    <t>Filaretiki</t>
  </si>
  <si>
    <t>Colors TV</t>
  </si>
  <si>
    <t>LeoNata Family</t>
  </si>
  <si>
    <t>ARY Digital HD</t>
  </si>
  <si>
    <t>GH'S</t>
  </si>
  <si>
    <t>Alan Chikin Chow</t>
  </si>
  <si>
    <t>Sun TV</t>
  </si>
  <si>
    <t>Vijay Television</t>
  </si>
  <si>
    <t>_vector_</t>
  </si>
  <si>
    <t>Yoeslan</t>
  </si>
  <si>
    <t>Infobells - Hindi</t>
  </si>
  <si>
    <t>LankyBox</t>
  </si>
  <si>
    <t>Goldmines Gaane Sune Ansune</t>
  </si>
  <si>
    <t>Zee Music Company</t>
  </si>
  <si>
    <t>GMA  Network</t>
  </si>
  <si>
    <t>Spider Slack</t>
  </si>
  <si>
    <t>Tsuriki Show</t>
  </si>
  <si>
    <t>That Little Puff</t>
  </si>
  <si>
    <t>Ishaan Ali 11</t>
  </si>
  <si>
    <t>Junya.ï¿½ï¿½ï¿½ï¿½</t>
  </si>
  <si>
    <t>WWE</t>
  </si>
  <si>
    <t>Chapitosiki</t>
  </si>
  <si>
    <t>Sagawa /ï¿½ï¿½ï¿½</t>
  </si>
  <si>
    <t>Topper Guild</t>
  </si>
  <si>
    <t>HUM TV</t>
  </si>
  <si>
    <t>Masha and The Bear</t>
  </si>
  <si>
    <t>El Payaso Plim Plim</t>
  </si>
  <si>
    <t>Younes Zarou</t>
  </si>
  <si>
    <t>El Reino Infantil</t>
  </si>
  <si>
    <t>NichLmao</t>
  </si>
  <si>
    <t>HYBE LABELS</t>
  </si>
  <si>
    <t>Vlad and Niki</t>
  </si>
  <si>
    <t>Super Simple Songs - Kids Songs</t>
  </si>
  <si>
    <t>Dangal TV Channel</t>
  </si>
  <si>
    <t>tuzelity SHUFFLE</t>
  </si>
  <si>
    <t>Natan por Aï¿</t>
  </si>
  <si>
    <t>Jess No Limit</t>
  </si>
  <si>
    <t>Saregama Music</t>
  </si>
  <si>
    <t>Taylor Swift</t>
  </si>
  <si>
    <t>Rubï¿½ï¿½ï¿½ï¿½ï¿½ï¿½</t>
  </si>
  <si>
    <t>YRF</t>
  </si>
  <si>
    <t>Gulshan Kalra</t>
  </si>
  <si>
    <t>Jake Fellman</t>
  </si>
  <si>
    <t>BLACKPINK</t>
  </si>
  <si>
    <t>Woody &amp; Kleiny</t>
  </si>
  <si>
    <t>D Billions</t>
  </si>
  <si>
    <t>Panda Shorts</t>
  </si>
  <si>
    <t>ILYA BORZOV</t>
  </si>
  <si>
    <t>Pinkfong Baby Shark - Kids' Songs &amp; Stories</t>
  </si>
  <si>
    <t>Bobby chourasiya</t>
  </si>
  <si>
    <t>KAROL G</t>
  </si>
  <si>
    <t>Zee News</t>
  </si>
  <si>
    <t>Aaj Tak</t>
  </si>
  <si>
    <t>Marta and Rustam</t>
  </si>
  <si>
    <t>Jason Derulo</t>
  </si>
  <si>
    <t>Aphmau</t>
  </si>
  <si>
    <t>Priyal Kukreja</t>
  </si>
  <si>
    <t>Dushyant kukreja</t>
  </si>
  <si>
    <t>Koray Zeynep</t>
  </si>
  <si>
    <t>netd mï¿½ï¿</t>
  </si>
  <si>
    <t>Tips Official</t>
  </si>
  <si>
    <t>ChuChu TV Nursery Rhymes &amp; Kids Songs</t>
  </si>
  <si>
    <t>TV9 Bharatvarsh</t>
  </si>
  <si>
    <t>Sony PAL</t>
  </si>
  <si>
    <t>Galinha Pintadinha</t>
  </si>
  <si>
    <t>Alejo Igoa</t>
  </si>
  <si>
    <t>mujjuu___14</t>
  </si>
  <si>
    <t>Heroindori</t>
  </si>
  <si>
    <t>Daily Dose Of Internet</t>
  </si>
  <si>
    <t>Peet Montzingo</t>
  </si>
  <si>
    <t>Daniel LaBelle</t>
  </si>
  <si>
    <t>News18 India</t>
  </si>
  <si>
    <t>How Ridiculous</t>
  </si>
  <si>
    <t>LIV Crime</t>
  </si>
  <si>
    <t>The Vishal bhatt</t>
  </si>
  <si>
    <t>The Weeknd</t>
  </si>
  <si>
    <t>News 24</t>
  </si>
  <si>
    <t>Susy Mouriz</t>
  </si>
  <si>
    <t>SEVENGERS</t>
  </si>
  <si>
    <t>Tilak</t>
  </si>
  <si>
    <t>Mazhavil Manorama</t>
  </si>
  <si>
    <t>Shakira</t>
  </si>
  <si>
    <t>Supercar Blondie</t>
  </si>
  <si>
    <t>Zee Tamil</t>
  </si>
  <si>
    <t>Colors Rishtey</t>
  </si>
  <si>
    <t>ZutiGang</t>
  </si>
  <si>
    <t>jaanvi patel</t>
  </si>
  <si>
    <t>Prime Video India</t>
  </si>
  <si>
    <t>Genevieve's Playhouse - Learning Videos for Kids</t>
  </si>
  <si>
    <t>T-Series Bollywood Classics</t>
  </si>
  <si>
    <t>Taarak Mehta Ka Ooltah Chashmah</t>
  </si>
  <si>
    <t>Dan Rhodes</t>
  </si>
  <si>
    <t>Super JoJo - Nursery Rhymes &amp; Kids Songs</t>
  </si>
  <si>
    <t>Ian Boggs</t>
  </si>
  <si>
    <t>DisneyMusicVEVO</t>
  </si>
  <si>
    <t>Go Ami Go!</t>
  </si>
  <si>
    <t>Like Nastya ESP</t>
  </si>
  <si>
    <t>Akshay Nagwadiya</t>
  </si>
  <si>
    <t>PowerKids TV</t>
  </si>
  <si>
    <t>TaylorSwiftVEVO</t>
  </si>
  <si>
    <t>HUBAï¿½ï¿½</t>
  </si>
  <si>
    <t>SonyMusicIndiaVEVO</t>
  </si>
  <si>
    <t>Ray William Johnson</t>
  </si>
  <si>
    <t>Lucas and Marcus</t>
  </si>
  <si>
    <t>JYP Entertainment</t>
  </si>
  <si>
    <t>Get Movies</t>
  </si>
  <si>
    <t>unknown boy varun</t>
  </si>
  <si>
    <t>La Granja de Zenï¿½</t>
  </si>
  <si>
    <t>Enaldinho</t>
  </si>
  <si>
    <t>IndiaTV</t>
  </si>
  <si>
    <t>infobells - Telugu</t>
  </si>
  <si>
    <t>ISSEI / ï¿½ï¿½ï¿½ï¿½</t>
  </si>
  <si>
    <t>Anuel AA</t>
  </si>
  <si>
    <t>7clouds</t>
  </si>
  <si>
    <t>Beast Reacts</t>
  </si>
  <si>
    <t>Sony AATH</t>
  </si>
  <si>
    <t>Danny Fitt</t>
  </si>
  <si>
    <t>The Lallantop</t>
  </si>
  <si>
    <t>Rajshri</t>
  </si>
  <si>
    <t>DEV Ke Facts</t>
  </si>
  <si>
    <t>etvteluguindia</t>
  </si>
  <si>
    <t>shakiraVEVO</t>
  </si>
  <si>
    <t>ABP NEWS</t>
  </si>
  <si>
    <t>BillionSurpriseToys  - Nursery Rhymes &amp; Cartoons</t>
  </si>
  <si>
    <t>Disney Junior</t>
  </si>
  <si>
    <t>Vilmei</t>
  </si>
  <si>
    <t>Sourav Joshi Vlogs</t>
  </si>
  <si>
    <t>Mikecrack</t>
  </si>
  <si>
    <t>Ami Rodriguez</t>
  </si>
  <si>
    <t>EminemMusic</t>
  </si>
  <si>
    <t>SonyMusicSouthVEVO</t>
  </si>
  <si>
    <t>Sony Music India</t>
  </si>
  <si>
    <t>POPS Kids</t>
  </si>
  <si>
    <t>Shemaroo Filmi Gaane</t>
  </si>
  <si>
    <t>Maria Clara &amp; JP</t>
  </si>
  <si>
    <t>MoreAliA</t>
  </si>
  <si>
    <t>shfa2 - ï¿½ï¿½</t>
  </si>
  <si>
    <t>Peppa Pig - Official Channel</t>
  </si>
  <si>
    <t>Vlad vï¿½ï¿½ï</t>
  </si>
  <si>
    <t>Sony Music South</t>
  </si>
  <si>
    <t>Ryan's World</t>
  </si>
  <si>
    <t>Family Fitness</t>
  </si>
  <si>
    <t>Azhan5star</t>
  </si>
  <si>
    <t>AMARINTV : ï¿½ï¿½ï¿½ï¿½ï¿½ï¿½ï¿½ï¿½ï¿½ï¿½ï¿½ï¿½</t>
  </si>
  <si>
    <t>SMTOWN</t>
  </si>
  <si>
    <t>Zach Choi ASMR</t>
  </si>
  <si>
    <t>Voot Kids</t>
  </si>
  <si>
    <t>Shemaroo</t>
  </si>
  <si>
    <t>Wave Music</t>
  </si>
  <si>
    <t>Dental Digest</t>
  </si>
  <si>
    <t>Indosiar</t>
  </si>
  <si>
    <t>Codiscos</t>
  </si>
  <si>
    <t>Adam W</t>
  </si>
  <si>
    <t>Aditya Movies</t>
  </si>
  <si>
    <t>Thairath Online</t>
  </si>
  <si>
    <t>CookieSwirlC</t>
  </si>
  <si>
    <t>Think Music India</t>
  </si>
  <si>
    <t>Right to Shiksha</t>
  </si>
  <si>
    <t>Mundo Bita</t>
  </si>
  <si>
    <t>Gusttavo Lima Oficial</t>
  </si>
  <si>
    <t>RS 1313 SHORTS</t>
  </si>
  <si>
    <t>SSSniperWolf</t>
  </si>
  <si>
    <t>Sony LIV</t>
  </si>
  <si>
    <t>Rauw Alejandro</t>
  </si>
  <si>
    <t>Daddy Yankee</t>
  </si>
  <si>
    <t>Luli Pampï¿½</t>
  </si>
  <si>
    <t>Ed Sheeran</t>
  </si>
  <si>
    <t>Jordan Matter</t>
  </si>
  <si>
    <t>Willie Salim</t>
  </si>
  <si>
    <t>Stokes Twins</t>
  </si>
  <si>
    <t>Coldplay</t>
  </si>
  <si>
    <t>Post Malone</t>
  </si>
  <si>
    <t>Ninja Kidz TV</t>
  </si>
  <si>
    <t>Village Cooking Channel</t>
  </si>
  <si>
    <t>DUDU e CAROL</t>
  </si>
  <si>
    <t>Bizarrap</t>
  </si>
  <si>
    <t>TheDonato</t>
  </si>
  <si>
    <t>ImagineDragons</t>
  </si>
  <si>
    <t>penguinz0</t>
  </si>
  <si>
    <t>CNN</t>
  </si>
  <si>
    <t>Shemaroo Movies</t>
  </si>
  <si>
    <t>Narendra Modi</t>
  </si>
  <si>
    <t>ABC News</t>
  </si>
  <si>
    <t>Ben Azelart</t>
  </si>
  <si>
    <t>Rihanna</t>
  </si>
  <si>
    <t>Zï¿½ï¿½ï¿½ï¿½ï¿½ï¿½ï</t>
  </si>
  <si>
    <t>Vlad and Niki ESP</t>
  </si>
  <si>
    <t>Ishtar Music</t>
  </si>
  <si>
    <t>Blippi - Educational Videos for Kids</t>
  </si>
  <si>
    <t>GMMTV OFFICIALï¿½ï¿½</t>
  </si>
  <si>
    <t>ABS-CBN News</t>
  </si>
  <si>
    <t>Sanjoy Das Official</t>
  </si>
  <si>
    <t>Jingle Toons</t>
  </si>
  <si>
    <t>Flowers Comedy</t>
  </si>
  <si>
    <t>Yudist Ardhana</t>
  </si>
  <si>
    <t>Justin Bieber</t>
  </si>
  <si>
    <t>ABS-CBN Entertainment</t>
  </si>
  <si>
    <t>Caylus</t>
  </si>
  <si>
    <t>Diana and Roma EN</t>
  </si>
  <si>
    <t>SSundee</t>
  </si>
  <si>
    <t>Bruno Mars</t>
  </si>
  <si>
    <t>toycantando</t>
  </si>
  <si>
    <t>YoungBoy Never Broke Again</t>
  </si>
  <si>
    <t>Like Nastya AE</t>
  </si>
  <si>
    <t>toyorbabytv</t>
  </si>
  <si>
    <t>Infobells Bangla</t>
  </si>
  <si>
    <t>Ozuna</t>
  </si>
  <si>
    <t>GRAMMY GOLD OFFICIAL</t>
  </si>
  <si>
    <t>BANGTANTV</t>
  </si>
  <si>
    <t>Mrwhosetheboss</t>
  </si>
  <si>
    <t>Unspeakable</t>
  </si>
  <si>
    <t>Henrique e Juliano</t>
  </si>
  <si>
    <t>David Guetta</t>
  </si>
  <si>
    <t>Raffy Tulfo in Action</t>
  </si>
  <si>
    <t>Kids Lineï¿½ï¿½ï¿½ï¿½ï¿½ï¿½ï¿½</t>
  </si>
  <si>
    <t>Sidhu Moose Wala</t>
  </si>
  <si>
    <t>Speed Records</t>
  </si>
  <si>
    <t>The Royalty Family</t>
  </si>
  <si>
    <t>Ariana Grande</t>
  </si>
  <si>
    <t>Mnet K-POP</t>
  </si>
  <si>
    <t>Michael Jackson</t>
  </si>
  <si>
    <t>AboFlah</t>
  </si>
  <si>
    <t>Vania Mania Kids</t>
  </si>
  <si>
    <t>Ricis Official</t>
  </si>
  <si>
    <t>SriBalajiMovies</t>
  </si>
  <si>
    <t>DONA ï¿½ï¿½</t>
  </si>
  <si>
    <t>PrestonPlayz</t>
  </si>
  <si>
    <t>shfa show India</t>
  </si>
  <si>
    <t>Preston</t>
  </si>
  <si>
    <t>Maroon 5</t>
  </si>
  <si>
    <t>Bollywood Classics</t>
  </si>
  <si>
    <t>ZEE5</t>
  </si>
  <si>
    <t>Eli Kids - Cartoons &amp; Songs</t>
  </si>
  <si>
    <t>Bispo Bruno Leonardo</t>
  </si>
  <si>
    <t>Little Angel - Mï¿½ï¿½ï¿½ï¿½ï¿½ï¿½ï¿½ï¿½ï¿½ï¿½</t>
  </si>
  <si>
    <t>Billie Eilish</t>
  </si>
  <si>
    <t>Lady Gaga</t>
  </si>
  <si>
    <t>Brent Rivera</t>
  </si>
  <si>
    <t>Alexa Rivera</t>
  </si>
  <si>
    <t>infobells - Kannada</t>
  </si>
  <si>
    <t>GMA Public  Affairs</t>
  </si>
  <si>
    <t>Dude Perfect</t>
  </si>
  <si>
    <t>DM - Desi Melodies</t>
  </si>
  <si>
    <t>WB Kids</t>
  </si>
  <si>
    <t>Noman Official</t>
  </si>
  <si>
    <t>Kashvi Adlakha</t>
  </si>
  <si>
    <t>Kinder Spielzeug Kanal (Kidibli)</t>
  </si>
  <si>
    <t>Little Angel Espaï¿½ï¿½ï¿½ï¿½ï¿½ï¿½ï¿½ï¿½ï¿½</t>
  </si>
  <si>
    <t>IShowSpeed</t>
  </si>
  <si>
    <t>EminemVEVO</t>
  </si>
  <si>
    <t>Kimberly Loaiza</t>
  </si>
  <si>
    <t>Adele</t>
  </si>
  <si>
    <t>BabyBus - Canciones Infantiles &amp; Videos para Niï¿½ï</t>
  </si>
  <si>
    <t>MK MUSIC</t>
  </si>
  <si>
    <t>Lana Del Rey</t>
  </si>
  <si>
    <t>America's Got Talent</t>
  </si>
  <si>
    <t>CVS 3D Rhymes &amp; Kids Songs</t>
  </si>
  <si>
    <t>UFC - Ultimate Fighting Championship</t>
  </si>
  <si>
    <t>Vlad and Niki IDN</t>
  </si>
  <si>
    <t>Katy Perry</t>
  </si>
  <si>
    <t>ETV Jabardasth</t>
  </si>
  <si>
    <t>WorkpointOfficial</t>
  </si>
  <si>
    <t>A2 Motivation by Arvind Arora</t>
  </si>
  <si>
    <t>GMM GRAMMY OFFICIAL</t>
  </si>
  <si>
    <t>BBC News Hindi</t>
  </si>
  <si>
    <t>Felipe Neto</t>
  </si>
  <si>
    <t>FGTeeV</t>
  </si>
  <si>
    <t>J Balvin</t>
  </si>
  <si>
    <t>Kids TV - Nursery Rhymes And Baby Songs</t>
  </si>
  <si>
    <t>Goldmines Dishoom</t>
  </si>
  <si>
    <t>Markiplier</t>
  </si>
  <si>
    <t>Miley Cyrus</t>
  </si>
  <si>
    <t>Bounce Patrol - Kids Songs</t>
  </si>
  <si>
    <t>BabyBus - Kids Songs and Cartoons</t>
  </si>
  <si>
    <t>Dua Lipa</t>
  </si>
  <si>
    <t>Sesame Street</t>
  </si>
  <si>
    <t>TRANS7 OFFICIAL</t>
  </si>
  <si>
    <t>SUPER SLICK SLIME SAM</t>
  </si>
  <si>
    <t>Enrique Iglesias</t>
  </si>
  <si>
    <t>50 Cent</t>
  </si>
  <si>
    <t>Rafa &amp; Luiz</t>
  </si>
  <si>
    <t>Netflix</t>
  </si>
  <si>
    <t>Les' Copaque Production</t>
  </si>
  <si>
    <t>Selena Gomez</t>
  </si>
  <si>
    <t>LEGO</t>
  </si>
  <si>
    <t>elcarteldesantatv</t>
  </si>
  <si>
    <t>Movieclips</t>
  </si>
  <si>
    <t>GMA Integrated News</t>
  </si>
  <si>
    <t>Chetan Monga Vlogs</t>
  </si>
  <si>
    <t>Totoy kids - Espaï¿½ï</t>
  </si>
  <si>
    <t>Tekashi 6ix9ine</t>
  </si>
  <si>
    <t>Worldwide Records Bhojpuri</t>
  </si>
  <si>
    <t>KOMPASTV</t>
  </si>
  <si>
    <t>Marshmello</t>
  </si>
  <si>
    <t>Kiddiestv Hindi - Nursery Rhymes &amp; Kids Songs</t>
  </si>
  <si>
    <t>FailArmy</t>
  </si>
  <si>
    <t>Charlie Puth</t>
  </si>
  <si>
    <t>BabyBus - Cerita &amp; Lagu Anak-anak</t>
  </si>
  <si>
    <t>Sebastiï¿½ï¿½ï¿½</t>
  </si>
  <si>
    <t>Vijay Kumar Viner Vlogs</t>
  </si>
  <si>
    <t>tabii Urdu</t>
  </si>
  <si>
    <t>O Reino Infantil</t>
  </si>
  <si>
    <t>infobells - Tamil</t>
  </si>
  <si>
    <t>First We Feast</t>
  </si>
  <si>
    <t>Fun For Kids TV - Hindi Rhymes</t>
  </si>
  <si>
    <t>Triggered Insaan</t>
  </si>
  <si>
    <t>KBS WORLD TV</t>
  </si>
  <si>
    <t>MR. INDIAN HACKER</t>
  </si>
  <si>
    <t>Little Angel: Nursery Rhymes &amp; Kids Songs</t>
  </si>
  <si>
    <t>Wow Kidz Action</t>
  </si>
  <si>
    <t>T-Series Hamaar Bhojpuri</t>
  </si>
  <si>
    <t>Jazzghost</t>
  </si>
  <si>
    <t>5-Minute Crafts PLAY</t>
  </si>
  <si>
    <t>1theK (ï¿½ï¿½ï¿½ï¿½ï</t>
  </si>
  <si>
    <t>JustinBieberVEVO</t>
  </si>
  <si>
    <t>Nicki Minaj</t>
  </si>
  <si>
    <t>Becky G</t>
  </si>
  <si>
    <t>CoryxKenshin</t>
  </si>
  <si>
    <t>THE BROWN SIBLINGS</t>
  </si>
  <si>
    <t>Shemaroo Comedy</t>
  </si>
  <si>
    <t>MGC Playhouse</t>
  </si>
  <si>
    <t>Geet MP3</t>
  </si>
  <si>
    <t>Calvin Harris</t>
  </si>
  <si>
    <t>Crazy XYZ</t>
  </si>
  <si>
    <t>Diana and Roma ESP</t>
  </si>
  <si>
    <t>Spinnin' Records</t>
  </si>
  <si>
    <t>DeGoBooM</t>
  </si>
  <si>
    <t>Goldmines Bollywood</t>
  </si>
  <si>
    <t>Geo News</t>
  </si>
  <si>
    <t>Airrack</t>
  </si>
  <si>
    <t>The MriDul</t>
  </si>
  <si>
    <t>TWICE</t>
  </si>
  <si>
    <t>Troom Troom</t>
  </si>
  <si>
    <t>Little Baby Bum - Nursery Rhymes &amp; Kids Songs</t>
  </si>
  <si>
    <t>MalumaVEVO</t>
  </si>
  <si>
    <t>Kuplinov ï¿½ï¿½ï¿</t>
  </si>
  <si>
    <t>Maroon5VEVO</t>
  </si>
  <si>
    <t>IGN</t>
  </si>
  <si>
    <t>ArianaGrandeVevo</t>
  </si>
  <si>
    <t>Farruko</t>
  </si>
  <si>
    <t>Atlantic Records</t>
  </si>
  <si>
    <t>Zee Kids</t>
  </si>
  <si>
    <t>Sia</t>
  </si>
  <si>
    <t>Like Nastya PRT</t>
  </si>
  <si>
    <t>Pen Movies</t>
  </si>
  <si>
    <t>EdisonPts</t>
  </si>
  <si>
    <t>Queen Official</t>
  </si>
  <si>
    <t>RihannaVEVO</t>
  </si>
  <si>
    <t>White Hill Music</t>
  </si>
  <si>
    <t>Vlad y Niki Show</t>
  </si>
  <si>
    <t>Jesser</t>
  </si>
  <si>
    <t>Katakit Baby TV</t>
  </si>
  <si>
    <t>Akon</t>
  </si>
  <si>
    <t>WORLDSTARHIPHOP</t>
  </si>
  <si>
    <t>Shawn Mendes</t>
  </si>
  <si>
    <t>Wiz Khalifa</t>
  </si>
  <si>
    <t>SelenaGomezVEVO</t>
  </si>
  <si>
    <t>KatyPerryVEVO</t>
  </si>
  <si>
    <t>Mark Rober</t>
  </si>
  <si>
    <t>Lahari Music - TSeries</t>
  </si>
  <si>
    <t>Beyoncï¿½ï¿½</t>
  </si>
  <si>
    <t>Aayu and Pihu Show</t>
  </si>
  <si>
    <t>Blippi Espaï¿½ï</t>
  </si>
  <si>
    <t>Pitbull</t>
  </si>
  <si>
    <t>Linus Tech Tips</t>
  </si>
  <si>
    <t>O Que Nï¿½ï¿½ï¿½ï¿½ï¿½ï¿</t>
  </si>
  <si>
    <t>karameeshchannel</t>
  </si>
  <si>
    <t>Jorge &amp; Mateus Oficial</t>
  </si>
  <si>
    <t>Ch7HD</t>
  </si>
  <si>
    <t>Zee Music Classic</t>
  </si>
  <si>
    <t>SAM SMITH</t>
  </si>
  <si>
    <t>Got Talent Global</t>
  </si>
  <si>
    <t>jbalvinVEVO</t>
  </si>
  <si>
    <t>Like Nastya VNM</t>
  </si>
  <si>
    <t>AdeleVEVO</t>
  </si>
  <si>
    <t>FC Barcelona</t>
  </si>
  <si>
    <t>Renato Garcia YT</t>
  </si>
  <si>
    <t>Hacksmith Industries</t>
  </si>
  <si>
    <t>DaniRep | +6 Vï¿½ï¿½ï¿½ï¿½ï¿½ï¿½ï¿½ï¿½ï¿½ï¿½ï</t>
  </si>
  <si>
    <t>Genierock</t>
  </si>
  <si>
    <t>El Reino a Jugar</t>
  </si>
  <si>
    <t>Ultra Records</t>
  </si>
  <si>
    <t>The Chainsmokers</t>
  </si>
  <si>
    <t>Avicii</t>
  </si>
  <si>
    <t>AlArabiya ï¿½ï¿½ï¿½ï¿½ï¿</t>
  </si>
  <si>
    <t>Sidemen</t>
  </si>
  <si>
    <t>Netflix Jr.</t>
  </si>
  <si>
    <t>Lyrical Lemonade</t>
  </si>
  <si>
    <t>Kids TV India Hindi Nursery Rhymes</t>
  </si>
  <si>
    <t>DanTDM</t>
  </si>
  <si>
    <t>FFUNTV</t>
  </si>
  <si>
    <t>CarryMinati</t>
  </si>
  <si>
    <t>Turma da Mï¿½ï¿½</t>
  </si>
  <si>
    <t>NickyJamTV</t>
  </si>
  <si>
    <t>Franco Escamilla</t>
  </si>
  <si>
    <t>Dave and Ava - Nursery Rhymes and Baby Songs</t>
  </si>
  <si>
    <t>sagar kalra (Shorts)</t>
  </si>
  <si>
    <t>StudyIQ IAS</t>
  </si>
  <si>
    <t>Lady Diana</t>
  </si>
  <si>
    <t>EnriqueIglesiasVEVO</t>
  </si>
  <si>
    <t>Pop Chartbusters</t>
  </si>
  <si>
    <t>Paulo Londra</t>
  </si>
  <si>
    <t>NBA</t>
  </si>
  <si>
    <t>mmoshaya</t>
  </si>
  <si>
    <t>Anitta</t>
  </si>
  <si>
    <t>ýýýýýýýýýýýýýýý - Genevieve's Playhouse</t>
  </si>
  <si>
    <t>Indore Physical Academy</t>
  </si>
  <si>
    <t>Gallina Pintadita</t>
  </si>
  <si>
    <t>BanderitaX</t>
  </si>
  <si>
    <t>Arif muhammad</t>
  </si>
  <si>
    <t>Smosh</t>
  </si>
  <si>
    <t>Vsauce</t>
  </si>
  <si>
    <t>Infinite</t>
  </si>
  <si>
    <t>Crescendo com Luluca</t>
  </si>
  <si>
    <t>JuegaGerman</t>
  </si>
  <si>
    <t>Diana and Roma ARA</t>
  </si>
  <si>
    <t>BBC News</t>
  </si>
  <si>
    <t>Goldmines Great Indian Comedy</t>
  </si>
  <si>
    <t>Wesley Safadï¿½</t>
  </si>
  <si>
    <t>Vlad and Niki Arabic</t>
  </si>
  <si>
    <t>Pokï¿½ï¿½ï¿½ï¿½ï¿½ï¿½ï¿½ï¿½ï¿½</t>
  </si>
  <si>
    <t>Lyna</t>
  </si>
  <si>
    <t>officialpsy</t>
  </si>
  <si>
    <t>MiawAug</t>
  </si>
  <si>
    <t>MC Divertida</t>
  </si>
  <si>
    <t>Free Fire India Official</t>
  </si>
  <si>
    <t>Eva Bravo Play</t>
  </si>
  <si>
    <t>Zig &amp; Sharko</t>
  </si>
  <si>
    <t>Wish 107.5</t>
  </si>
  <si>
    <t>RaptorGamer</t>
  </si>
  <si>
    <t>Jennifer Lopez</t>
  </si>
  <si>
    <t>DJ Snake</t>
  </si>
  <si>
    <t>Zee Bangla</t>
  </si>
  <si>
    <t>Miss Katy</t>
  </si>
  <si>
    <t>Auron</t>
  </si>
  <si>
    <t>Camilo</t>
  </si>
  <si>
    <t>Fueled By Ramen</t>
  </si>
  <si>
    <t>Rans Entertainment</t>
  </si>
  <si>
    <t>SRK MUSIC</t>
  </si>
  <si>
    <t>XXXTENTACION</t>
  </si>
  <si>
    <t>NDTV</t>
  </si>
  <si>
    <t>NMF News</t>
  </si>
  <si>
    <t>Morgz</t>
  </si>
  <si>
    <t>James Charles</t>
  </si>
  <si>
    <t>FIFA</t>
  </si>
  <si>
    <t>WiederDude</t>
  </si>
  <si>
    <t>Saturday Night Live</t>
  </si>
  <si>
    <t>melanie martinez</t>
  </si>
  <si>
    <t>Mobile Legends: Bang Bang</t>
  </si>
  <si>
    <t>Mr Bean</t>
  </si>
  <si>
    <t>Juliana Baltar</t>
  </si>
  <si>
    <t>NoCopyrightSounds</t>
  </si>
  <si>
    <t>Beyoncï¿</t>
  </si>
  <si>
    <t>RsiamMusic : ï¿½ï¿½ï¿½ï¿½ï¿½ï¿½ï¿½ï¿½</t>
  </si>
  <si>
    <t>VanossGaming</t>
  </si>
  <si>
    <t>zbing z.</t>
  </si>
  <si>
    <t>TommyInnit</t>
  </si>
  <si>
    <t>Like Nastya Show</t>
  </si>
  <si>
    <t>Peppa Pig Espaï¿½ï¿½ï¿½ï¿½ï¿½ï¿½ï¿½ï¿½ï¿½</t>
  </si>
  <si>
    <t>Manual do Mundo</t>
  </si>
  <si>
    <t>Duo Tiempo De Sol</t>
  </si>
  <si>
    <t>5-Minute Crafts Recycle</t>
  </si>
  <si>
    <t>Britain's Got Talent</t>
  </si>
  <si>
    <t>Volga Video</t>
  </si>
  <si>
    <t>The Infographics Show</t>
  </si>
  <si>
    <t>Wave Music Bhojpuri</t>
  </si>
  <si>
    <t>Meghan Trainor</t>
  </si>
  <si>
    <t>OneDirectionVEVO</t>
  </si>
  <si>
    <t>Marques Brownlee</t>
  </si>
  <si>
    <t>KatieAngel</t>
  </si>
  <si>
    <t>FACT FIRE KING</t>
  </si>
  <si>
    <t>Fatos Desconhecidos</t>
  </si>
  <si>
    <t>WatchMojo.com</t>
  </si>
  <si>
    <t>twenty one pilots</t>
  </si>
  <si>
    <t>Mis Pastelitos</t>
  </si>
  <si>
    <t>Jkk Entertainment</t>
  </si>
  <si>
    <t>LuisFonsiVEVO</t>
  </si>
  <si>
    <t>Migos ATL</t>
  </si>
  <si>
    <t>NDTV India</t>
  </si>
  <si>
    <t>Avril Lavigne</t>
  </si>
  <si>
    <t>SQUEEZIE</t>
  </si>
  <si>
    <t>Vocï¿½ï¿½ï¿½</t>
  </si>
  <si>
    <t>Telemundo</t>
  </si>
  <si>
    <t>tanboy kun</t>
  </si>
  <si>
    <t>Hungria Hip Hop</t>
  </si>
  <si>
    <t>Like Nastya Vlog</t>
  </si>
  <si>
    <t>Hear This Music</t>
  </si>
  <si>
    <t>Like Nastya</t>
  </si>
  <si>
    <t>Acenix</t>
  </si>
  <si>
    <t>Goldmines Cineplex</t>
  </si>
  <si>
    <t>Aadishakti Films</t>
  </si>
  <si>
    <t>TRANS TV Official</t>
  </si>
  <si>
    <t>TEDx Talks</t>
  </si>
  <si>
    <t>Trap Nation</t>
  </si>
  <si>
    <t>With Kids[ï¿½ï¿½ï¿½ï¿½ï</t>
  </si>
  <si>
    <t>Vogue</t>
  </si>
  <si>
    <t>National Geographic</t>
  </si>
  <si>
    <t>Mohamed Ramadan I ï¿½ï¿½ï¿½ï¿½ï¿½ï¿½ï</t>
  </si>
  <si>
    <t>Juan De Dios Pantoja</t>
  </si>
  <si>
    <t>Lil Nas X</t>
  </si>
  <si>
    <t>GMM25Thailand</t>
  </si>
  <si>
    <t>Diana and Roma IND</t>
  </si>
  <si>
    <t>Apple</t>
  </si>
  <si>
    <t>TheGrefg</t>
  </si>
  <si>
    <t>PowerfulJRE</t>
  </si>
  <si>
    <t>Smile Family Spanish</t>
  </si>
  <si>
    <t>Trakin Tech</t>
  </si>
  <si>
    <t>Veritasium</t>
  </si>
  <si>
    <t>rezendeevil</t>
  </si>
  <si>
    <t>Maya and Mary</t>
  </si>
  <si>
    <t>Painzeiro</t>
  </si>
  <si>
    <t>Kabita's Kitchen</t>
  </si>
  <si>
    <t>Like Nastya IDN</t>
  </si>
  <si>
    <t>MNCTV OFFICIAL</t>
  </si>
  <si>
    <t>League of Legends</t>
  </si>
  <si>
    <t>E-MasterSensei</t>
  </si>
  <si>
    <t>BBC</t>
  </si>
  <si>
    <t>Gato Galactico | GALï¿½ï¿</t>
  </si>
  <si>
    <t>Blossom</t>
  </si>
  <si>
    <t>PlayStation</t>
  </si>
  <si>
    <t>JesseAndMike</t>
  </si>
  <si>
    <t>Jelly</t>
  </si>
  <si>
    <t>My Mate Nate</t>
  </si>
  <si>
    <t>Nick Jr.</t>
  </si>
  <si>
    <t>BIGBANG</t>
  </si>
  <si>
    <t>Camila Cabello</t>
  </si>
  <si>
    <t>Camila Loures</t>
  </si>
  <si>
    <t>Emiway Bantai</t>
  </si>
  <si>
    <t>Totoy kids - Portuguï¿½</t>
  </si>
  <si>
    <t>VEGETTA777</t>
  </si>
  <si>
    <t>TazerCraft</t>
  </si>
  <si>
    <t>Vlad and Niki PRT</t>
  </si>
  <si>
    <t>Little Mix</t>
  </si>
  <si>
    <t>jacksepticeye</t>
  </si>
  <si>
    <t>PewDiePie</t>
  </si>
  <si>
    <t>Gordon Ramsay</t>
  </si>
  <si>
    <t>zayn</t>
  </si>
  <si>
    <t>TheBrianMaps</t>
  </si>
  <si>
    <t>Saad Lamjarred | ï¿½ï¿½ï¿½ï¿½ï¿½ï¿</t>
  </si>
  <si>
    <t>Manoj  parihar</t>
  </si>
  <si>
    <t>Marmok</t>
  </si>
  <si>
    <t>Pari's Lifestyle</t>
  </si>
  <si>
    <t>Fifth Harmony</t>
  </si>
  <si>
    <t>Goldmines Premiere</t>
  </si>
  <si>
    <t>Ellie Goulding</t>
  </si>
  <si>
    <t>VICE</t>
  </si>
  <si>
    <t>Porta dos Fundos</t>
  </si>
  <si>
    <t>Melon City Show - ï¿½ï¿½ï¿½ï¿½ï¿½ï¿½ï¿½ï¿½ï¿½ï¿½ï¿</t>
  </si>
  <si>
    <t>NikkieTutorials</t>
  </si>
  <si>
    <t>Martin Garrix</t>
  </si>
  <si>
    <t>NickiMinajAtVEVO</t>
  </si>
  <si>
    <t>Lokdhun Punjabi</t>
  </si>
  <si>
    <t>Awakening Music</t>
  </si>
  <si>
    <t>FAPTV</t>
  </si>
  <si>
    <t>Chad Wild Clay</t>
  </si>
  <si>
    <t>DrossRotzank</t>
  </si>
  <si>
    <t>DisneyChannelUK</t>
  </si>
  <si>
    <t>T-Series Regional</t>
  </si>
  <si>
    <t>XpressTV</t>
  </si>
  <si>
    <t>Typical Gamer</t>
  </si>
  <si>
    <t>T3ddy</t>
  </si>
  <si>
    <t>Mister Max</t>
  </si>
  <si>
    <t>MrBeast en Espaï¿½ï</t>
  </si>
  <si>
    <t>FerN/Afloo</t>
  </si>
  <si>
    <t>Round2hell</t>
  </si>
  <si>
    <t>TheOdd1sOut</t>
  </si>
  <si>
    <t>Vlad and Niki ARA</t>
  </si>
  <si>
    <t>Team Films Bhojpuri</t>
  </si>
  <si>
    <t>Mï¿½ï¿½ï¿½ï¿½</t>
  </si>
  <si>
    <t>Pastor Antï¿½ï¿½ï¿½ï¿½ï</t>
  </si>
  <si>
    <t>Lofi Girl</t>
  </si>
  <si>
    <t>LosPolinesios</t>
  </si>
  <si>
    <t>bharatzkitchen HINDI</t>
  </si>
  <si>
    <t>DALLMYD</t>
  </si>
  <si>
    <t>DLS News</t>
  </si>
  <si>
    <t>GENIAL</t>
  </si>
  <si>
    <t>TED-Ed</t>
  </si>
  <si>
    <t>Top Viral Talent</t>
  </si>
  <si>
    <t>Troom Troom Es</t>
  </si>
  <si>
    <t>SlivkiShow</t>
  </si>
  <si>
    <t>Valentina Pontes ofc</t>
  </si>
  <si>
    <t>Sonotek</t>
  </si>
  <si>
    <t>Kurzgesagt ï¿½ï¿½ï¿½ï¿½ï¿½ï¿</t>
  </si>
  <si>
    <t>Like Nastya Stories</t>
  </si>
  <si>
    <t>Kwebbelkop</t>
  </si>
  <si>
    <t>7 Minutoz</t>
  </si>
  <si>
    <t>Demi Lovato</t>
  </si>
  <si>
    <t>Anaysa</t>
  </si>
  <si>
    <t>Dr. Vivek Bindra: Motivational Speaker</t>
  </si>
  <si>
    <t>Davie504</t>
  </si>
  <si>
    <t>Boyce Avenue</t>
  </si>
  <si>
    <t>Rosanna Pansino</t>
  </si>
  <si>
    <t>RobleisIUTU</t>
  </si>
  <si>
    <t>TV Ana Emilia</t>
  </si>
  <si>
    <t>Talking Tom &amp; Friends</t>
  </si>
  <si>
    <t>Talking Angela</t>
  </si>
  <si>
    <t>whinderssonnunes</t>
  </si>
  <si>
    <t>The Late Late Show with James Corden</t>
  </si>
  <si>
    <t>LazarBeam</t>
  </si>
  <si>
    <t>Peppa Pig em Portuguï¿½ï¿½ï¿½ï¿½ï¿½ï¿½ï¿½ï¿½ï¿</t>
  </si>
  <si>
    <t>Kim Loaiza</t>
  </si>
  <si>
    <t>MissaSinfonia</t>
  </si>
  <si>
    <t>Harsh Beniwal</t>
  </si>
  <si>
    <t>MyMissAN/Ad</t>
  </si>
  <si>
    <t>JJ Olatunji</t>
  </si>
  <si>
    <t>123 GO! Spanish</t>
  </si>
  <si>
    <t>Baim Paula</t>
  </si>
  <si>
    <t>5-Minute Crafts FAMILY</t>
  </si>
  <si>
    <t>GEN HALILINTAR</t>
  </si>
  <si>
    <t>Dream</t>
  </si>
  <si>
    <t>ashish chanchlani vines</t>
  </si>
  <si>
    <t>ADEL et SAMI</t>
  </si>
  <si>
    <t>Tasty</t>
  </si>
  <si>
    <t>Skrillex</t>
  </si>
  <si>
    <t>Sonotek Bhakti</t>
  </si>
  <si>
    <t>Rotten Tomatoes Trailers</t>
  </si>
  <si>
    <t>Timba Vk</t>
  </si>
  <si>
    <t>Make Joke Of</t>
  </si>
  <si>
    <t>Neha Kakkar</t>
  </si>
  <si>
    <t>Kids Play</t>
  </si>
  <si>
    <t>KHANDESHI MOVIES</t>
  </si>
  <si>
    <t>HiMan</t>
  </si>
  <si>
    <t>Dear Sir</t>
  </si>
  <si>
    <t>FunFun Toy Doll TV</t>
  </si>
  <si>
    <t>enchufetv</t>
  </si>
  <si>
    <t>REACT</t>
  </si>
  <si>
    <t>Technical Guruji</t>
  </si>
  <si>
    <t>MattyBRaps</t>
  </si>
  <si>
    <t>NishaMadhulika</t>
  </si>
  <si>
    <t>infobells</t>
  </si>
  <si>
    <t>Lotus Music</t>
  </si>
  <si>
    <t>Chloe Ting</t>
  </si>
  <si>
    <t>Canal Canalha</t>
  </si>
  <si>
    <t>Clash of Clans</t>
  </si>
  <si>
    <t>Boram Tube Vlog [ï¿½ï¿½ï¿½ï¿½ï¿½ï¿½ï¿½ï¿½ï¿</t>
  </si>
  <si>
    <t>YouTube</t>
  </si>
  <si>
    <t>TheEllenShow</t>
  </si>
  <si>
    <t>Hero Movies 2023</t>
  </si>
  <si>
    <t>Lachlan</t>
  </si>
  <si>
    <t>FactTechz</t>
  </si>
  <si>
    <t>AH</t>
  </si>
  <si>
    <t>Brawl Stars</t>
  </si>
  <si>
    <t>Vibhu 96</t>
  </si>
  <si>
    <t>Eros Now Music</t>
  </si>
  <si>
    <t>5-Minute Crafts DIY</t>
  </si>
  <si>
    <t>KerajiN/A 5-Menit</t>
  </si>
  <si>
    <t>Invento na Hora</t>
  </si>
  <si>
    <t>The Slow Mo Guys</t>
  </si>
  <si>
    <t>Lele Pons</t>
  </si>
  <si>
    <t>Technology Gyan</t>
  </si>
  <si>
    <t>MrSuicideSheep</t>
  </si>
  <si>
    <t>INCRï¿½ï¿</t>
  </si>
  <si>
    <t>Sandra Cires Art</t>
  </si>
  <si>
    <t>Technoblade</t>
  </si>
  <si>
    <t>RedeTV</t>
  </si>
  <si>
    <t>Just For Laughs Gags</t>
  </si>
  <si>
    <t>Troom Troom India</t>
  </si>
  <si>
    <t>BB Ki Vines</t>
  </si>
  <si>
    <t>Jimmy Kimmel Live</t>
  </si>
  <si>
    <t>Daftar Populer</t>
  </si>
  <si>
    <t>Naisa Alifia Yuriza (N.A.Y)</t>
  </si>
  <si>
    <t>H2ODelirious</t>
  </si>
  <si>
    <t>Unbox Therapy</t>
  </si>
  <si>
    <t>Doc Tops</t>
  </si>
  <si>
    <t>Little Baby Bum en Espaï¿½ï</t>
  </si>
  <si>
    <t>Tu COSMOPOLIS</t>
  </si>
  <si>
    <t>Heidi y Zidane</t>
  </si>
  <si>
    <t>It's Mamix</t>
  </si>
  <si>
    <t>theRadBrad</t>
  </si>
  <si>
    <t>Noor Stars</t>
  </si>
  <si>
    <t>HowToBasic</t>
  </si>
  <si>
    <t>Willyrex</t>
  </si>
  <si>
    <t>People Vs Food</t>
  </si>
  <si>
    <t>PopularMMOs</t>
  </si>
  <si>
    <t>Lindsey Stirling</t>
  </si>
  <si>
    <t>Ivana Alawi</t>
  </si>
  <si>
    <t>Pencilmation</t>
  </si>
  <si>
    <t>Jake Paul</t>
  </si>
  <si>
    <t>ATHLEAN-Xï¿½</t>
  </si>
  <si>
    <t>PDK Films</t>
  </si>
  <si>
    <t>wifistudy</t>
  </si>
  <si>
    <t>Gyan Gamingï¿½</t>
  </si>
  <si>
    <t>iTownGamePlay *Terror&amp;Diversiï¿½ï</t>
  </si>
  <si>
    <t>Canal IN</t>
  </si>
  <si>
    <t>Narins Beauty</t>
  </si>
  <si>
    <t>JD Pantoja</t>
  </si>
  <si>
    <t>Troom Troom PT</t>
  </si>
  <si>
    <t>BUDI01 GAMING</t>
  </si>
  <si>
    <t>TED</t>
  </si>
  <si>
    <t>CKM</t>
  </si>
  <si>
    <t>DangMattSmith</t>
  </si>
  <si>
    <t>Bie The Ska</t>
  </si>
  <si>
    <t>Ranz Kyle</t>
  </si>
  <si>
    <t>AuronPlay</t>
  </si>
  <si>
    <t>Zeinab Harake</t>
  </si>
  <si>
    <t>gymvirtual</t>
  </si>
  <si>
    <t>Mariale</t>
  </si>
  <si>
    <t>CookingShooking Hindi</t>
  </si>
  <si>
    <t>Cyprien</t>
  </si>
  <si>
    <t>JFlaMusic</t>
  </si>
  <si>
    <t>Wave Music Bhakti</t>
  </si>
  <si>
    <t>ERB</t>
  </si>
  <si>
    <t>TheWillyrex</t>
  </si>
  <si>
    <t>Guava Juice</t>
  </si>
  <si>
    <t>Collins Key</t>
  </si>
  <si>
    <t>Alex Gonzaga Official</t>
  </si>
  <si>
    <t>Logan Paul</t>
  </si>
  <si>
    <t>Conor Maynard</t>
  </si>
  <si>
    <t>JOJO TV - Hindi Stories</t>
  </si>
  <si>
    <t>Planeta das Gï¿½ï¿½</t>
  </si>
  <si>
    <t>Gibby :)</t>
  </si>
  <si>
    <t>F2Freestylers - Ultimate Soccer Skills Channel</t>
  </si>
  <si>
    <t>AM3NlC</t>
  </si>
  <si>
    <t>Adexe &amp; Nau</t>
  </si>
  <si>
    <t>Niana Guerrero</t>
  </si>
  <si>
    <t>DopeLyrics</t>
  </si>
  <si>
    <t>Reaction Time</t>
  </si>
  <si>
    <t>Dyland PROS</t>
  </si>
  <si>
    <t>Heidi and Zidane HZHtube</t>
  </si>
  <si>
    <t>Kaykai Salaider</t>
  </si>
  <si>
    <t>BuzzFeedVideo</t>
  </si>
  <si>
    <t>Yair17</t>
  </si>
  <si>
    <t>BIBO ï¿½ï¿½ï¿½ï¿½ï¿½ï¿</t>
  </si>
  <si>
    <t>David Dobrik</t>
  </si>
  <si>
    <t>Rclbeauty101</t>
  </si>
  <si>
    <t>colinfurze</t>
  </si>
  <si>
    <t>Ninja</t>
  </si>
  <si>
    <t>Prajapati News</t>
  </si>
  <si>
    <t>MAIKI021</t>
  </si>
  <si>
    <t>CrashCourse</t>
  </si>
  <si>
    <t>Parafernalha</t>
  </si>
  <si>
    <t>#Refï¿½ï¿½ï¿½ï¿½</t>
  </si>
  <si>
    <t>#Refugio Mental</t>
  </si>
  <si>
    <t>Crafty Panda</t>
  </si>
  <si>
    <t>Makiman131</t>
  </si>
  <si>
    <t>CaseyNeistat</t>
  </si>
  <si>
    <t>LOKESH GAMER</t>
  </si>
  <si>
    <t>elrubiusOMG</t>
  </si>
  <si>
    <t>HaerteTest</t>
  </si>
  <si>
    <t>KSI</t>
  </si>
  <si>
    <t>AuthenticGames</t>
  </si>
  <si>
    <t>AzzyLand</t>
  </si>
  <si>
    <t>Lilly Singh</t>
  </si>
  <si>
    <t>Boram Tube ToysReview [ï¿½ï¿½ï¿½ï¿½ï¿½ï¿½ï¿½ï¿½ï¿</t>
  </si>
  <si>
    <t>Maha Fun Tv</t>
  </si>
  <si>
    <t>Antrax</t>
  </si>
  <si>
    <t>Darkar Company Studios</t>
  </si>
  <si>
    <t>Oyuncak Avï¿</t>
  </si>
  <si>
    <t>Kurt Hugo Schneider</t>
  </si>
  <si>
    <t>BIBOï¿½ï¿½ï¿½ï¿½ï</t>
  </si>
  <si>
    <t>RobTopGames</t>
  </si>
  <si>
    <t>JennaMarbles</t>
  </si>
  <si>
    <t>Piuzinho</t>
  </si>
  <si>
    <t>Coke Studio</t>
  </si>
  <si>
    <t>W2S</t>
  </si>
  <si>
    <t>Everson Zoio</t>
  </si>
  <si>
    <t>IDEIAS INCRï¿½ï¿½</t>
  </si>
  <si>
    <t>The ACE Family</t>
  </si>
  <si>
    <t>shane</t>
  </si>
  <si>
    <t>nigahiga</t>
  </si>
  <si>
    <t>JukiLop</t>
  </si>
  <si>
    <t>jeffreestar</t>
  </si>
  <si>
    <t>Matt Steffanina</t>
  </si>
  <si>
    <t>Liza Koshy</t>
  </si>
  <si>
    <t>EeOneGuy</t>
  </si>
  <si>
    <t>Roman Atwood Vlogs</t>
  </si>
  <si>
    <t>Health Time</t>
  </si>
  <si>
    <t>Wengie</t>
  </si>
  <si>
    <t>Vevo</t>
  </si>
  <si>
    <t>The World Adventures ï¿½ï¿½ï¿½ï¿½ï¿½ï¿½</t>
  </si>
  <si>
    <t>Drawblogs</t>
  </si>
  <si>
    <t>MY FAMILY</t>
  </si>
  <si>
    <t>Stubborn Facts</t>
  </si>
  <si>
    <t>The Shiny Peanut</t>
  </si>
  <si>
    <t>SAAIHALILINTAR</t>
  </si>
  <si>
    <t>Future</t>
  </si>
  <si>
    <t>les boys tv2</t>
  </si>
  <si>
    <t>Super Polina</t>
  </si>
  <si>
    <t>Yuya</t>
  </si>
  <si>
    <t>Canal Nostalgia</t>
  </si>
  <si>
    <t>Matheus Yurley</t>
  </si>
  <si>
    <t>Panda</t>
  </si>
  <si>
    <t>IDEAS EN 5 MINUTOS</t>
  </si>
  <si>
    <t>Shorts Break</t>
  </si>
  <si>
    <t>XO TEAM</t>
  </si>
  <si>
    <t>Travis Scott</t>
  </si>
  <si>
    <t>Beast Philanthropy</t>
  </si>
  <si>
    <t>Venus Entertainment</t>
  </si>
  <si>
    <t>Matt Stonie</t>
  </si>
  <si>
    <t>LOUD</t>
  </si>
  <si>
    <t>MSA previously My Story Animated</t>
  </si>
  <si>
    <t>SOMOY TV</t>
  </si>
  <si>
    <t>Tlnovelas</t>
  </si>
  <si>
    <t>Rotana</t>
  </si>
  <si>
    <t>Quantum Tech HD</t>
  </si>
  <si>
    <t>The Dodo</t>
  </si>
  <si>
    <t>One Direction</t>
  </si>
  <si>
    <t>Disney Latinoamï¿½ï¿½</t>
  </si>
  <si>
    <t>YOLO AVENTURAS</t>
  </si>
  <si>
    <t>JULIA GISELLA</t>
  </si>
  <si>
    <t>Republic Bharat</t>
  </si>
  <si>
    <t>FitDance</t>
  </si>
  <si>
    <t>Smile Family</t>
  </si>
  <si>
    <t>Wolfoo Channel</t>
  </si>
  <si>
    <t>ExtraPolinesios</t>
  </si>
  <si>
    <t>Badabun</t>
  </si>
  <si>
    <t>DJ Khaled</t>
  </si>
  <si>
    <t>SCTV</t>
  </si>
  <si>
    <t>Ryan Trahan</t>
  </si>
  <si>
    <t>LooLoo Kids - Nursery Rhymes and Children's Songs</t>
  </si>
  <si>
    <t>Trap City</t>
  </si>
  <si>
    <t>Zach King</t>
  </si>
  <si>
    <t>Romeo Santos</t>
  </si>
  <si>
    <t>SIS vs BRO</t>
  </si>
  <si>
    <t>A4</t>
  </si>
  <si>
    <t>CKN</t>
  </si>
  <si>
    <t>Techno Gamerz</t>
  </si>
  <si>
    <t>Musas</t>
  </si>
  <si>
    <t>Deddy Corbuzier</t>
  </si>
  <si>
    <t>Total Gaming</t>
  </si>
  <si>
    <t>Marvel Entertainment</t>
  </si>
  <si>
    <t>invictor</t>
  </si>
  <si>
    <t>MrBeast Gaming</t>
  </si>
  <si>
    <t>Jason Vlogs</t>
  </si>
  <si>
    <t>AS Gaming</t>
  </si>
  <si>
    <t>Alan Walker</t>
  </si>
  <si>
    <t>Drake</t>
  </si>
  <si>
    <t>ZHC</t>
  </si>
  <si>
    <t>Goldmines</t>
  </si>
  <si>
    <t>Maluma</t>
  </si>
  <si>
    <t>ToyPuddingTV</t>
  </si>
  <si>
    <t>Las Ratitas</t>
  </si>
  <si>
    <t>T-Series Bhakti Sagar</t>
  </si>
  <si>
    <t>Salman Noman</t>
  </si>
  <si>
    <t>Zee Telugu</t>
  </si>
  <si>
    <t>Cardi B</t>
  </si>
  <si>
    <t>Toys and Colors</t>
  </si>
  <si>
    <t>Desi Gamers</t>
  </si>
  <si>
    <t>Amit Bhadana</t>
  </si>
  <si>
    <t>Zuni and Family</t>
  </si>
  <si>
    <t>HolaSoyGerman.</t>
  </si>
  <si>
    <t>AdMe</t>
  </si>
  <si>
    <t>And TV</t>
  </si>
  <si>
    <t>The Q</t>
  </si>
  <si>
    <t>SMOL</t>
  </si>
  <si>
    <t>Marï¿½ï¿½ï¿½ï¿½ï¿½</t>
  </si>
  <si>
    <t>Goldmines Movies</t>
  </si>
  <si>
    <t>Stray Kids</t>
  </si>
  <si>
    <t>Jomy Production</t>
  </si>
  <si>
    <t>LUCCAS NETO - LUCCAS TOON</t>
  </si>
  <si>
    <t>Masha y el Oso</t>
  </si>
  <si>
    <t>NOBRU</t>
  </si>
  <si>
    <t>Knowledge Tv ï¿½ï¿½ï¿½ï¿½ï¿½ï¿½</t>
  </si>
  <si>
    <t>ANNA KOVA</t>
  </si>
  <si>
    <t>ABPLIVE</t>
  </si>
  <si>
    <t>Troom Troom Indonesia</t>
  </si>
  <si>
    <t>WowKidz</t>
  </si>
  <si>
    <t>Jass Records</t>
  </si>
  <si>
    <t>Jamuna TV</t>
  </si>
  <si>
    <t>Alfredo Larin</t>
  </si>
  <si>
    <t>deepesh zo</t>
  </si>
  <si>
    <t>Ali-A</t>
  </si>
  <si>
    <t>Bad Bunny</t>
  </si>
  <si>
    <t>5-Minute Crafts</t>
  </si>
  <si>
    <t>Rebecca Zamolo</t>
  </si>
  <si>
    <t>TheRichest</t>
  </si>
  <si>
    <t>The Tonight Show Starring Jimmy Fallon</t>
  </si>
  <si>
    <t>Ultra Bollywood</t>
  </si>
  <si>
    <t>RKD Studios</t>
  </si>
  <si>
    <t>YOLO</t>
  </si>
  <si>
    <t>VexTrex</t>
  </si>
  <si>
    <t>Super Senya</t>
  </si>
  <si>
    <t>Talking Tom</t>
  </si>
  <si>
    <t>Ultra Movie Parlour</t>
  </si>
  <si>
    <t>Wolfoo Family</t>
  </si>
  <si>
    <t>T-Series Apna Punjab</t>
  </si>
  <si>
    <t>Zhong</t>
  </si>
  <si>
    <t>Werever2morro</t>
  </si>
  <si>
    <t>Sandeep Maheshwari</t>
  </si>
  <si>
    <t>Robin Hood Gamer</t>
  </si>
  <si>
    <t>The LaBrant Fam</t>
  </si>
  <si>
    <t>TKOR</t>
  </si>
  <si>
    <t>RCTI - LAYAR DRAMA INDONESIA</t>
  </si>
  <si>
    <t>Netflix India</t>
  </si>
  <si>
    <t>Green Gold TV - Official Channel</t>
  </si>
  <si>
    <t>Masha e o Urso</t>
  </si>
  <si>
    <t>MoniLina</t>
  </si>
  <si>
    <t>Pentatonix</t>
  </si>
  <si>
    <t>Mr DegrEE</t>
  </si>
  <si>
    <t>Luisito Comunica</t>
  </si>
  <si>
    <t>Lil Pump</t>
  </si>
  <si>
    <t>MrBeast 2</t>
  </si>
  <si>
    <t>Happy Lives</t>
  </si>
  <si>
    <t>Gustavo Parï¿½ï¿½</t>
  </si>
  <si>
    <t>Khan GS Research Centre</t>
  </si>
  <si>
    <t>Luis Fonsi</t>
  </si>
  <si>
    <t>Ian Lucas</t>
  </si>
  <si>
    <t>Ja Mill</t>
  </si>
  <si>
    <t>Linkin Park</t>
  </si>
  <si>
    <t>Official Pink Panther</t>
  </si>
  <si>
    <t>Major Lazer Official</t>
  </si>
  <si>
    <t>Jane ASMR ï¿½ï¿½</t>
  </si>
  <si>
    <t>La Rosa de Guadalupe</t>
  </si>
  <si>
    <t>Hongyu ASMR ï¿½ï¿½</t>
  </si>
  <si>
    <t>Desi Music Factory</t>
  </si>
  <si>
    <t>CollegeHumor</t>
  </si>
  <si>
    <t>Fede Vigevani</t>
  </si>
  <si>
    <t>BRIGHT SIDE</t>
  </si>
  <si>
    <t>Ajay Sharma</t>
  </si>
  <si>
    <t>Dan-Sa / Daniel Saboya</t>
  </si>
  <si>
    <t>Aditya Music India</t>
  </si>
  <si>
    <t>Dhar Mann</t>
  </si>
  <si>
    <t>Canal KondZilla</t>
  </si>
  <si>
    <t>Doggy Doggy Cartoons</t>
  </si>
  <si>
    <t>Gaby and Alex</t>
  </si>
  <si>
    <t>Enes Batur</t>
  </si>
  <si>
    <t>Family GamesTV</t>
  </si>
  <si>
    <t>FaZe Rug</t>
  </si>
  <si>
    <t>Ei Nerd</t>
  </si>
  <si>
    <t>Brave Wilderness</t>
  </si>
  <si>
    <t>Frost Diamond</t>
  </si>
  <si>
    <t>Blockbuster Movies</t>
  </si>
  <si>
    <t>BigSchool</t>
  </si>
  <si>
    <t>1MILLION Dance Studio</t>
  </si>
  <si>
    <t>DeToxoMoroxo</t>
  </si>
  <si>
    <t>Caeli YT</t>
  </si>
  <si>
    <t>Ch3Thailand</t>
  </si>
  <si>
    <t>Calon Sarjana</t>
  </si>
  <si>
    <t>Bebefinn - Nursery Rhymes &amp; Kids Songs</t>
  </si>
  <si>
    <t>Crazy Frog</t>
  </si>
  <si>
    <t>Busy Fun Ltd</t>
  </si>
  <si>
    <t>Alan Becker</t>
  </si>
  <si>
    <t>rank</t>
  </si>
  <si>
    <t>Youtuber</t>
  </si>
  <si>
    <t>subscribers</t>
  </si>
  <si>
    <t>video views</t>
  </si>
  <si>
    <t>category</t>
  </si>
  <si>
    <t>Title</t>
  </si>
  <si>
    <t>uploads</t>
  </si>
  <si>
    <t>Country</t>
  </si>
  <si>
    <t>Abbreviation</t>
  </si>
  <si>
    <t>channel_type</t>
  </si>
  <si>
    <t>video_views_rank</t>
  </si>
  <si>
    <t>country_rank</t>
  </si>
  <si>
    <t>channel_type_rank</t>
  </si>
  <si>
    <t>video_views_for_the_last_30_days</t>
  </si>
  <si>
    <t>lowest_monthly_earnings</t>
  </si>
  <si>
    <t>highest_monthly_earnings</t>
  </si>
  <si>
    <t>lowest_yearly_earnings</t>
  </si>
  <si>
    <t>highest_yearly_earnings</t>
  </si>
  <si>
    <t>subscribers_for_last_30_days</t>
  </si>
  <si>
    <t>created_year</t>
  </si>
  <si>
    <t>created_month</t>
  </si>
  <si>
    <t>created_date</t>
  </si>
  <si>
    <t>Gross tertiary education enrollment (%)</t>
  </si>
  <si>
    <t>Population</t>
  </si>
  <si>
    <t>Unemployment rate</t>
  </si>
  <si>
    <t>Urban_population</t>
  </si>
  <si>
    <t>Latitude</t>
  </si>
  <si>
    <t>Longitude</t>
  </si>
  <si>
    <t>Music</t>
  </si>
  <si>
    <t>India</t>
  </si>
  <si>
    <t>IN</t>
  </si>
  <si>
    <t>Mar</t>
  </si>
  <si>
    <t>YouTube Movies</t>
  </si>
  <si>
    <t>Film &amp; Animation</t>
  </si>
  <si>
    <t>youtubemovies</t>
  </si>
  <si>
    <t>United States</t>
  </si>
  <si>
    <t>US</t>
  </si>
  <si>
    <t>Games</t>
  </si>
  <si>
    <t>nan</t>
  </si>
  <si>
    <t>Entertainment</t>
  </si>
  <si>
    <t>Feb</t>
  </si>
  <si>
    <t>Education</t>
  </si>
  <si>
    <t>Sep</t>
  </si>
  <si>
    <t>Shows</t>
  </si>
  <si>
    <t>ýýý Kids Diana Show</t>
  </si>
  <si>
    <t>People &amp; Blogs</t>
  </si>
  <si>
    <t>May</t>
  </si>
  <si>
    <t>Gaming</t>
  </si>
  <si>
    <t>Japan</t>
  </si>
  <si>
    <t>JP</t>
  </si>
  <si>
    <t>Apr</t>
  </si>
  <si>
    <t>Russia</t>
  </si>
  <si>
    <t>RU</t>
  </si>
  <si>
    <t>People</t>
  </si>
  <si>
    <t>Jan</t>
  </si>
  <si>
    <t>Sports</t>
  </si>
  <si>
    <t>Dec</t>
  </si>
  <si>
    <t>South Korea</t>
  </si>
  <si>
    <t>KR</t>
  </si>
  <si>
    <t>Jun</t>
  </si>
  <si>
    <t>goldmines</t>
  </si>
  <si>
    <t>Aug</t>
  </si>
  <si>
    <t>Howto &amp; Style</t>
  </si>
  <si>
    <t>5-Minute Crafts 2.0</t>
  </si>
  <si>
    <t>United Kingdom</t>
  </si>
  <si>
    <t>GB</t>
  </si>
  <si>
    <t>Jul</t>
  </si>
  <si>
    <t>sports</t>
  </si>
  <si>
    <t>Canada</t>
  </si>
  <si>
    <t>CA</t>
  </si>
  <si>
    <t>Brazil</t>
  </si>
  <si>
    <t>BR</t>
  </si>
  <si>
    <t>T- SERIES BHAKTI SAGAR</t>
  </si>
  <si>
    <t>Film</t>
  </si>
  <si>
    <t>Argentina</t>
  </si>
  <si>
    <t>AR</t>
  </si>
  <si>
    <t>Oct</t>
  </si>
  <si>
    <t>News &amp; Politics</t>
  </si>
  <si>
    <t>News</t>
  </si>
  <si>
    <t>LooLoo Kids - Nursery Rhymes and Children's ï¿½</t>
  </si>
  <si>
    <t>Nov</t>
  </si>
  <si>
    <t>BillionSurpriseToys  - Nursery Rhymes &amp; Cartï¿½</t>
  </si>
  <si>
    <t>Chile</t>
  </si>
  <si>
    <t>CL</t>
  </si>
  <si>
    <t>badabun</t>
  </si>
  <si>
    <t>aefour</t>
  </si>
  <si>
    <t>Cuba</t>
  </si>
  <si>
    <t>CU</t>
  </si>
  <si>
    <t>badbunny</t>
  </si>
  <si>
    <t>Fernanfloo</t>
  </si>
  <si>
    <t>El Salvador</t>
  </si>
  <si>
    <t>SV</t>
  </si>
  <si>
    <t>Pakistan</t>
  </si>
  <si>
    <t>PK</t>
  </si>
  <si>
    <t>brightside</t>
  </si>
  <si>
    <t>Comedy</t>
  </si>
  <si>
    <t>Philippines</t>
  </si>
  <si>
    <t>PH</t>
  </si>
  <si>
    <t>alanwalker</t>
  </si>
  <si>
    <t>Thailand</t>
  </si>
  <si>
    <t>TH</t>
  </si>
  <si>
    <t>holasoygerman. 2</t>
  </si>
  <si>
    <t>Colombia</t>
  </si>
  <si>
    <t>CO</t>
  </si>
  <si>
    <t>Howto</t>
  </si>
  <si>
    <t>ýýýýýýýý ýý ýýýýýýýýýýýýýý</t>
  </si>
  <si>
    <t>Barbados</t>
  </si>
  <si>
    <t>BB</t>
  </si>
  <si>
    <t>Trailers</t>
  </si>
  <si>
    <t>Mexico</t>
  </si>
  <si>
    <t>MX</t>
  </si>
  <si>
    <t>Luis Arturo Villar Sudek</t>
  </si>
  <si>
    <t>Toys and colors</t>
  </si>
  <si>
    <t>United Arab Emirates</t>
  </si>
  <si>
    <t>AE</t>
  </si>
  <si>
    <t>LUCCAS NETO- LUCCAS TOON</t>
  </si>
  <si>
    <t>Spain</t>
  </si>
  <si>
    <t>ES</t>
  </si>
  <si>
    <t>Nonprofits &amp; Activism</t>
  </si>
  <si>
    <t>Nonprofit</t>
  </si>
  <si>
    <t>shfa</t>
  </si>
  <si>
    <t>ýýýýýýýýýý ýýýýýý</t>
  </si>
  <si>
    <t>Saudi Arabia</t>
  </si>
  <si>
    <t>SA</t>
  </si>
  <si>
    <t>21 Savage</t>
  </si>
  <si>
    <t>ýýýýýýýýýýýý one31</t>
  </si>
  <si>
    <t>MrBeastGaming</t>
  </si>
  <si>
    <t>totalgaming</t>
  </si>
  <si>
    <t>Autos</t>
  </si>
  <si>
    <t>Genevieve's Playhouse - Learning Videos for ï¿½</t>
  </si>
  <si>
    <t>T- Series Apna Punjab</t>
  </si>
  <si>
    <t>TechnoGamerz</t>
  </si>
  <si>
    <t>Indonesia</t>
  </si>
  <si>
    <t>ID</t>
  </si>
  <si>
    <t>Desi music factory</t>
  </si>
  <si>
    <t>Mzaalo</t>
  </si>
  <si>
    <t>Turkey</t>
  </si>
  <si>
    <t>TR</t>
  </si>
  <si>
    <t>wowkidz</t>
  </si>
  <si>
    <t>Science &amp; Technology</t>
  </si>
  <si>
    <t>Tech</t>
  </si>
  <si>
    <t>luisfonsi</t>
  </si>
  <si>
    <t>Venezuela</t>
  </si>
  <si>
    <t>VE</t>
  </si>
  <si>
    <t>Kuwait</t>
  </si>
  <si>
    <t>KW</t>
  </si>
  <si>
    <t>ýýýýýýýýýýýýýýý ýýýýýý ýýýýýýýýýýýýýýýýýý</t>
  </si>
  <si>
    <t>TalkingTom</t>
  </si>
  <si>
    <t>ýýýýýýýý ýýýýýýýý ýýýýýýýýýý | toyoraljanahtv</t>
  </si>
  <si>
    <t>Jordan</t>
  </si>
  <si>
    <t>JO</t>
  </si>
  <si>
    <t>frostdiamond</t>
  </si>
  <si>
    <t>Netherlands</t>
  </si>
  <si>
    <t>NL</t>
  </si>
  <si>
    <t>Popular on YouTube</t>
  </si>
  <si>
    <t>Popular on Youtube</t>
  </si>
  <si>
    <t>MaLuMa</t>
  </si>
  <si>
    <t>shorts break</t>
  </si>
  <si>
    <t>Aditya Music</t>
  </si>
  <si>
    <t>Movies</t>
  </si>
  <si>
    <t>Masha y El oso</t>
  </si>
  <si>
    <t>drake</t>
  </si>
  <si>
    <t>Sandeepmaheshwari</t>
  </si>
  <si>
    <t>Singapore</t>
  </si>
  <si>
    <t>SG</t>
  </si>
  <si>
    <t>Australia</t>
  </si>
  <si>
    <t>AU</t>
  </si>
  <si>
    <t>Leaux Pass</t>
  </si>
  <si>
    <t>ýýý Kids Roma Show</t>
  </si>
  <si>
    <t>ToyPudding TV[ï¿½ï¿½ï¿½ï¿½ï</t>
  </si>
  <si>
    <t>Italy</t>
  </si>
  <si>
    <t>IT</t>
  </si>
  <si>
    <t>mariliamendonca</t>
  </si>
  <si>
    <t>zhc</t>
  </si>
  <si>
    <t>LAS RATITAS</t>
  </si>
  <si>
    <t>Chris Brown</t>
  </si>
  <si>
    <t>ChrisBrown</t>
  </si>
  <si>
    <t>Ti Ti</t>
  </si>
  <si>
    <t>FaZeRug</t>
  </si>
  <si>
    <t>Pets &amp; Animals</t>
  </si>
  <si>
    <t>Animals</t>
  </si>
  <si>
    <t>Germany</t>
  </si>
  <si>
    <t>DE</t>
  </si>
  <si>
    <t>BabyBus - Canciones Infantiles &amp; Videos paraï¿½</t>
  </si>
  <si>
    <t>SMILE Family</t>
  </si>
  <si>
    <t>France</t>
  </si>
  <si>
    <t>FR</t>
  </si>
  <si>
    <t>disneylatinoamerica</t>
  </si>
  <si>
    <t>rotana5018</t>
  </si>
  <si>
    <t>NETFLIX INDIA</t>
  </si>
  <si>
    <t>Autos &amp; Vehicles</t>
  </si>
  <si>
    <t>tlnovelas</t>
  </si>
  <si>
    <t>Claudio</t>
  </si>
  <si>
    <t>INVICTOR</t>
  </si>
  <si>
    <t>KHAN GS RESEARCH CENTRE</t>
  </si>
  <si>
    <t>Minecraft - Topic</t>
  </si>
  <si>
    <t>RomeoSantos</t>
  </si>
  <si>
    <t>deddycorbuzier</t>
  </si>
  <si>
    <t>Sweden</t>
  </si>
  <si>
    <t>SE</t>
  </si>
  <si>
    <t>linkinpark</t>
  </si>
  <si>
    <t>Afghanistan</t>
  </si>
  <si>
    <t>AF</t>
  </si>
  <si>
    <t>Ukraine</t>
  </si>
  <si>
    <t>UA</t>
  </si>
  <si>
    <t>FamilyGamesTV</t>
  </si>
  <si>
    <t>Latvia</t>
  </si>
  <si>
    <t>LV</t>
  </si>
  <si>
    <t>Homem Aranha player</t>
  </si>
  <si>
    <t>MarvelEntertainment</t>
  </si>
  <si>
    <t>pentatonix</t>
  </si>
  <si>
    <t>TIME NEWS</t>
  </si>
  <si>
    <t>OfficialPinkPanther</t>
  </si>
  <si>
    <t>ASGaming</t>
  </si>
  <si>
    <t>Switzerland</t>
  </si>
  <si>
    <t>CH</t>
  </si>
  <si>
    <t>ýýýýýýýýýýýýýý ýýýý</t>
  </si>
  <si>
    <t>TG MAYANK YT</t>
  </si>
  <si>
    <t>ýýýýýýýýýýýýýýýýýýýýýý</t>
  </si>
  <si>
    <t>cKn</t>
  </si>
  <si>
    <t>ali-a</t>
  </si>
  <si>
    <t>ýýýýýýýý ýýýýýýýýýý ýýýýýýýýýý | Arab Games Network</t>
  </si>
  <si>
    <t>ýýýýýýýý ýýýýýýýýýý ýýýýýýýýýý | Arab Games ýýý</t>
  </si>
  <si>
    <t>Alejandro Basalo</t>
  </si>
  <si>
    <t>Good Mythical Morning</t>
  </si>
  <si>
    <t>Goodmythicalmorning</t>
  </si>
  <si>
    <t>ANDtv</t>
  </si>
  <si>
    <t>Vietnam</t>
  </si>
  <si>
    <t>VN</t>
  </si>
  <si>
    <t>zuni and family</t>
  </si>
  <si>
    <t>MSA Previously My Story Animated</t>
  </si>
  <si>
    <t>ýýýýýýýýý KIMPRO</t>
  </si>
  <si>
    <t>24 ï¿½ï¿½ï¿½ï</t>
  </si>
  <si>
    <t>Malaysia</t>
  </si>
  <si>
    <t>MY</t>
  </si>
  <si>
    <t>ýýýýýýýýý Liziqi</t>
  </si>
  <si>
    <t>China</t>
  </si>
  <si>
    <t>CN</t>
  </si>
  <si>
    <t>The Game Theorists</t>
  </si>
  <si>
    <t>TheGameTheorists</t>
  </si>
  <si>
    <t>ýýýýýýýýýýýýýýýý - Al-Remas</t>
  </si>
  <si>
    <t>Iraq</t>
  </si>
  <si>
    <t>IQ</t>
  </si>
  <si>
    <t>Jason Oo</t>
  </si>
  <si>
    <t>gabyandalex</t>
  </si>
  <si>
    <t>de toxomoroxo</t>
  </si>
  <si>
    <t>salman Noman</t>
  </si>
  <si>
    <t>werever2morro</t>
  </si>
  <si>
    <t>Ideas En 5 Minutos</t>
  </si>
  <si>
    <t>ýýýýýýýý ýýýýýýýýýýýýýýýýýýýýýý</t>
  </si>
  <si>
    <t>MattStonie</t>
  </si>
  <si>
    <t>XO TEAM Family</t>
  </si>
  <si>
    <t>Aday Cï¿½ï¿½ï¿½ï¿½ï</t>
  </si>
  <si>
    <t>Extra polinesios</t>
  </si>
  <si>
    <t>Live</t>
  </si>
  <si>
    <t>Fitdance Academy</t>
  </si>
  <si>
    <t>larosadeguadalupe</t>
  </si>
  <si>
    <t>wifistudy by Unacademy</t>
  </si>
  <si>
    <t>enesbatur</t>
  </si>
  <si>
    <t>ýýýýýýýýýý</t>
  </si>
  <si>
    <t>Kung Fu Padla</t>
  </si>
  <si>
    <t>My Family</t>
  </si>
  <si>
    <t>ýýýýýýýý ýý ýýýýýýýý</t>
  </si>
  <si>
    <t>MrDegree</t>
  </si>
  <si>
    <t>ýýýýýýýý ýýýýýýýýýýýýýý ýýýý 5 ýýýýýýýýýý</t>
  </si>
  <si>
    <t>Egypt</t>
  </si>
  <si>
    <t>EG</t>
  </si>
  <si>
    <t>Kerajinan 5-Menit</t>
  </si>
  <si>
    <t>Jordi Sala</t>
  </si>
  <si>
    <t>Andorra</t>
  </si>
  <si>
    <t>AD</t>
  </si>
  <si>
    <t>Hongyu ASMR ï¿½ï¿½ï</t>
  </si>
  <si>
    <t>Little Angel - Mï¿½ï¿½ï¿½ï¿½ï¿½ï¿½ï¿½ï¿½ï¿½ï¿½ï¿½</t>
  </si>
  <si>
    <t>Therichest</t>
  </si>
  <si>
    <t>Gyani Beast</t>
  </si>
  <si>
    <t>Big School</t>
  </si>
  <si>
    <t>ýýýýýýýýýýýý8 : Thai Ch8</t>
  </si>
  <si>
    <t>ýýýýýý</t>
  </si>
  <si>
    <t>Bayashi TV</t>
  </si>
  <si>
    <t>ýýýýýýýýýýýýýýýýýýBAYASHITV</t>
  </si>
  <si>
    <t>ýýýýýýýý ýýýýýýýý</t>
  </si>
  <si>
    <t>MajorLazerOfficial</t>
  </si>
  <si>
    <t>ýýýýýýýýýý ýýýýýýýýýýýý</t>
  </si>
  <si>
    <t>Canal Nostalgia TV</t>
  </si>
  <si>
    <t>Ecuador</t>
  </si>
  <si>
    <t>EC</t>
  </si>
  <si>
    <t>LEGENDA FUNK</t>
  </si>
  <si>
    <t>LegendaFUNK</t>
  </si>
  <si>
    <t>Boram Tube ToysReview [ï¿½ï¿½ï¿½ï¿½ï¿½ï¿½ï¿½ï¿½ï</t>
  </si>
  <si>
    <t>Morocco</t>
  </si>
  <si>
    <t>MA</t>
  </si>
  <si>
    <t>ýýýýýýýýýýýýýýýýýýýýý</t>
  </si>
  <si>
    <t>Peru</t>
  </si>
  <si>
    <t>PE</t>
  </si>
  <si>
    <t>nobru</t>
  </si>
  <si>
    <t>ýýýýýýýýýýýý ýýýýýýýýýýýý I ýýýýýý ýý ýýýýýýýýýý</t>
  </si>
  <si>
    <t>ýýýýýýýýýýýý ýýýýýýýýýýýý I ýýýýýý ýý ýýýýýýýýý</t>
  </si>
  <si>
    <t>Rohail Hyatt</t>
  </si>
  <si>
    <t>Harry Styles</t>
  </si>
  <si>
    <t>harrystyles</t>
  </si>
  <si>
    <t>RebeccaZamolo</t>
  </si>
  <si>
    <t>SiS</t>
  </si>
  <si>
    <t>CrazyFrog</t>
  </si>
  <si>
    <t>Dorukhan Gï¿½ï¿½ï</t>
  </si>
  <si>
    <t>ýýýýýýýýýýýýýýýýýýýý ýýýýýýýýýýýýýýýýýýýý</t>
  </si>
  <si>
    <t>TrapCity</t>
  </si>
  <si>
    <t>F2Freestylers - Ultimate Soccer Skills Channï¿½</t>
  </si>
  <si>
    <t>ýýýýýýýýýýýý</t>
  </si>
  <si>
    <t>zeetelugu</t>
  </si>
  <si>
    <t>jamuna tv24</t>
  </si>
  <si>
    <t>Bangladesh</t>
  </si>
  <si>
    <t>BD</t>
  </si>
  <si>
    <t>ýýýýýýýý ýý ýýýýýýýýýýýý</t>
  </si>
  <si>
    <t>ýýýýýýýý/Atro</t>
  </si>
  <si>
    <t>MyMissAnand</t>
  </si>
  <si>
    <t>Desi gamers</t>
  </si>
  <si>
    <t>Julia Gisella</t>
  </si>
  <si>
    <t>Tom Duggan</t>
  </si>
  <si>
    <t>straykids</t>
  </si>
  <si>
    <t>ýýýýýýýýýýýýýýýýýý</t>
  </si>
  <si>
    <t>Finland</t>
  </si>
  <si>
    <t>FI</t>
  </si>
  <si>
    <t>Einerd</t>
  </si>
  <si>
    <t>ýýýýýýTwinsFromRussia</t>
  </si>
  <si>
    <t>Peppa Pig em Portuguï¿½ï¿½ï¿½ï¿½ï¿½ï¿½ï¿½ï¿½ï¿½</t>
  </si>
  <si>
    <t>ýýýýýýýýýýýýýýý Ms Yeah</t>
  </si>
  <si>
    <t>DjKhaled</t>
  </si>
  <si>
    <t>Samoa</t>
  </si>
  <si>
    <t>WS</t>
  </si>
  <si>
    <t>SRK Edie soon</t>
  </si>
  <si>
    <t>ýýýýýýýý ýýýý ýýýýýýýýýýýýýý</t>
  </si>
  <si>
    <t>Melon City Show - ï¿½ï¿½ï¿½ï¿½ï¿½ï¿½ï¿½ï¿½ï¿½ï¿</t>
  </si>
  <si>
    <t>JassRecords</t>
  </si>
  <si>
    <t>Future AMV's</t>
  </si>
  <si>
    <t>ýýýýýýýýýSULGI</t>
  </si>
  <si>
    <t>jamill</t>
  </si>
  <si>
    <t>Travel &amp; Events</t>
  </si>
  <si>
    <t>TROOM TROOM INDONESIA</t>
  </si>
  <si>
    <t>Mr_Mughall Gaming</t>
  </si>
  <si>
    <t>WatchLOUD</t>
  </si>
  <si>
    <t>GustavoParodias</t>
  </si>
  <si>
    <t>MoniLinaFamily</t>
  </si>
  <si>
    <t>TKoR</t>
  </si>
  <si>
    <t>annakova</t>
  </si>
  <si>
    <t>HybridPanda</t>
  </si>
  <si>
    <t>N/A</t>
  </si>
  <si>
    <t>Index No</t>
  </si>
  <si>
    <t>Channels</t>
  </si>
  <si>
    <t>Subscribers</t>
  </si>
  <si>
    <t>Video views</t>
  </si>
  <si>
    <t>Category</t>
  </si>
  <si>
    <t>Uploads</t>
  </si>
  <si>
    <t>Continents</t>
  </si>
  <si>
    <t>Asia</t>
  </si>
  <si>
    <t>North America</t>
  </si>
  <si>
    <t>Europe</t>
  </si>
  <si>
    <t>South America</t>
  </si>
  <si>
    <t>africa</t>
  </si>
  <si>
    <t>Africa</t>
  </si>
  <si>
    <t xml:space="preserve">North America 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</si>
  <si>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</si>
  <si>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</si>
  <si>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</si>
  <si>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</si>
  <si>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</si>
  <si>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</si>
  <si>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</si>
  <si>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</si>
  <si>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</si>
  <si>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</si>
  <si>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</si>
  <si>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</si>
  <si>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</si>
  <si>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</si>
  <si>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</si>
  <si>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Subscribers Bin</t>
  </si>
  <si>
    <t xml:space="preserve">Lower Bin </t>
  </si>
  <si>
    <t>Upper Bin</t>
  </si>
  <si>
    <t>12,300,000 - 62,572,000</t>
  </si>
  <si>
    <t>62,572,001 - 112,844,000</t>
  </si>
  <si>
    <t>112,844,001 - 27,300,000</t>
  </si>
  <si>
    <t>163,116,001 - 32,300,000</t>
  </si>
  <si>
    <t>213,388,001 - 245,000,000</t>
  </si>
  <si>
    <t>Uploads Bin</t>
  </si>
  <si>
    <t>0-60261</t>
  </si>
  <si>
    <t>60262-120523</t>
  </si>
  <si>
    <t>120524-180785</t>
  </si>
  <si>
    <t>180786-241046</t>
  </si>
  <si>
    <t>241046-301308</t>
  </si>
  <si>
    <t>More</t>
  </si>
  <si>
    <t>Frequency</t>
  </si>
  <si>
    <t>Cumulative %</t>
  </si>
  <si>
    <t xml:space="preserve">Quartile 1 </t>
  </si>
  <si>
    <t>Quartile 3</t>
  </si>
  <si>
    <t xml:space="preserve">Interquartile range </t>
  </si>
  <si>
    <t>Upper Bound</t>
  </si>
  <si>
    <t>Lower Bound</t>
  </si>
  <si>
    <t>Dummy Variable</t>
  </si>
  <si>
    <t>Grand Total</t>
  </si>
  <si>
    <t>Count of Category</t>
  </si>
  <si>
    <t>Column Labels</t>
  </si>
  <si>
    <t>How to &amp; Style</t>
  </si>
  <si>
    <t>Chi Square Test</t>
  </si>
  <si>
    <t>Content Type (Row Labels)</t>
  </si>
  <si>
    <t>Region(Row Labels)</t>
  </si>
  <si>
    <t>Column Labels (Content Type)</t>
  </si>
  <si>
    <t xml:space="preserve">H0: There is no significant association between the region (Continents) and Type of content </t>
  </si>
  <si>
    <t>P Value</t>
  </si>
  <si>
    <t>P Value &lt; 0.05</t>
  </si>
  <si>
    <t>Reject H0</t>
  </si>
  <si>
    <t>P Value &gt; 0.05</t>
  </si>
  <si>
    <t>Accept H0</t>
  </si>
  <si>
    <t>ACTUAL RANGE</t>
  </si>
  <si>
    <t>EXPECTED FREQUENCIES</t>
  </si>
  <si>
    <t>0 &lt; 0.05</t>
  </si>
  <si>
    <t>Hence H0 Rejected</t>
  </si>
  <si>
    <t>a</t>
  </si>
  <si>
    <t xml:space="preserve">Odds </t>
  </si>
  <si>
    <t>Odds Ratio</t>
  </si>
  <si>
    <t>Upper 95% Cl</t>
  </si>
  <si>
    <t>Lower 95% Cl</t>
  </si>
  <si>
    <t>Risk</t>
  </si>
  <si>
    <t>Relative Risk</t>
  </si>
  <si>
    <t>Ln(RR)</t>
  </si>
  <si>
    <t>Ln(OR)</t>
  </si>
  <si>
    <t>SE(ln(RR))</t>
  </si>
  <si>
    <t>Upper 95% Cl for Relative Risk</t>
  </si>
  <si>
    <t>Lower 95% Cl for Relative Risk</t>
  </si>
  <si>
    <t>Dummy Type</t>
  </si>
  <si>
    <t>Subscriptions</t>
  </si>
  <si>
    <t>Type(Region)</t>
  </si>
  <si>
    <t>t-Test: One-Sample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</si>
  <si>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</si>
  <si>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</si>
  <si>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</si>
  <si>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</si>
  <si>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</si>
  <si>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</si>
  <si>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</si>
  <si>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</si>
  <si>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</si>
  <si>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Standard deviation</t>
  </si>
  <si>
    <t>Standard error of mean (SEM)</t>
  </si>
  <si>
    <t>Degrees of Freedom (df)</t>
  </si>
  <si>
    <t>Hypothesised Mean</t>
  </si>
  <si>
    <t>t-Test: Two-Sample Assuming Unequal Variances</t>
  </si>
  <si>
    <t>Anova: Single Factor</t>
  </si>
  <si>
    <t>SUMMARY</t>
  </si>
  <si>
    <t>Groups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</si>
  <si>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</si>
  <si>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</si>
  <si>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</si>
  <si>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</si>
  <si>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</si>
  <si>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</si>
  <si>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</si>
  <si>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</si>
  <si>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</si>
  <si>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</si>
  <si>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</si>
  <si>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ASIA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</si>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</sst>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9"/>
      </patternFill>
    </fill>
    <fill>
      <patternFill patternType="solid">
        <fgColor theme="1"/>
        <bgColor theme="9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11" fontId="0" fillId="0" borderId="0" xfId="0" applyNumberFormat="1"/>
    <xf numFmtId="14" fontId="0" fillId="0" borderId="0" xfId="0" applyNumberFormat="1"/>
    <xf numFmtId="0" fontId="16" fillId="0" borderId="0" xfId="0" applyFont="1"/>
    <xf numFmtId="0" fontId="0" fillId="0" borderId="10" xfId="0" applyBorder="1"/>
    <xf numFmtId="0" fontId="17" fillId="36" borderId="11" xfId="0" applyFont="1" applyFill="1" applyBorder="1"/>
    <xf numFmtId="0" fontId="17" fillId="37" borderId="11" xfId="0" applyFont="1" applyFill="1" applyBorder="1"/>
    <xf numFmtId="0" fontId="17" fillId="37" borderId="12" xfId="0" applyFont="1" applyFill="1" applyBorder="1"/>
    <xf numFmtId="0" fontId="18" fillId="33" borderId="13" xfId="0" applyFont="1" applyFill="1" applyBorder="1"/>
    <xf numFmtId="0" fontId="18" fillId="0" borderId="10" xfId="0" applyFont="1" applyBorder="1"/>
    <xf numFmtId="0" fontId="18" fillId="0" borderId="14" xfId="0" applyFont="1" applyBorder="1"/>
    <xf numFmtId="0" fontId="18" fillId="0" borderId="13" xfId="0" applyFont="1" applyBorder="1"/>
    <xf numFmtId="0" fontId="0" fillId="0" borderId="13" xfId="0" applyBorder="1"/>
    <xf numFmtId="0" fontId="0" fillId="0" borderId="14" xfId="0" applyBorder="1"/>
    <xf numFmtId="0" fontId="0" fillId="33" borderId="13" xfId="0" applyFill="1" applyBorder="1"/>
    <xf numFmtId="0" fontId="0" fillId="33" borderId="15" xfId="0" applyFill="1" applyBorder="1"/>
    <xf numFmtId="0" fontId="0" fillId="0" borderId="16" xfId="0" applyBorder="1"/>
    <xf numFmtId="0" fontId="0" fillId="0" borderId="17" xfId="0" applyBorder="1"/>
    <xf numFmtId="0" fontId="0" fillId="33" borderId="10" xfId="0" applyFill="1" applyBorder="1"/>
    <xf numFmtId="0" fontId="0" fillId="0" borderId="18" xfId="0" applyBorder="1"/>
    <xf numFmtId="0" fontId="19" fillId="0" borderId="20" xfId="0" applyFont="1" applyBorder="1" applyAlignment="1">
      <alignment horizontal="center"/>
    </xf>
    <xf numFmtId="0" fontId="19" fillId="0" borderId="20" xfId="0" applyFont="1" applyBorder="1" applyAlignment="1">
      <alignment horizontal="centerContinuous"/>
    </xf>
    <xf numFmtId="0" fontId="16" fillId="0" borderId="10" xfId="0" applyFont="1" applyBorder="1"/>
    <xf numFmtId="3" fontId="0" fillId="0" borderId="10" xfId="0" applyNumberFormat="1" applyBorder="1"/>
    <xf numFmtId="0" fontId="16" fillId="38" borderId="10" xfId="0" applyFont="1" applyFill="1" applyBorder="1"/>
    <xf numFmtId="10" fontId="0" fillId="0" borderId="0" xfId="0" applyNumberFormat="1"/>
    <xf numFmtId="10" fontId="0" fillId="0" borderId="18" xfId="0" applyNumberFormat="1" applyBorder="1"/>
    <xf numFmtId="0" fontId="13" fillId="35" borderId="21" xfId="0" applyFont="1" applyFill="1" applyBorder="1"/>
    <xf numFmtId="0" fontId="16" fillId="39" borderId="0" xfId="0" applyFont="1" applyFill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1" fillId="28" borderId="10" xfId="37" applyBorder="1"/>
    <xf numFmtId="0" fontId="13" fillId="34" borderId="14" xfId="0" applyFont="1" applyFill="1" applyBorder="1" applyAlignment="1">
      <alignment horizontal="center"/>
    </xf>
    <xf numFmtId="0" fontId="13" fillId="34" borderId="19" xfId="0" applyFont="1" applyFill="1" applyBorder="1" applyAlignment="1">
      <alignment horizontal="center"/>
    </xf>
    <xf numFmtId="0" fontId="13" fillId="34" borderId="13" xfId="0" applyFont="1" applyFill="1" applyBorder="1" applyAlignment="1">
      <alignment horizontal="center"/>
    </xf>
    <xf numFmtId="0" fontId="20" fillId="37" borderId="22" xfId="0" applyFont="1" applyFill="1" applyBorder="1" applyAlignment="1">
      <alignment horizontal="center"/>
    </xf>
    <xf numFmtId="0" fontId="20" fillId="37" borderId="10" xfId="0" applyFont="1" applyFill="1" applyBorder="1" applyAlignment="1">
      <alignment horizontal="center"/>
    </xf>
    <xf numFmtId="0" fontId="16" fillId="28" borderId="10" xfId="37" applyFont="1" applyBorder="1"/>
    <xf numFmtId="0" fontId="16" fillId="38" borderId="10" xfId="37" applyFont="1" applyFill="1" applyBorder="1"/>
    <xf numFmtId="0" fontId="16" fillId="38" borderId="0" xfId="0" applyFont="1" applyFill="1"/>
    <xf numFmtId="0" fontId="0" fillId="0" borderId="0" xfId="0" applyNumberFormat="1"/>
    <xf numFmtId="0" fontId="13" fillId="34" borderId="10" xfId="0" applyFont="1" applyFill="1" applyBorder="1"/>
    <xf numFmtId="0" fontId="0" fillId="40" borderId="10" xfId="0" applyFill="1" applyBorder="1"/>
    <xf numFmtId="0" fontId="0" fillId="41" borderId="10" xfId="0" applyFill="1" applyBorder="1"/>
    <xf numFmtId="0" fontId="0" fillId="0" borderId="0" xfId="0" applyFill="1" applyBorder="1" applyAlignment="1"/>
    <xf numFmtId="0" fontId="0" fillId="0" borderId="18" xfId="0" applyFill="1" applyBorder="1" applyAlignment="1"/>
    <xf numFmtId="0" fontId="19" fillId="0" borderId="2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9" tint="0.79998168889431442"/>
          <bgColor theme="9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'Frequency Distribution'!$L$6:$L$11</c:f>
              <c:strCache>
                <c:ptCount val="6"/>
                <c:pt idx="0">
                  <c:v>62572000</c:v>
                </c:pt>
                <c:pt idx="1">
                  <c:v>112844000</c:v>
                </c:pt>
                <c:pt idx="2">
                  <c:v>163116000</c:v>
                </c:pt>
                <c:pt idx="3">
                  <c:v>213388000</c:v>
                </c:pt>
                <c:pt idx="4">
                  <c:v>245000000</c:v>
                </c:pt>
                <c:pt idx="5">
                  <c:v>More</c:v>
                </c:pt>
              </c:strCache>
            </c:strRef>
          </c:cat>
          <c:val>
            <c:numRef>
              <c:f>'Frequency Distribution'!$M$6:$M$11</c:f>
              <c:numCache>
                <c:formatCode>General</c:formatCode>
                <c:ptCount val="6"/>
                <c:pt idx="0">
                  <c:v>930</c:v>
                </c:pt>
                <c:pt idx="1">
                  <c:v>21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F-4B2D-B218-3FAE3633C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245752"/>
        <c:axId val="622244672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'Frequency Distribution'!$L$6:$L$11</c:f>
              <c:strCache>
                <c:ptCount val="6"/>
                <c:pt idx="0">
                  <c:v>62572000</c:v>
                </c:pt>
                <c:pt idx="1">
                  <c:v>112844000</c:v>
                </c:pt>
                <c:pt idx="2">
                  <c:v>163116000</c:v>
                </c:pt>
                <c:pt idx="3">
                  <c:v>213388000</c:v>
                </c:pt>
                <c:pt idx="4">
                  <c:v>245000000</c:v>
                </c:pt>
                <c:pt idx="5">
                  <c:v>More</c:v>
                </c:pt>
              </c:strCache>
            </c:strRef>
          </c:cat>
          <c:val>
            <c:numRef>
              <c:f>'Frequency Distribution'!$N$6:$N$11</c:f>
              <c:numCache>
                <c:formatCode>0.00%</c:formatCode>
                <c:ptCount val="6"/>
                <c:pt idx="0">
                  <c:v>0.97178683385579934</c:v>
                </c:pt>
                <c:pt idx="1">
                  <c:v>0.99373040752351094</c:v>
                </c:pt>
                <c:pt idx="2">
                  <c:v>0.99686520376175547</c:v>
                </c:pt>
                <c:pt idx="3">
                  <c:v>0.99895506792058519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0F-4B2D-B218-3FAE3633C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725912"/>
        <c:axId val="583725552"/>
      </c:lineChart>
      <c:catAx>
        <c:axId val="622245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Upper Bin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244672"/>
        <c:crosses val="autoZero"/>
        <c:auto val="1"/>
        <c:lblAlgn val="ctr"/>
        <c:lblOffset val="100"/>
        <c:noMultiLvlLbl val="0"/>
      </c:catAx>
      <c:valAx>
        <c:axId val="6222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245752"/>
        <c:crosses val="autoZero"/>
        <c:crossBetween val="between"/>
      </c:valAx>
      <c:valAx>
        <c:axId val="58372555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725912"/>
        <c:crosses val="max"/>
        <c:crossBetween val="between"/>
      </c:valAx>
      <c:catAx>
        <c:axId val="583725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3725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'Frequency Distribution'!$L$17:$L$22</c:f>
              <c:strCache>
                <c:ptCount val="6"/>
                <c:pt idx="0">
                  <c:v>60261</c:v>
                </c:pt>
                <c:pt idx="1">
                  <c:v>120523.2</c:v>
                </c:pt>
                <c:pt idx="2">
                  <c:v>180784.8</c:v>
                </c:pt>
                <c:pt idx="3">
                  <c:v>301308</c:v>
                </c:pt>
                <c:pt idx="4">
                  <c:v>241046.4</c:v>
                </c:pt>
                <c:pt idx="5">
                  <c:v>More</c:v>
                </c:pt>
              </c:strCache>
            </c:strRef>
          </c:cat>
          <c:val>
            <c:numRef>
              <c:f>'Frequency Distribution'!$M$17:$M$22</c:f>
              <c:numCache>
                <c:formatCode>General</c:formatCode>
                <c:ptCount val="6"/>
                <c:pt idx="0">
                  <c:v>912</c:v>
                </c:pt>
                <c:pt idx="1">
                  <c:v>23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CF-4184-92C9-DE9C3A35C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7855872"/>
        <c:axId val="627856592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'Frequency Distribution'!$L$17:$L$22</c:f>
              <c:strCache>
                <c:ptCount val="6"/>
                <c:pt idx="0">
                  <c:v>60261</c:v>
                </c:pt>
                <c:pt idx="1">
                  <c:v>120523.2</c:v>
                </c:pt>
                <c:pt idx="2">
                  <c:v>180784.8</c:v>
                </c:pt>
                <c:pt idx="3">
                  <c:v>301308</c:v>
                </c:pt>
                <c:pt idx="4">
                  <c:v>241046.4</c:v>
                </c:pt>
                <c:pt idx="5">
                  <c:v>More</c:v>
                </c:pt>
              </c:strCache>
            </c:strRef>
          </c:cat>
          <c:val>
            <c:numRef>
              <c:f>'Frequency Distribution'!$N$17:$N$22</c:f>
              <c:numCache>
                <c:formatCode>0.00%</c:formatCode>
                <c:ptCount val="6"/>
                <c:pt idx="0">
                  <c:v>0.95297805642633227</c:v>
                </c:pt>
                <c:pt idx="1">
                  <c:v>0.97701149425287359</c:v>
                </c:pt>
                <c:pt idx="2">
                  <c:v>0.98641588296760707</c:v>
                </c:pt>
                <c:pt idx="3">
                  <c:v>0.99373040752351094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CF-4184-92C9-DE9C3A35C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206176"/>
        <c:axId val="582204736"/>
      </c:lineChart>
      <c:catAx>
        <c:axId val="627855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Upper Bin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56592"/>
        <c:crosses val="autoZero"/>
        <c:auto val="1"/>
        <c:lblAlgn val="ctr"/>
        <c:lblOffset val="100"/>
        <c:noMultiLvlLbl val="0"/>
      </c:catAx>
      <c:valAx>
        <c:axId val="62785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55872"/>
        <c:crosses val="autoZero"/>
        <c:crossBetween val="between"/>
      </c:valAx>
      <c:valAx>
        <c:axId val="58220473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206176"/>
        <c:crosses val="max"/>
        <c:crossBetween val="between"/>
      </c:valAx>
      <c:catAx>
        <c:axId val="582206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22047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Odds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'OR &amp; RR'!$A$7:$A$10</c:f>
              <c:strCache>
                <c:ptCount val="4"/>
                <c:pt idx="0">
                  <c:v>Odds Ratio</c:v>
                </c:pt>
                <c:pt idx="1">
                  <c:v>Ln(OR)</c:v>
                </c:pt>
                <c:pt idx="2">
                  <c:v>Upper 95% Cl</c:v>
                </c:pt>
                <c:pt idx="3">
                  <c:v>Lower 95% Cl</c:v>
                </c:pt>
              </c:strCache>
            </c:strRef>
          </c:cat>
          <c:val>
            <c:numRef>
              <c:f>'OR &amp; RR'!$B$7:$B$10</c:f>
              <c:numCache>
                <c:formatCode>General</c:formatCode>
                <c:ptCount val="4"/>
                <c:pt idx="0">
                  <c:v>0.4786324786324786</c:v>
                </c:pt>
                <c:pt idx="1">
                  <c:v>-0.73682224406260699</c:v>
                </c:pt>
                <c:pt idx="2">
                  <c:v>1.2577432968712952</c:v>
                </c:pt>
                <c:pt idx="3">
                  <c:v>0.18214293025591272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F-49C1-A3C0-30E0473DF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028848"/>
        <c:axId val="530029208"/>
      </c:radarChart>
      <c:catAx>
        <c:axId val="53002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029208"/>
        <c:crosses val="autoZero"/>
        <c:auto val="1"/>
        <c:lblAlgn val="ctr"/>
        <c:lblOffset val="100"/>
        <c:noMultiLvlLbl val="0"/>
      </c:catAx>
      <c:valAx>
        <c:axId val="53002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02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'OR &amp; RR'!$A$12:$A$17</c:f>
              <c:strCache>
                <c:ptCount val="6"/>
                <c:pt idx="0">
                  <c:v>Relative Risk</c:v>
                </c:pt>
                <c:pt idx="1">
                  <c:v>Ln(RR)</c:v>
                </c:pt>
                <c:pt idx="3">
                  <c:v>SE(ln(RR))</c:v>
                </c:pt>
                <c:pt idx="4">
                  <c:v>Upper 95% Cl for Relative Risk</c:v>
                </c:pt>
                <c:pt idx="5">
                  <c:v>Lower 95% Cl for Relative Risk</c:v>
                </c:pt>
              </c:strCache>
            </c:strRef>
          </c:cat>
          <c:val>
            <c:numRef>
              <c:f>'OR &amp; RR'!$B$12:$B$17</c:f>
              <c:numCache>
                <c:formatCode>General</c:formatCode>
                <c:ptCount val="6"/>
                <c:pt idx="0">
                  <c:v>0.77655677655677657</c:v>
                </c:pt>
                <c:pt idx="1">
                  <c:v>-0.25288552051294727</c:v>
                </c:pt>
                <c:pt idx="3">
                  <c:v>0.1977393139227695</c:v>
                </c:pt>
                <c:pt idx="4">
                  <c:v>1.1441746355678837</c:v>
                </c:pt>
                <c:pt idx="5">
                  <c:v>0.10618395274230992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E-48E7-9C9B-45E50F66E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978288"/>
        <c:axId val="595973608"/>
      </c:radarChart>
      <c:catAx>
        <c:axId val="59597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73608"/>
        <c:crosses val="autoZero"/>
        <c:auto val="1"/>
        <c:lblAlgn val="ctr"/>
        <c:lblOffset val="100"/>
        <c:noMultiLvlLbl val="0"/>
      </c:catAx>
      <c:valAx>
        <c:axId val="595973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7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test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'T-test'!$G$16:$G$17</c:f>
              <c:strCache>
                <c:ptCount val="2"/>
                <c:pt idx="0">
                  <c:v>t-Test: Two-Sample Assuming Unequal Variances</c:v>
                </c:pt>
                <c:pt idx="1">
                  <c:v>Uploads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'T-test'!$F$18:$F$28</c:f>
              <c:strCache>
                <c:ptCount val="11"/>
                <c:pt idx="1">
                  <c:v>Mean</c:v>
                </c:pt>
                <c:pt idx="2">
                  <c:v>Variance</c:v>
                </c:pt>
                <c:pt idx="3">
                  <c:v>Observations</c:v>
                </c:pt>
                <c:pt idx="4">
                  <c:v>Hypothesized Mean Difference</c:v>
                </c:pt>
                <c:pt idx="5">
                  <c:v>df</c:v>
                </c:pt>
                <c:pt idx="6">
                  <c:v>t Stat</c:v>
                </c:pt>
                <c:pt idx="7">
                  <c:v>P(T&lt;=t) one-tail</c:v>
                </c:pt>
                <c:pt idx="8">
                  <c:v>t Critical one-tail</c:v>
                </c:pt>
                <c:pt idx="9">
                  <c:v>P(T&lt;=t) two-tail</c:v>
                </c:pt>
                <c:pt idx="10">
                  <c:v>t Critical two-tail</c:v>
                </c:pt>
              </c:strCache>
            </c:strRef>
          </c:cat>
          <c:val>
            <c:numRef>
              <c:f>'T-test'!$G$18:$G$28</c:f>
              <c:numCache>
                <c:formatCode>General</c:formatCode>
                <c:ptCount val="11"/>
                <c:pt idx="0">
                  <c:v>0</c:v>
                </c:pt>
                <c:pt idx="1">
                  <c:v>19268.907651715039</c:v>
                </c:pt>
                <c:pt idx="2">
                  <c:v>2576551160.5919785</c:v>
                </c:pt>
                <c:pt idx="3">
                  <c:v>379</c:v>
                </c:pt>
                <c:pt idx="4">
                  <c:v>0</c:v>
                </c:pt>
                <c:pt idx="5">
                  <c:v>378</c:v>
                </c:pt>
                <c:pt idx="6">
                  <c:v>-23.023350869222131</c:v>
                </c:pt>
                <c:pt idx="7">
                  <c:v>3.0827024884345436E-74</c:v>
                </c:pt>
                <c:pt idx="8">
                  <c:v>1.6488947200363526</c:v>
                </c:pt>
                <c:pt idx="9">
                  <c:v>6.1654049768690873E-74</c:v>
                </c:pt>
                <c:pt idx="10">
                  <c:v>1.9662596355318549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5-4641-AB2B-5B55F2380C52}"/>
            </c:ext>
          </c:extLst>
        </c:ser>
        <c:ser>
          <c:idx val="1"/>
          <c:order val="1"/>
          <c:tx>
            <c:strRef>
              <c:f>'T-test'!$H$16:$H$17</c:f>
              <c:strCache>
                <c:ptCount val="2"/>
                <c:pt idx="0">
                  <c:v>t-Test: Two-Sample Assuming Unequal Variances</c:v>
                </c:pt>
                <c:pt idx="1">
                  <c:v>Subscriptions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'T-test'!$F$18:$F$28</c:f>
              <c:strCache>
                <c:ptCount val="11"/>
                <c:pt idx="1">
                  <c:v>Mean</c:v>
                </c:pt>
                <c:pt idx="2">
                  <c:v>Variance</c:v>
                </c:pt>
                <c:pt idx="3">
                  <c:v>Observations</c:v>
                </c:pt>
                <c:pt idx="4">
                  <c:v>Hypothesized Mean Difference</c:v>
                </c:pt>
                <c:pt idx="5">
                  <c:v>df</c:v>
                </c:pt>
                <c:pt idx="6">
                  <c:v>t Stat</c:v>
                </c:pt>
                <c:pt idx="7">
                  <c:v>P(T&lt;=t) one-tail</c:v>
                </c:pt>
                <c:pt idx="8">
                  <c:v>t Critical one-tail</c:v>
                </c:pt>
                <c:pt idx="9">
                  <c:v>P(T&lt;=t) two-tail</c:v>
                </c:pt>
                <c:pt idx="10">
                  <c:v>t Critical two-tail</c:v>
                </c:pt>
              </c:strCache>
            </c:strRef>
          </c:cat>
          <c:val>
            <c:numRef>
              <c:f>'T-test'!$H$18:$H$28</c:f>
              <c:numCache>
                <c:formatCode>General</c:formatCode>
                <c:ptCount val="11"/>
                <c:pt idx="0">
                  <c:v>26100000</c:v>
                </c:pt>
                <c:pt idx="1">
                  <c:v>23268337.730870713</c:v>
                </c:pt>
                <c:pt idx="2">
                  <c:v>386465185324789.56</c:v>
                </c:pt>
                <c:pt idx="3">
                  <c:v>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65-4641-AB2B-5B55F2380C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360728600"/>
        <c:axId val="360726440"/>
      </c:barChart>
      <c:catAx>
        <c:axId val="360728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26440"/>
        <c:crosses val="autoZero"/>
        <c:auto val="1"/>
        <c:lblAlgn val="ctr"/>
        <c:lblOffset val="100"/>
        <c:noMultiLvlLbl val="0"/>
      </c:catAx>
      <c:valAx>
        <c:axId val="36072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2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Anova!$I$12:$I$13</c:f>
              <c:strCache>
                <c:ptCount val="2"/>
                <c:pt idx="0">
                  <c:v>ANOVA</c:v>
                </c:pt>
                <c:pt idx="1">
                  <c:v>SS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Anova!$H$14:$H$20</c15:sqref>
                  </c15:fullRef>
                </c:ext>
              </c:extLst>
              <c:f>(Anova!$H$14:$H$15,Anova!$H$17)</c:f>
              <c:strCache>
                <c:ptCount val="3"/>
                <c:pt idx="0">
                  <c:v>Between Groups</c:v>
                </c:pt>
                <c:pt idx="1">
                  <c:v>Within Groups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Anova!$I$14:$I$20</c15:sqref>
                  </c15:fullRef>
                </c:ext>
              </c:extLst>
              <c:f>(Anova!$I$14:$I$15,Anova!$I$17)</c:f>
              <c:numCache>
                <c:formatCode>General</c:formatCode>
                <c:ptCount val="3"/>
                <c:pt idx="0">
                  <c:v>1.0242838861731341E+17</c:v>
                </c:pt>
                <c:pt idx="1">
                  <c:v>1.4608481398910915E+17</c:v>
                </c:pt>
                <c:pt idx="2">
                  <c:v>2.4851320260642256E+17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A-4B39-A658-FC54F09F0222}"/>
            </c:ext>
          </c:extLst>
        </c:ser>
        <c:ser>
          <c:idx val="1"/>
          <c:order val="1"/>
          <c:tx>
            <c:strRef>
              <c:f>Anova!$J$12:$J$13</c:f>
              <c:strCache>
                <c:ptCount val="2"/>
                <c:pt idx="0">
                  <c:v>ANOVA</c:v>
                </c:pt>
                <c:pt idx="1">
                  <c:v>df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Anova!$H$14:$H$20</c15:sqref>
                  </c15:fullRef>
                </c:ext>
              </c:extLst>
              <c:f>(Anova!$H$14:$H$15,Anova!$H$17)</c:f>
              <c:strCache>
                <c:ptCount val="3"/>
                <c:pt idx="0">
                  <c:v>Between Groups</c:v>
                </c:pt>
                <c:pt idx="1">
                  <c:v>Within Groups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Anova!$J$14:$J$20</c15:sqref>
                  </c15:fullRef>
                </c:ext>
              </c:extLst>
              <c:f>(Anova!$J$14:$J$15,Anova!$J$17)</c:f>
              <c:numCache>
                <c:formatCode>General</c:formatCode>
                <c:ptCount val="3"/>
                <c:pt idx="0">
                  <c:v>1</c:v>
                </c:pt>
                <c:pt idx="1">
                  <c:v>756</c:v>
                </c:pt>
                <c:pt idx="2">
                  <c:v>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6A-4B39-A658-FC54F09F0222}"/>
            </c:ext>
          </c:extLst>
        </c:ser>
        <c:ser>
          <c:idx val="2"/>
          <c:order val="2"/>
          <c:tx>
            <c:strRef>
              <c:f>Anova!$K$12:$K$13</c:f>
              <c:strCache>
                <c:ptCount val="2"/>
                <c:pt idx="0">
                  <c:v>ANOVA</c:v>
                </c:pt>
                <c:pt idx="1">
                  <c:v>MS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Anova!$H$14:$H$20</c15:sqref>
                  </c15:fullRef>
                </c:ext>
              </c:extLst>
              <c:f>(Anova!$H$14:$H$15,Anova!$H$17)</c:f>
              <c:strCache>
                <c:ptCount val="3"/>
                <c:pt idx="0">
                  <c:v>Between Groups</c:v>
                </c:pt>
                <c:pt idx="1">
                  <c:v>Within Groups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Anova!$K$14:$K$20</c15:sqref>
                  </c15:fullRef>
                </c:ext>
              </c:extLst>
              <c:f>(Anova!$K$14:$K$15,Anova!$K$17)</c:f>
              <c:numCache>
                <c:formatCode>General</c:formatCode>
                <c:ptCount val="3"/>
                <c:pt idx="0">
                  <c:v>1.0242838861731341E+17</c:v>
                </c:pt>
                <c:pt idx="1">
                  <c:v>193233880937975.06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6A-4B39-A658-FC54F09F0222}"/>
            </c:ext>
          </c:extLst>
        </c:ser>
        <c:ser>
          <c:idx val="3"/>
          <c:order val="3"/>
          <c:tx>
            <c:strRef>
              <c:f>Anova!$L$12:$L$13</c:f>
              <c:strCache>
                <c:ptCount val="2"/>
                <c:pt idx="0">
                  <c:v>ANOVA</c:v>
                </c:pt>
                <c:pt idx="1">
                  <c:v>F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Anova!$H$14:$H$20</c15:sqref>
                  </c15:fullRef>
                </c:ext>
              </c:extLst>
              <c:f>(Anova!$H$14:$H$15,Anova!$H$17)</c:f>
              <c:strCache>
                <c:ptCount val="3"/>
                <c:pt idx="0">
                  <c:v>Between Groups</c:v>
                </c:pt>
                <c:pt idx="1">
                  <c:v>Within Groups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Anova!$L$14:$L$20</c15:sqref>
                  </c15:fullRef>
                </c:ext>
              </c:extLst>
              <c:f>(Anova!$L$14:$L$15,Anova!$L$17)</c:f>
              <c:numCache>
                <c:formatCode>General</c:formatCode>
                <c:ptCount val="3"/>
                <c:pt idx="0">
                  <c:v>530.07468524731053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6A-4B39-A658-FC54F09F0222}"/>
            </c:ext>
          </c:extLst>
        </c:ser>
        <c:ser>
          <c:idx val="4"/>
          <c:order val="4"/>
          <c:tx>
            <c:strRef>
              <c:f>Anova!$M$12:$M$13</c:f>
              <c:strCache>
                <c:ptCount val="2"/>
                <c:pt idx="0">
                  <c:v>ANOVA</c:v>
                </c:pt>
                <c:pt idx="1">
                  <c:v>P-value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Anova!$H$14:$H$20</c15:sqref>
                  </c15:fullRef>
                </c:ext>
              </c:extLst>
              <c:f>(Anova!$H$14:$H$15,Anova!$H$17)</c:f>
              <c:strCache>
                <c:ptCount val="3"/>
                <c:pt idx="0">
                  <c:v>Between Groups</c:v>
                </c:pt>
                <c:pt idx="1">
                  <c:v>Within Groups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Anova!$M$14:$M$20</c15:sqref>
                  </c15:fullRef>
                </c:ext>
              </c:extLst>
              <c:f>(Anova!$M$14:$M$15,Anova!$M$17)</c:f>
              <c:numCache>
                <c:formatCode>General</c:formatCode>
                <c:ptCount val="3"/>
                <c:pt idx="0">
                  <c:v>2.708979538805263E-89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6A-4B39-A658-FC54F09F0222}"/>
            </c:ext>
          </c:extLst>
        </c:ser>
        <c:ser>
          <c:idx val="5"/>
          <c:order val="5"/>
          <c:tx>
            <c:strRef>
              <c:f>Anova!$N$12:$N$13</c:f>
              <c:strCache>
                <c:ptCount val="2"/>
                <c:pt idx="0">
                  <c:v>ANOVA</c:v>
                </c:pt>
                <c:pt idx="1">
                  <c:v>F crit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Anova!$H$14:$H$20</c15:sqref>
                  </c15:fullRef>
                </c:ext>
              </c:extLst>
              <c:f>(Anova!$H$14:$H$15,Anova!$H$17)</c:f>
              <c:strCache>
                <c:ptCount val="3"/>
                <c:pt idx="0">
                  <c:v>Between Groups</c:v>
                </c:pt>
                <c:pt idx="1">
                  <c:v>Within Groups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Anova!$N$14:$N$20</c15:sqref>
                  </c15:fullRef>
                </c:ext>
              </c:extLst>
              <c:f>(Anova!$N$14:$N$15,Anova!$N$17)</c:f>
              <c:numCache>
                <c:formatCode>General</c:formatCode>
                <c:ptCount val="3"/>
                <c:pt idx="0">
                  <c:v>3.8537885194840067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6A-4B39-A658-FC54F09F0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528384"/>
        <c:axId val="635528744"/>
      </c:radarChart>
      <c:catAx>
        <c:axId val="63552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28744"/>
        <c:crosses val="autoZero"/>
        <c:auto val="1"/>
        <c:lblAlgn val="ctr"/>
        <c:lblOffset val="100"/>
        <c:noMultiLvlLbl val="0"/>
      </c:catAx>
      <c:valAx>
        <c:axId val="635528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2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Outlier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Outlier</a:t>
          </a:r>
        </a:p>
      </cx:txPr>
    </cx:title>
    <cx:plotArea>
      <cx:plotAreaRegion>
        <cx:series layoutId="boxWhisker" uniqueId="{E784BE65-EE79-4490-B6E2-8F0F9DA56A82}">
          <cx:tx>
            <cx:txData>
              <cx:f>_xlchart.v1.0</cx:f>
              <cx:v>Population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15240</xdr:colOff>
      <xdr:row>0</xdr:row>
      <xdr:rowOff>0</xdr:rowOff>
    </xdr:from>
    <xdr:to>
      <xdr:col>22</xdr:col>
      <xdr:colOff>53340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6EE900-F28F-E2BC-8C69-BCC08A4F3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601980</xdr:colOff>
      <xdr:row>15</xdr:row>
      <xdr:rowOff>22860</xdr:rowOff>
    </xdr:from>
    <xdr:to>
      <xdr:col>22</xdr:col>
      <xdr:colOff>53340</xdr:colOff>
      <xdr:row>28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930FA5-C8F8-18C4-4A6F-E7246BE28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6</xdr:row>
      <xdr:rowOff>160020</xdr:rowOff>
    </xdr:from>
    <xdr:to>
      <xdr:col>12</xdr:col>
      <xdr:colOff>472440</xdr:colOff>
      <xdr:row>21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F101016C-3842-FBF6-43F4-AEA274A201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257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5</xdr:row>
      <xdr:rowOff>0</xdr:rowOff>
    </xdr:from>
    <xdr:to>
      <xdr:col>10</xdr:col>
      <xdr:colOff>381000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B330E3-750F-D2E2-16FD-F2B091045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15240</xdr:colOff>
      <xdr:row>4</xdr:row>
      <xdr:rowOff>152400</xdr:rowOff>
    </xdr:from>
    <xdr:to>
      <xdr:col>20</xdr:col>
      <xdr:colOff>60960</xdr:colOff>
      <xdr:row>19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5738F5-4656-0D81-7953-756C8D0EA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281940</xdr:colOff>
      <xdr:row>14</xdr:row>
      <xdr:rowOff>152400</xdr:rowOff>
    </xdr:from>
    <xdr:to>
      <xdr:col>17</xdr:col>
      <xdr:colOff>525780</xdr:colOff>
      <xdr:row>29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7A7D3-2586-AF75-27DF-FC85FC4A0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63500</xdr:colOff>
      <xdr:row>17</xdr:row>
      <xdr:rowOff>111585</xdr:rowOff>
    </xdr:from>
    <xdr:to>
      <xdr:col>12</xdr:col>
      <xdr:colOff>204164</xdr:colOff>
      <xdr:row>32</xdr:row>
      <xdr:rowOff>111585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0B138-BB3D-2A79-469F-05346029C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tman" refreshedDate="45247.907411342596" createdVersion="8" refreshedVersion="8" minRefreshableVersion="3" recordCount="957" xr:uid="{5E133ACF-D8F8-47BB-8DDE-216CDAE87580}">
  <cacheSource type="worksheet">
    <worksheetSource name="Table2"/>
  </cacheSource>
  <cacheFields count="13">
    <cacheField name="Index No" numFmtId="0">
      <sharedItems containsSemiMixedTypes="0" containsString="0" containsNumber="1" containsInteger="1" minValue="1" maxValue="957" count="95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</sharedItems>
    </cacheField>
    <cacheField name="Channels" numFmtId="0">
      <sharedItems/>
    </cacheField>
    <cacheField name="Subscribers" numFmtId="0">
      <sharedItems containsSemiMixedTypes="0" containsString="0" containsNumber="1" containsInteger="1" minValue="12300000" maxValue="245000000"/>
    </cacheField>
    <cacheField name="Video views" numFmtId="0">
      <sharedItems containsSemiMixedTypes="0" containsString="0" containsNumber="1" containsInteger="1" minValue="0" maxValue="228000000000"/>
    </cacheField>
    <cacheField name="Category" numFmtId="0">
      <sharedItems count="19">
        <s v="Entertainment"/>
        <s v="Comedy"/>
        <s v="People &amp; Blogs"/>
        <s v="Music"/>
        <s v="News &amp; Politics"/>
        <s v="Howto &amp; Style"/>
        <s v="Gaming"/>
        <s v="Movies"/>
        <s v="Film &amp; Animation"/>
        <s v="Science &amp; Technology"/>
        <s v="Education"/>
        <s v="Pets &amp; Animals"/>
        <s v="N/A"/>
        <s v="Nonprofits &amp; Activism"/>
        <s v="Shows"/>
        <s v="Sports"/>
        <s v="Autos &amp; Vehicles"/>
        <s v="Trailers"/>
        <s v="Travel &amp; Events"/>
      </sharedItems>
    </cacheField>
    <cacheField name="Uploads" numFmtId="0">
      <sharedItems containsSemiMixedTypes="0" containsString="0" containsNumber="1" containsInteger="1" minValue="0" maxValue="301308"/>
    </cacheField>
    <cacheField name="Country" numFmtId="0">
      <sharedItems count="49">
        <s v="N/A"/>
        <s v="United States"/>
        <s v="Mexico"/>
        <s v="Saudi Arabia"/>
        <s v="South Korea"/>
        <s v="Ukraine"/>
        <s v="United Kingdom"/>
        <s v="Brazil"/>
        <s v="India"/>
        <s v="Kuwait"/>
        <s v="Philippines"/>
        <s v="Spain"/>
        <s v="Cuba"/>
        <s v="Indonesia"/>
        <s v="Thailand"/>
        <s v="United Arab Emirates"/>
        <s v="Argentina"/>
        <s v="Colombia"/>
        <s v="Pakistan"/>
        <s v="Sweden"/>
        <s v="Canada"/>
        <s v="Germany"/>
        <s v="Turkey"/>
        <s v="Russia"/>
        <s v="Australia"/>
        <s v="Finland"/>
        <s v="France"/>
        <s v="Italy"/>
        <s v="Latvia"/>
        <s v="Chile"/>
        <s v="Samoa"/>
        <s v="Ecuador"/>
        <s v="Peru"/>
        <s v="Vietnam"/>
        <s v="El Salvador"/>
        <s v="Switzerland"/>
        <s v="Japan"/>
        <s v="Bangladesh"/>
        <s v="Andorra"/>
        <s v="Jordan"/>
        <s v="Singapore"/>
        <s v="Malaysia"/>
        <s v="Afghanistan"/>
        <s v="Iraq"/>
        <s v="Egypt"/>
        <s v="Netherlands"/>
        <s v="Barbados"/>
        <s v="Morocco"/>
        <s v="Venezuela"/>
      </sharedItems>
    </cacheField>
    <cacheField name="Continents" numFmtId="0">
      <sharedItems count="7">
        <s v="N/A"/>
        <s v="North America"/>
        <s v="South America"/>
        <s v="Asia"/>
        <s v="Europe"/>
        <s v="Australia"/>
        <s v="africa"/>
      </sharedItems>
    </cacheField>
    <cacheField name="highest_yearly_earnings" numFmtId="0">
      <sharedItems containsSemiMixedTypes="0" containsString="0" containsNumber="1" minValue="0" maxValue="110600000"/>
    </cacheField>
    <cacheField name="created_year" numFmtId="0">
      <sharedItems containsSemiMixedTypes="0" containsString="0" containsNumber="1" containsInteger="1" minValue="1970" maxValue="2022"/>
    </cacheField>
    <cacheField name="created_month" numFmtId="0">
      <sharedItems containsSemiMixedTypes="0" containsString="0" containsNumber="1" containsInteger="1" minValue="1" maxValue="12"/>
    </cacheField>
    <cacheField name="created_date" numFmtId="0">
      <sharedItems containsSemiMixedTypes="0" containsString="0" containsNumber="1" containsInteger="1" minValue="1" maxValue="31"/>
    </cacheField>
    <cacheField name="Population" numFmtId="0">
      <sharedItems containsMixedTypes="1" containsNumber="1" containsInteger="1" minValue="202506" maxValue="13664177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7">
  <r>
    <x v="0"/>
    <s v="#Refugio Mental"/>
    <n v="12700000"/>
    <n v="2709954270"/>
    <x v="0"/>
    <n v="846"/>
    <x v="0"/>
    <x v="0"/>
    <n v="333200"/>
    <n v="2013"/>
    <n v="8"/>
    <n v="10"/>
    <s v="N/A"/>
  </r>
  <r>
    <x v="1"/>
    <s v="#Refugio Mental"/>
    <n v="14100000"/>
    <n v="3594936775"/>
    <x v="0"/>
    <n v="846"/>
    <x v="0"/>
    <x v="0"/>
    <n v="333200"/>
    <n v="2013"/>
    <n v="8"/>
    <n v="10"/>
    <s v="N/A"/>
  </r>
  <r>
    <x v="2"/>
    <s v="_vector_"/>
    <n v="12400000"/>
    <n v="7597013023"/>
    <x v="1"/>
    <n v="398"/>
    <x v="1"/>
    <x v="1"/>
    <n v="43400000"/>
    <n v="2019"/>
    <n v="3"/>
    <n v="24"/>
    <n v="328239523"/>
  </r>
  <r>
    <x v="3"/>
    <s v="123 GO! Spanish"/>
    <n v="13800000"/>
    <n v="5019136690"/>
    <x v="2"/>
    <n v="520"/>
    <x v="2"/>
    <x v="2"/>
    <n v="1300000"/>
    <n v="2019"/>
    <n v="3"/>
    <n v="13"/>
    <n v="126014024"/>
  </r>
  <r>
    <x v="4"/>
    <s v="1MILLION Dance Studio"/>
    <n v="26100000"/>
    <n v="7886440199"/>
    <x v="0"/>
    <n v="0"/>
    <x v="3"/>
    <x v="3"/>
    <n v="0"/>
    <n v="2019"/>
    <n v="7"/>
    <n v="13"/>
    <n v="34268528"/>
  </r>
  <r>
    <x v="5"/>
    <s v="1theK (ï¿½ï¿½ï¿½ï¿½ï"/>
    <n v="24500000"/>
    <n v="23962070944"/>
    <x v="3"/>
    <n v="18950"/>
    <x v="4"/>
    <x v="3"/>
    <n v="5100000"/>
    <n v="2011"/>
    <n v="1"/>
    <n v="31"/>
    <n v="51709098"/>
  </r>
  <r>
    <x v="6"/>
    <s v="21 Savage"/>
    <n v="38200000"/>
    <n v="13598903820"/>
    <x v="3"/>
    <n v="11"/>
    <x v="1"/>
    <x v="1"/>
    <n v="305"/>
    <n v="2016"/>
    <n v="6"/>
    <n v="26"/>
    <n v="328239523"/>
  </r>
  <r>
    <x v="7"/>
    <s v="24 ï¿½ï¿½ï¿½ï"/>
    <n v="17700000"/>
    <n v="8396875537"/>
    <x v="4"/>
    <n v="211620"/>
    <x v="5"/>
    <x v="4"/>
    <n v="17800000"/>
    <n v="2006"/>
    <n v="2"/>
    <n v="5"/>
    <n v="44385155"/>
  </r>
  <r>
    <x v="8"/>
    <s v="50 Cent"/>
    <n v="14900000"/>
    <n v="10069000444"/>
    <x v="3"/>
    <n v="419"/>
    <x v="1"/>
    <x v="1"/>
    <n v="5800000"/>
    <n v="2007"/>
    <n v="2"/>
    <n v="8"/>
    <n v="328239523"/>
  </r>
  <r>
    <x v="9"/>
    <s v="5-Minute Crafts 2.0"/>
    <n v="80100000"/>
    <n v="26236790209"/>
    <x v="5"/>
    <n v="1"/>
    <x v="6"/>
    <x v="4"/>
    <n v="0.05"/>
    <n v="2020"/>
    <n v="7"/>
    <n v="27"/>
    <n v="66834405"/>
  </r>
  <r>
    <x v="10"/>
    <s v="5-Minute Crafts DIY"/>
    <n v="20700000"/>
    <n v="5091618606"/>
    <x v="5"/>
    <n v="5062"/>
    <x v="1"/>
    <x v="1"/>
    <n v="960600"/>
    <n v="2018"/>
    <n v="1"/>
    <n v="18"/>
    <n v="328239523"/>
  </r>
  <r>
    <x v="11"/>
    <s v="5-Minute Crafts FAMILY"/>
    <n v="15600000"/>
    <n v="6165757696"/>
    <x v="2"/>
    <n v="4245"/>
    <x v="1"/>
    <x v="1"/>
    <n v="1300000"/>
    <n v="2018"/>
    <n v="12"/>
    <n v="13"/>
    <n v="328239523"/>
  </r>
  <r>
    <x v="12"/>
    <s v="5-Minute Crafts PLAY"/>
    <n v="20100000"/>
    <n v="6119294270"/>
    <x v="5"/>
    <n v="5491"/>
    <x v="1"/>
    <x v="1"/>
    <n v="5100000"/>
    <n v="2017"/>
    <n v="10"/>
    <n v="30"/>
    <n v="328239523"/>
  </r>
  <r>
    <x v="13"/>
    <s v="5-Minute Crafts Recycle"/>
    <n v="14800000"/>
    <n v="8866012877"/>
    <x v="2"/>
    <n v="3867"/>
    <x v="1"/>
    <x v="1"/>
    <n v="2600000"/>
    <n v="2019"/>
    <n v="6"/>
    <n v="7"/>
    <n v="328239523"/>
  </r>
  <r>
    <x v="14"/>
    <s v="7 Minutoz"/>
    <n v="13000000"/>
    <n v="4349562794"/>
    <x v="3"/>
    <n v="521"/>
    <x v="7"/>
    <x v="2"/>
    <n v="1400000"/>
    <n v="2012"/>
    <n v="6"/>
    <n v="4"/>
    <n v="212559417"/>
  </r>
  <r>
    <x v="15"/>
    <s v="7clouds"/>
    <n v="20100000"/>
    <n v="14816075927"/>
    <x v="3"/>
    <n v="2384"/>
    <x v="1"/>
    <x v="1"/>
    <n v="13300000"/>
    <n v="2013"/>
    <n v="5"/>
    <n v="25"/>
    <n v="328239523"/>
  </r>
  <r>
    <x v="16"/>
    <s v="A2 Motivation by Arvind Arora"/>
    <n v="15000000"/>
    <n v="8932038210"/>
    <x v="0"/>
    <n v="3168"/>
    <x v="8"/>
    <x v="3"/>
    <n v="6300000"/>
    <n v="2017"/>
    <n v="4"/>
    <n v="7"/>
    <n v="1366417754"/>
  </r>
  <r>
    <x v="17"/>
    <s v="Aadishakti Films"/>
    <n v="14500000"/>
    <n v="6290721701"/>
    <x v="3"/>
    <n v="4790"/>
    <x v="8"/>
    <x v="3"/>
    <n v="2300000"/>
    <n v="2016"/>
    <n v="10"/>
    <n v="28"/>
    <n v="1366417754"/>
  </r>
  <r>
    <x v="18"/>
    <s v="Aaj Tak"/>
    <n v="57600000"/>
    <n v="25307753534"/>
    <x v="4"/>
    <n v="283775"/>
    <x v="8"/>
    <x v="3"/>
    <n v="22100000"/>
    <n v="2009"/>
    <n v="8"/>
    <n v="27"/>
    <n v="1366417754"/>
  </r>
  <r>
    <x v="19"/>
    <s v="Aayu and Pihu Show"/>
    <n v="16900000"/>
    <n v="9270331567"/>
    <x v="1"/>
    <n v="441"/>
    <x v="8"/>
    <x v="3"/>
    <n v="4300000"/>
    <n v="2017"/>
    <n v="5"/>
    <n v="8"/>
    <n v="1366417754"/>
  </r>
  <r>
    <x v="20"/>
    <s v="ABC News"/>
    <n v="14700000"/>
    <n v="12961669452"/>
    <x v="4"/>
    <n v="80830"/>
    <x v="1"/>
    <x v="1"/>
    <n v="8900000"/>
    <n v="2006"/>
    <n v="8"/>
    <n v="7"/>
    <n v="328239523"/>
  </r>
  <r>
    <x v="21"/>
    <s v="AboFlah"/>
    <n v="30500000"/>
    <n v="4521573939"/>
    <x v="6"/>
    <n v="641"/>
    <x v="9"/>
    <x v="3"/>
    <n v="7600000"/>
    <n v="2016"/>
    <n v="7"/>
    <n v="28"/>
    <n v="4207083"/>
  </r>
  <r>
    <x v="22"/>
    <s v="ABP NEWS"/>
    <n v="37000000"/>
    <n v="13102611515"/>
    <x v="2"/>
    <n v="301308"/>
    <x v="8"/>
    <x v="3"/>
    <n v="12800000"/>
    <n v="2012"/>
    <n v="6"/>
    <n v="1"/>
    <n v="1366417754"/>
  </r>
  <r>
    <x v="23"/>
    <s v="ABPLIVE"/>
    <n v="25200000"/>
    <n v="7968363381"/>
    <x v="2"/>
    <n v="12"/>
    <x v="0"/>
    <x v="0"/>
    <n v="0.1"/>
    <n v="2014"/>
    <n v="7"/>
    <n v="26"/>
    <s v="N/A"/>
  </r>
  <r>
    <x v="24"/>
    <s v="ABS-CBN Entertainment"/>
    <n v="44200000"/>
    <n v="50292540392"/>
    <x v="2"/>
    <n v="193890"/>
    <x v="10"/>
    <x v="3"/>
    <n v="8500000"/>
    <n v="2008"/>
    <n v="7"/>
    <n v="16"/>
    <n v="108116615"/>
  </r>
  <r>
    <x v="25"/>
    <s v="ABS-CBN News"/>
    <n v="15100000"/>
    <n v="10489367372"/>
    <x v="4"/>
    <n v="209520"/>
    <x v="10"/>
    <x v="3"/>
    <n v="8700000"/>
    <n v="2009"/>
    <n v="10"/>
    <n v="22"/>
    <n v="108116615"/>
  </r>
  <r>
    <x v="26"/>
    <s v="Acenix"/>
    <n v="13600000"/>
    <n v="2122062016"/>
    <x v="6"/>
    <n v="368"/>
    <x v="11"/>
    <x v="4"/>
    <n v="2300000"/>
    <n v="2014"/>
    <n v="1"/>
    <n v="2"/>
    <n v="47076781"/>
  </r>
  <r>
    <x v="27"/>
    <s v="Adam W"/>
    <n v="12800000"/>
    <n v="9502983550"/>
    <x v="1"/>
    <n v="681"/>
    <x v="1"/>
    <x v="1"/>
    <n v="11000000"/>
    <n v="2015"/>
    <n v="10"/>
    <n v="4"/>
    <n v="328239523"/>
  </r>
  <r>
    <x v="28"/>
    <s v="Aday Cï¿½ï¿½ï¿½ï¿½ï"/>
    <n v="16200000"/>
    <n v="4488680903"/>
    <x v="0"/>
    <n v="10"/>
    <x v="11"/>
    <x v="4"/>
    <n v="0.19"/>
    <n v="2006"/>
    <n v="5"/>
    <n v="2"/>
    <n v="47076781"/>
  </r>
  <r>
    <x v="29"/>
    <s v="ADEL et SAMI"/>
    <n v="13900000"/>
    <n v="5465532801"/>
    <x v="0"/>
    <n v="503"/>
    <x v="1"/>
    <x v="1"/>
    <n v="1300000"/>
    <n v="2018"/>
    <n v="3"/>
    <n v="12"/>
    <n v="328239523"/>
  </r>
  <r>
    <x v="30"/>
    <s v="Adele"/>
    <n v="30200000"/>
    <n v="14199108016"/>
    <x v="3"/>
    <n v="15"/>
    <x v="6"/>
    <x v="4"/>
    <n v="6600000"/>
    <n v="2008"/>
    <n v="4"/>
    <n v="4"/>
    <n v="66834405"/>
  </r>
  <r>
    <x v="31"/>
    <s v="AdeleVEVO"/>
    <n v="15100000"/>
    <n v="12413869881"/>
    <x v="3"/>
    <n v="52"/>
    <x v="6"/>
    <x v="4"/>
    <n v="4100000"/>
    <n v="2009"/>
    <n v="10"/>
    <n v="15"/>
    <n v="66834405"/>
  </r>
  <r>
    <x v="32"/>
    <s v="Adexe &amp; Nau"/>
    <n v="12700000"/>
    <n v="4579773883"/>
    <x v="3"/>
    <n v="594"/>
    <x v="11"/>
    <x v="4"/>
    <n v="484000"/>
    <n v="2013"/>
    <n v="12"/>
    <n v="22"/>
    <n v="47076781"/>
  </r>
  <r>
    <x v="33"/>
    <s v="Aditya Movies"/>
    <n v="28400000"/>
    <n v="10062770060"/>
    <x v="7"/>
    <n v="5436"/>
    <x v="8"/>
    <x v="3"/>
    <n v="10900000"/>
    <n v="2012"/>
    <n v="2"/>
    <n v="23"/>
    <n v="1366417754"/>
  </r>
  <r>
    <x v="34"/>
    <s v="Aditya Music"/>
    <n v="28500000"/>
    <n v="25857994495"/>
    <x v="3"/>
    <n v="0"/>
    <x v="0"/>
    <x v="0"/>
    <n v="0"/>
    <n v="2010"/>
    <n v="12"/>
    <n v="16"/>
    <s v="N/A"/>
  </r>
  <r>
    <x v="35"/>
    <s v="aefour"/>
    <n v="46300000"/>
    <n v="22936630813"/>
    <x v="6"/>
    <n v="1"/>
    <x v="12"/>
    <x v="1"/>
    <n v="5"/>
    <n v="2006"/>
    <n v="3"/>
    <n v="11"/>
    <n v="11333483"/>
  </r>
  <r>
    <x v="36"/>
    <s v="AH"/>
    <n v="30400000"/>
    <n v="4332274962"/>
    <x v="0"/>
    <n v="2197"/>
    <x v="13"/>
    <x v="3"/>
    <n v="1000000"/>
    <n v="2014"/>
    <n v="1"/>
    <n v="26"/>
    <n v="270203917"/>
  </r>
  <r>
    <x v="37"/>
    <s v="Airrack"/>
    <n v="13800000"/>
    <n v="2224911030"/>
    <x v="0"/>
    <n v="173"/>
    <x v="1"/>
    <x v="1"/>
    <n v="4800000"/>
    <n v="2015"/>
    <n v="1"/>
    <n v="3"/>
    <n v="328239523"/>
  </r>
  <r>
    <x v="38"/>
    <s v="Ajay Sharma"/>
    <n v="18100000"/>
    <n v="12249828886"/>
    <x v="0"/>
    <n v="0"/>
    <x v="0"/>
    <x v="0"/>
    <n v="0"/>
    <n v="2009"/>
    <n v="10"/>
    <n v="24"/>
    <s v="N/A"/>
  </r>
  <r>
    <x v="39"/>
    <s v="Akon"/>
    <n v="12900000"/>
    <n v="6300933122"/>
    <x v="3"/>
    <n v="39"/>
    <x v="1"/>
    <x v="1"/>
    <n v="4400000"/>
    <n v="2005"/>
    <n v="11"/>
    <n v="5"/>
    <n v="328239523"/>
  </r>
  <r>
    <x v="40"/>
    <s v="Akshay Nagwadiya"/>
    <n v="23200000"/>
    <n v="7966720147"/>
    <x v="0"/>
    <n v="595"/>
    <x v="0"/>
    <x v="0"/>
    <n v="15400000"/>
    <n v="2017"/>
    <n v="10"/>
    <n v="25"/>
    <s v="N/A"/>
  </r>
  <r>
    <x v="41"/>
    <s v="Alan Becker"/>
    <n v="22900000"/>
    <n v="5380073627"/>
    <x v="8"/>
    <n v="0"/>
    <x v="1"/>
    <x v="1"/>
    <n v="0"/>
    <n v="2006"/>
    <n v="3"/>
    <n v="21"/>
    <n v="328239523"/>
  </r>
  <r>
    <x v="42"/>
    <s v="Alan Chikin Chow"/>
    <n v="26400000"/>
    <n v="27006526665"/>
    <x v="1"/>
    <n v="865"/>
    <x v="1"/>
    <x v="1"/>
    <n v="50200000"/>
    <n v="2020"/>
    <n v="2"/>
    <n v="3"/>
    <n v="328239523"/>
  </r>
  <r>
    <x v="43"/>
    <s v="alanwalker"/>
    <n v="43700000"/>
    <n v="12884264778"/>
    <x v="3"/>
    <n v="8"/>
    <x v="14"/>
    <x v="3"/>
    <n v="1"/>
    <n v="2006"/>
    <n v="5"/>
    <n v="12"/>
    <n v="69625582"/>
  </r>
  <r>
    <x v="44"/>
    <s v="AlArabiya ï¿½ï¿½ï¿½ï¿½ï¿"/>
    <n v="12900000"/>
    <n v="7520379951"/>
    <x v="2"/>
    <n v="169304"/>
    <x v="15"/>
    <x v="3"/>
    <n v="3900000"/>
    <n v="2006"/>
    <n v="9"/>
    <n v="19"/>
    <n v="9770529"/>
  </r>
  <r>
    <x v="45"/>
    <s v="Alejandro Basalo"/>
    <n v="18400000"/>
    <n v="11280732382"/>
    <x v="2"/>
    <n v="0"/>
    <x v="0"/>
    <x v="0"/>
    <n v="0"/>
    <n v="2007"/>
    <n v="4"/>
    <n v="25"/>
    <s v="N/A"/>
  </r>
  <r>
    <x v="46"/>
    <s v="Alejo Igoa"/>
    <n v="24100000"/>
    <n v="10999000479"/>
    <x v="1"/>
    <n v="802"/>
    <x v="16"/>
    <x v="2"/>
    <n v="19300000"/>
    <n v="2014"/>
    <n v="1"/>
    <n v="17"/>
    <n v="44938712"/>
  </r>
  <r>
    <x v="47"/>
    <s v="Alex Gonzaga Official"/>
    <n v="13100000"/>
    <n v="1401914513"/>
    <x v="2"/>
    <n v="287"/>
    <x v="10"/>
    <x v="3"/>
    <n v="520700"/>
    <n v="2017"/>
    <n v="7"/>
    <n v="18"/>
    <n v="108116615"/>
  </r>
  <r>
    <x v="48"/>
    <s v="Alexa Rivera"/>
    <n v="13900000"/>
    <n v="3193226072"/>
    <x v="5"/>
    <n v="288"/>
    <x v="0"/>
    <x v="0"/>
    <n v="6900000"/>
    <n v="2010"/>
    <n v="8"/>
    <n v="21"/>
    <s v="N/A"/>
  </r>
  <r>
    <x v="49"/>
    <s v="Alfredo Larin"/>
    <n v="16400000"/>
    <n v="14431830557"/>
    <x v="0"/>
    <n v="1"/>
    <x v="0"/>
    <x v="0"/>
    <n v="0.05"/>
    <n v="2015"/>
    <n v="11"/>
    <n v="23"/>
    <s v="N/A"/>
  </r>
  <r>
    <x v="50"/>
    <s v="ali-a"/>
    <n v="18700000"/>
    <n v="6148303268"/>
    <x v="6"/>
    <n v="2"/>
    <x v="0"/>
    <x v="0"/>
    <n v="0.05"/>
    <n v="2016"/>
    <n v="7"/>
    <n v="7"/>
    <s v="N/A"/>
  </r>
  <r>
    <x v="51"/>
    <s v="AM3NlC"/>
    <n v="14000000"/>
    <n v="4959982720"/>
    <x v="6"/>
    <n v="5757"/>
    <x v="7"/>
    <x v="2"/>
    <n v="490100"/>
    <n v="2012"/>
    <n v="12"/>
    <n v="15"/>
    <n v="212559417"/>
  </r>
  <r>
    <x v="52"/>
    <s v="AMARINTV : ï¿½ï¿½ï¿½ï¿½ï¿½ï¿½ï¿½ï¿½ï¿½ï¿½ï¿½ï¿½"/>
    <n v="17400000"/>
    <n v="13043561912"/>
    <x v="0"/>
    <n v="118448"/>
    <x v="14"/>
    <x v="3"/>
    <n v="11300000"/>
    <n v="2014"/>
    <n v="2"/>
    <n v="5"/>
    <n v="69625582"/>
  </r>
  <r>
    <x v="53"/>
    <s v="America's Got Talent"/>
    <n v="24800000"/>
    <n v="3699352704"/>
    <x v="0"/>
    <n v="1894"/>
    <x v="1"/>
    <x v="1"/>
    <n v="6500000"/>
    <n v="2006"/>
    <n v="6"/>
    <n v="29"/>
    <n v="328239523"/>
  </r>
  <r>
    <x v="54"/>
    <s v="Ami Rodriguez"/>
    <n v="20200000"/>
    <n v="2951914200"/>
    <x v="0"/>
    <n v="460"/>
    <x v="17"/>
    <x v="2"/>
    <n v="12700000"/>
    <n v="2009"/>
    <n v="7"/>
    <n v="20"/>
    <n v="50339443"/>
  </r>
  <r>
    <x v="55"/>
    <s v="Amit Bhadana"/>
    <n v="24300000"/>
    <n v="2380248899"/>
    <x v="0"/>
    <n v="17"/>
    <x v="0"/>
    <x v="0"/>
    <n v="0.24"/>
    <n v="2009"/>
    <n v="12"/>
    <n v="31"/>
    <s v="N/A"/>
  </r>
  <r>
    <x v="56"/>
    <s v="Anaysa"/>
    <n v="13500000"/>
    <n v="3445794123"/>
    <x v="5"/>
    <n v="591"/>
    <x v="8"/>
    <x v="3"/>
    <n v="1400000"/>
    <n v="2012"/>
    <n v="3"/>
    <n v="10"/>
    <n v="1366417754"/>
  </r>
  <r>
    <x v="57"/>
    <s v="ANDtv"/>
    <n v="18000000"/>
    <n v="15412333005"/>
    <x v="0"/>
    <n v="45"/>
    <x v="1"/>
    <x v="1"/>
    <n v="0.19"/>
    <n v="2006"/>
    <n v="8"/>
    <n v="4"/>
    <n v="328239523"/>
  </r>
  <r>
    <x v="58"/>
    <s v="Anitta"/>
    <n v="17200000"/>
    <n v="7337212581"/>
    <x v="3"/>
    <n v="138"/>
    <x v="7"/>
    <x v="2"/>
    <n v="3500000"/>
    <n v="2011"/>
    <n v="11"/>
    <n v="2"/>
    <n v="212559417"/>
  </r>
  <r>
    <x v="59"/>
    <s v="annakova"/>
    <n v="12400000"/>
    <n v="13959586308"/>
    <x v="2"/>
    <n v="1"/>
    <x v="0"/>
    <x v="0"/>
    <n v="0.1"/>
    <n v="2006"/>
    <n v="6"/>
    <n v="18"/>
    <s v="N/A"/>
  </r>
  <r>
    <x v="60"/>
    <s v="Antrax"/>
    <n v="16000000"/>
    <n v="3029872908"/>
    <x v="6"/>
    <n v="687"/>
    <x v="2"/>
    <x v="2"/>
    <n v="225500"/>
    <n v="2015"/>
    <n v="5"/>
    <n v="25"/>
    <n v="126014024"/>
  </r>
  <r>
    <x v="61"/>
    <s v="Anuel AA"/>
    <n v="25000000"/>
    <n v="14827085149"/>
    <x v="3"/>
    <n v="147"/>
    <x v="17"/>
    <x v="2"/>
    <n v="13600000"/>
    <n v="2016"/>
    <n v="9"/>
    <n v="8"/>
    <n v="50339443"/>
  </r>
  <r>
    <x v="62"/>
    <s v="Aphmau"/>
    <n v="17400000"/>
    <n v="17763586483"/>
    <x v="6"/>
    <n v="4411"/>
    <x v="1"/>
    <x v="1"/>
    <n v="21100000"/>
    <n v="2012"/>
    <n v="8"/>
    <n v="13"/>
    <n v="328239523"/>
  </r>
  <r>
    <x v="63"/>
    <s v="Apple"/>
    <n v="17300000"/>
    <n v="1026425106"/>
    <x v="9"/>
    <n v="180"/>
    <x v="1"/>
    <x v="1"/>
    <n v="2200000"/>
    <n v="2005"/>
    <n v="6"/>
    <n v="22"/>
    <n v="328239523"/>
  </r>
  <r>
    <x v="64"/>
    <s v="Ariana Grande"/>
    <n v="52700000"/>
    <n v="24004842608"/>
    <x v="3"/>
    <n v="147"/>
    <x v="1"/>
    <x v="1"/>
    <n v="7700000"/>
    <n v="2007"/>
    <n v="1"/>
    <n v="22"/>
    <n v="328239523"/>
  </r>
  <r>
    <x v="65"/>
    <s v="ArianaGrandeVevo"/>
    <n v="17700000"/>
    <n v="20115544708"/>
    <x v="3"/>
    <n v="178"/>
    <x v="1"/>
    <x v="1"/>
    <n v="4700000"/>
    <n v="2010"/>
    <n v="10"/>
    <n v="21"/>
    <n v="328239523"/>
  </r>
  <r>
    <x v="66"/>
    <s v="Arif muhammad"/>
    <n v="15800000"/>
    <n v="4122634467"/>
    <x v="2"/>
    <n v="542"/>
    <x v="13"/>
    <x v="3"/>
    <n v="3400000"/>
    <n v="2017"/>
    <n v="1"/>
    <n v="18"/>
    <n v="270203917"/>
  </r>
  <r>
    <x v="67"/>
    <s v="ARY Digital HD"/>
    <n v="43200000"/>
    <n v="37939780685"/>
    <x v="0"/>
    <n v="109871"/>
    <x v="18"/>
    <x v="3"/>
    <n v="55200000"/>
    <n v="2016"/>
    <n v="7"/>
    <n v="11"/>
    <n v="216565318"/>
  </r>
  <r>
    <x v="68"/>
    <s v="ASGaming"/>
    <n v="19600000"/>
    <n v="2851024430"/>
    <x v="6"/>
    <n v="17"/>
    <x v="1"/>
    <x v="1"/>
    <n v="1"/>
    <n v="2009"/>
    <n v="3"/>
    <n v="5"/>
    <n v="328239523"/>
  </r>
  <r>
    <x v="69"/>
    <s v="ashish chanchlani vines"/>
    <n v="29800000"/>
    <n v="4457913639"/>
    <x v="1"/>
    <n v="151"/>
    <x v="8"/>
    <x v="3"/>
    <n v="1300000"/>
    <n v="2009"/>
    <n v="7"/>
    <n v="6"/>
    <n v="1366417754"/>
  </r>
  <r>
    <x v="70"/>
    <s v="ATHLEAN-Xï¿½"/>
    <n v="13400000"/>
    <n v="2319515787"/>
    <x v="5"/>
    <n v="1349"/>
    <x v="1"/>
    <x v="1"/>
    <n v="695900"/>
    <n v="2006"/>
    <n v="12"/>
    <n v="16"/>
    <n v="328239523"/>
  </r>
  <r>
    <x v="71"/>
    <s v="Atlantic Records"/>
    <n v="13900000"/>
    <n v="12513842343"/>
    <x v="3"/>
    <n v="1660"/>
    <x v="1"/>
    <x v="1"/>
    <n v="4700000"/>
    <n v="2006"/>
    <n v="12"/>
    <n v="15"/>
    <n v="328239523"/>
  </r>
  <r>
    <x v="72"/>
    <s v="Auron"/>
    <n v="14600000"/>
    <n v="3337074920"/>
    <x v="2"/>
    <n v="961"/>
    <x v="11"/>
    <x v="4"/>
    <n v="2900000"/>
    <n v="2013"/>
    <n v="12"/>
    <n v="12"/>
    <n v="47076781"/>
  </r>
  <r>
    <x v="73"/>
    <s v="AuronPlay"/>
    <n v="29200000"/>
    <n v="4079141673"/>
    <x v="1"/>
    <n v="404"/>
    <x v="11"/>
    <x v="4"/>
    <n v="582900"/>
    <n v="2006"/>
    <n v="2"/>
    <n v="28"/>
    <n v="47076781"/>
  </r>
  <r>
    <x v="74"/>
    <s v="AuthenticGames"/>
    <n v="20100000"/>
    <n v="8920141342"/>
    <x v="6"/>
    <n v="4974"/>
    <x v="7"/>
    <x v="2"/>
    <n v="260200"/>
    <n v="2011"/>
    <n v="10"/>
    <n v="7"/>
    <n v="212559417"/>
  </r>
  <r>
    <x v="75"/>
    <s v="Avicii"/>
    <n v="20600000"/>
    <n v="10292874715"/>
    <x v="3"/>
    <n v="156"/>
    <x v="19"/>
    <x v="4"/>
    <n v="3900000"/>
    <n v="2009"/>
    <n v="10"/>
    <n v="28"/>
    <n v="10285453"/>
  </r>
  <r>
    <x v="76"/>
    <s v="Avril Lavigne"/>
    <n v="12400000"/>
    <n v="6202090191"/>
    <x v="3"/>
    <n v="205"/>
    <x v="1"/>
    <x v="1"/>
    <n v="2400000"/>
    <n v="2005"/>
    <n v="10"/>
    <n v="8"/>
    <n v="328239523"/>
  </r>
  <r>
    <x v="77"/>
    <s v="Awakening Music"/>
    <n v="13500000"/>
    <n v="5545936485"/>
    <x v="3"/>
    <n v="814"/>
    <x v="6"/>
    <x v="4"/>
    <n v="1700000"/>
    <n v="2006"/>
    <n v="12"/>
    <n v="25"/>
    <n v="66834405"/>
  </r>
  <r>
    <x v="78"/>
    <s v="Azhan5star"/>
    <n v="21300000"/>
    <n v="10047736580"/>
    <x v="0"/>
    <n v="669"/>
    <x v="8"/>
    <x v="3"/>
    <n v="11300000"/>
    <n v="2021"/>
    <n v="2"/>
    <n v="2"/>
    <n v="1366417754"/>
  </r>
  <r>
    <x v="79"/>
    <s v="AzzyLand"/>
    <n v="13300000"/>
    <n v="6412313570"/>
    <x v="6"/>
    <n v="1749"/>
    <x v="20"/>
    <x v="1"/>
    <n v="258600"/>
    <n v="2015"/>
    <n v="5"/>
    <n v="8"/>
    <n v="36991981"/>
  </r>
  <r>
    <x v="80"/>
    <s v="BabyBus - Canciones Infantiles &amp; Videos paraï¿½"/>
    <n v="22900000"/>
    <n v="13206471140"/>
    <x v="10"/>
    <n v="1251"/>
    <x v="2"/>
    <x v="2"/>
    <n v="6600000"/>
    <n v="2018"/>
    <n v="3"/>
    <n v="19"/>
    <n v="126014024"/>
  </r>
  <r>
    <x v="81"/>
    <s v="BabyBus - Cerita &amp; Lagu Anak-anak"/>
    <n v="20300000"/>
    <n v="11819051552"/>
    <x v="10"/>
    <n v="875"/>
    <x v="13"/>
    <x v="3"/>
    <n v="5400000"/>
    <n v="2019"/>
    <n v="1"/>
    <n v="14"/>
    <n v="270203917"/>
  </r>
  <r>
    <x v="82"/>
    <s v="BabyBus - Kids Songs and Cartoons"/>
    <n v="32800000"/>
    <n v="26355088167"/>
    <x v="10"/>
    <n v="2122"/>
    <x v="1"/>
    <x v="1"/>
    <n v="6100000"/>
    <n v="2016"/>
    <n v="7"/>
    <n v="15"/>
    <n v="328239523"/>
  </r>
  <r>
    <x v="83"/>
    <s v="badabun"/>
    <n v="46800000"/>
    <n v="19398045702"/>
    <x v="0"/>
    <n v="1"/>
    <x v="0"/>
    <x v="0"/>
    <n v="21"/>
    <n v="2007"/>
    <n v="7"/>
    <n v="21"/>
    <s v="N/A"/>
  </r>
  <r>
    <x v="84"/>
    <s v="badbunny"/>
    <n v="46100000"/>
    <n v="30686342319"/>
    <x v="3"/>
    <n v="1"/>
    <x v="0"/>
    <x v="0"/>
    <n v="0.05"/>
    <n v="2005"/>
    <n v="11"/>
    <n v="15"/>
    <s v="N/A"/>
  </r>
  <r>
    <x v="85"/>
    <s v="Baim Paula"/>
    <n v="21100000"/>
    <n v="4526271677"/>
    <x v="2"/>
    <n v="2325"/>
    <x v="13"/>
    <x v="3"/>
    <n v="1300000"/>
    <n v="2016"/>
    <n v="6"/>
    <n v="4"/>
    <n v="270203917"/>
  </r>
  <r>
    <x v="86"/>
    <s v="BanderitaX"/>
    <n v="13300000"/>
    <n v="4129249415"/>
    <x v="6"/>
    <n v="1640"/>
    <x v="3"/>
    <x v="3"/>
    <n v="3400000"/>
    <n v="2013"/>
    <n v="8"/>
    <n v="20"/>
    <n v="34268528"/>
  </r>
  <r>
    <x v="87"/>
    <s v="BANGTANTV"/>
    <n v="75600000"/>
    <n v="20826993957"/>
    <x v="3"/>
    <n v="2281"/>
    <x v="4"/>
    <x v="3"/>
    <n v="8100000"/>
    <n v="2012"/>
    <n v="12"/>
    <n v="17"/>
    <n v="51709098"/>
  </r>
  <r>
    <x v="88"/>
    <s v="BB Ki Vines"/>
    <n v="26300000"/>
    <n v="4749833967"/>
    <x v="0"/>
    <n v="190"/>
    <x v="8"/>
    <x v="3"/>
    <n v="828600"/>
    <n v="2015"/>
    <n v="6"/>
    <n v="20"/>
    <n v="1366417754"/>
  </r>
  <r>
    <x v="89"/>
    <s v="BBC"/>
    <n v="13600000"/>
    <n v="9685060624"/>
    <x v="11"/>
    <n v="16047"/>
    <x v="6"/>
    <x v="4"/>
    <n v="2100000"/>
    <n v="2005"/>
    <n v="11"/>
    <n v="12"/>
    <n v="66834405"/>
  </r>
  <r>
    <x v="90"/>
    <s v="BBC News"/>
    <n v="14500000"/>
    <n v="4598387043"/>
    <x v="4"/>
    <n v="18972"/>
    <x v="6"/>
    <x v="4"/>
    <n v="3200000"/>
    <n v="2006"/>
    <n v="4"/>
    <n v="8"/>
    <n v="66834405"/>
  </r>
  <r>
    <x v="91"/>
    <s v="BBC News Hindi"/>
    <n v="16500000"/>
    <n v="7043235131"/>
    <x v="4"/>
    <n v="21243"/>
    <x v="8"/>
    <x v="3"/>
    <n v="6300000"/>
    <n v="2009"/>
    <n v="9"/>
    <n v="22"/>
    <n v="1366417754"/>
  </r>
  <r>
    <x v="92"/>
    <s v="Beast Philanthropy"/>
    <n v="14800000"/>
    <n v="272678287"/>
    <x v="2"/>
    <n v="34"/>
    <x v="21"/>
    <x v="4"/>
    <n v="1800"/>
    <n v="2015"/>
    <n v="1"/>
    <n v="31"/>
    <n v="83132799"/>
  </r>
  <r>
    <x v="93"/>
    <s v="Beast Reacts"/>
    <n v="26700000"/>
    <n v="4388047013"/>
    <x v="2"/>
    <n v="241"/>
    <x v="1"/>
    <x v="1"/>
    <n v="13300000"/>
    <n v="2016"/>
    <n v="4"/>
    <n v="24"/>
    <n v="328239523"/>
  </r>
  <r>
    <x v="94"/>
    <s v="BeatboxJCOP"/>
    <n v="18000000"/>
    <n v="8716982055"/>
    <x v="8"/>
    <n v="748"/>
    <x v="0"/>
    <x v="0"/>
    <n v="66000000"/>
    <n v="2011"/>
    <n v="3"/>
    <n v="12"/>
    <s v="N/A"/>
  </r>
  <r>
    <x v="95"/>
    <s v="Bebefinn - Nursery Rhymes &amp; Kids Songs"/>
    <n v="12500000"/>
    <n v="4163639093"/>
    <x v="12"/>
    <n v="322"/>
    <x v="1"/>
    <x v="1"/>
    <n v="0"/>
    <n v="2022"/>
    <n v="3"/>
    <n v="30"/>
    <n v="328239523"/>
  </r>
  <r>
    <x v="96"/>
    <s v="Becky G"/>
    <n v="21300000"/>
    <n v="10644857969"/>
    <x v="3"/>
    <n v="78"/>
    <x v="1"/>
    <x v="1"/>
    <n v="5000000"/>
    <n v="2011"/>
    <n v="9"/>
    <n v="6"/>
    <n v="328239523"/>
  </r>
  <r>
    <x v="97"/>
    <s v="Ben Azelart"/>
    <n v="21900000"/>
    <n v="4454917643"/>
    <x v="8"/>
    <n v="301"/>
    <x v="1"/>
    <x v="1"/>
    <n v="8900000"/>
    <n v="2014"/>
    <n v="6"/>
    <n v="5"/>
    <n v="328239523"/>
  </r>
  <r>
    <x v="98"/>
    <s v="BETER Bï¿½ï¿½"/>
    <n v="32700000"/>
    <n v="19180039918"/>
    <x v="12"/>
    <n v="2738"/>
    <x v="22"/>
    <x v="4"/>
    <n v="70200000"/>
    <n v="2012"/>
    <n v="12"/>
    <n v="12"/>
    <n v="83429615"/>
  </r>
  <r>
    <x v="99"/>
    <s v="Beyoncï¿"/>
    <n v="26000000"/>
    <n v="17308961985"/>
    <x v="3"/>
    <n v="240"/>
    <x v="1"/>
    <x v="1"/>
    <n v="2700000"/>
    <n v="2005"/>
    <n v="11"/>
    <n v="7"/>
    <n v="328239523"/>
  </r>
  <r>
    <x v="100"/>
    <s v="Beyoncï¿½ï¿½"/>
    <n v="12800000"/>
    <n v="14185611472"/>
    <x v="3"/>
    <n v="168"/>
    <x v="1"/>
    <x v="1"/>
    <n v="4300000"/>
    <n v="2009"/>
    <n v="9"/>
    <n v="2"/>
    <n v="328239523"/>
  </r>
  <r>
    <x v="101"/>
    <s v="bharatzkitchen HINDI"/>
    <n v="12400000"/>
    <n v="2315226648"/>
    <x v="5"/>
    <n v="729"/>
    <x v="8"/>
    <x v="3"/>
    <n v="1500000"/>
    <n v="2016"/>
    <n v="8"/>
    <n v="10"/>
    <n v="1366417754"/>
  </r>
  <r>
    <x v="102"/>
    <s v="BIBO ï¿½ï¿½ï¿½ï¿½ï¿½ï¿"/>
    <n v="13200000"/>
    <n v="1148422000"/>
    <x v="0"/>
    <n v="192"/>
    <x v="23"/>
    <x v="3"/>
    <n v="420900"/>
    <n v="2019"/>
    <n v="1"/>
    <n v="10"/>
    <n v="144373535"/>
  </r>
  <r>
    <x v="103"/>
    <s v="BIBOï¿½ï¿½ï¿½ï¿½ï"/>
    <n v="12900000"/>
    <n v="3178222797"/>
    <x v="0"/>
    <n v="193"/>
    <x v="4"/>
    <x v="3"/>
    <n v="192100"/>
    <n v="2016"/>
    <n v="8"/>
    <n v="8"/>
    <n v="51709098"/>
  </r>
  <r>
    <x v="104"/>
    <s v="Bie The Ska"/>
    <n v="14100000"/>
    <n v="4627069704"/>
    <x v="0"/>
    <n v="1540"/>
    <x v="14"/>
    <x v="3"/>
    <n v="600100"/>
    <n v="2006"/>
    <n v="10"/>
    <n v="3"/>
    <n v="69625582"/>
  </r>
  <r>
    <x v="105"/>
    <s v="Big School"/>
    <n v="15000000"/>
    <n v="9996133066"/>
    <x v="6"/>
    <n v="68"/>
    <x v="0"/>
    <x v="0"/>
    <n v="0"/>
    <n v="2020"/>
    <n v="12"/>
    <n v="2"/>
    <s v="N/A"/>
  </r>
  <r>
    <x v="106"/>
    <s v="BIGBANG"/>
    <n v="15100000"/>
    <n v="7857371770"/>
    <x v="3"/>
    <n v="776"/>
    <x v="4"/>
    <x v="3"/>
    <n v="2000000"/>
    <n v="2005"/>
    <n v="10"/>
    <n v="10"/>
    <n v="51709098"/>
  </r>
  <r>
    <x v="107"/>
    <s v="Billie Eilish"/>
    <n v="47900000"/>
    <n v="13626331061"/>
    <x v="3"/>
    <n v="65"/>
    <x v="1"/>
    <x v="1"/>
    <n v="7000000"/>
    <n v="2013"/>
    <n v="2"/>
    <n v="6"/>
    <n v="328239523"/>
  </r>
  <r>
    <x v="108"/>
    <s v="BillionSurpriseToys  - Nursery Rhymes &amp; Cartï¿½"/>
    <n v="52200000"/>
    <n v="9877365274"/>
    <x v="10"/>
    <n v="847"/>
    <x v="1"/>
    <x v="1"/>
    <n v="12800000"/>
    <n v="2013"/>
    <n v="10"/>
    <n v="25"/>
    <n v="328239523"/>
  </r>
  <r>
    <x v="109"/>
    <s v="Bispo Bruno Leonardo"/>
    <n v="16900000"/>
    <n v="3523578665"/>
    <x v="13"/>
    <n v="4891"/>
    <x v="7"/>
    <x v="2"/>
    <n v="7200000"/>
    <n v="2016"/>
    <n v="4"/>
    <n v="10"/>
    <n v="212559417"/>
  </r>
  <r>
    <x v="110"/>
    <s v="Bizarrap"/>
    <n v="20600000"/>
    <n v="7657171980"/>
    <x v="1"/>
    <n v="83"/>
    <x v="16"/>
    <x v="2"/>
    <n v="9300000"/>
    <n v="2017"/>
    <n v="1"/>
    <n v="15"/>
    <n v="44938712"/>
  </r>
  <r>
    <x v="111"/>
    <s v="BLACKPINK"/>
    <n v="89800000"/>
    <n v="32144597566"/>
    <x v="2"/>
    <n v="543"/>
    <x v="4"/>
    <x v="3"/>
    <n v="23900000"/>
    <n v="2016"/>
    <n v="6"/>
    <n v="29"/>
    <n v="51709098"/>
  </r>
  <r>
    <x v="112"/>
    <s v="Blippi - Educational Videos for Kids"/>
    <n v="18100000"/>
    <n v="14857290259"/>
    <x v="10"/>
    <n v="707"/>
    <x v="1"/>
    <x v="1"/>
    <n v="8700000"/>
    <n v="2014"/>
    <n v="1"/>
    <n v="27"/>
    <n v="328239523"/>
  </r>
  <r>
    <x v="113"/>
    <s v="Blippi Espaï¿½ï"/>
    <n v="15500000"/>
    <n v="8984089026"/>
    <x v="2"/>
    <n v="598"/>
    <x v="2"/>
    <x v="2"/>
    <n v="4300000"/>
    <n v="2017"/>
    <n v="1"/>
    <n v="13"/>
    <n v="126014024"/>
  </r>
  <r>
    <x v="114"/>
    <s v="Blockbuster Movies"/>
    <n v="13400000"/>
    <n v="2650061211"/>
    <x v="0"/>
    <n v="0"/>
    <x v="8"/>
    <x v="3"/>
    <n v="0"/>
    <n v="2017"/>
    <n v="7"/>
    <n v="4"/>
    <n v="1366417754"/>
  </r>
  <r>
    <x v="115"/>
    <s v="Blossom"/>
    <n v="12700000"/>
    <n v="4733873025"/>
    <x v="5"/>
    <n v="812"/>
    <x v="1"/>
    <x v="1"/>
    <n v="2100000"/>
    <n v="2017"/>
    <n v="6"/>
    <n v="1"/>
    <n v="328239523"/>
  </r>
  <r>
    <x v="116"/>
    <s v="Bobby chourasiya"/>
    <n v="18200000"/>
    <n v="9937823152"/>
    <x v="2"/>
    <n v="442"/>
    <x v="0"/>
    <x v="0"/>
    <n v="22500000"/>
    <n v="2019"/>
    <n v="1"/>
    <n v="25"/>
    <s v="N/A"/>
  </r>
  <r>
    <x v="117"/>
    <s v="Bollywood Classics"/>
    <n v="16300000"/>
    <n v="7141825267"/>
    <x v="0"/>
    <n v="1444"/>
    <x v="8"/>
    <x v="3"/>
    <n v="7300000"/>
    <n v="2011"/>
    <n v="10"/>
    <n v="13"/>
    <n v="1366417754"/>
  </r>
  <r>
    <x v="118"/>
    <s v="Boram Tube ToysReview [ï¿½ï¿½ï¿½ï¿½ï¿½ï¿½ï¿½ï¿½ï"/>
    <n v="14500000"/>
    <n v="5014888374"/>
    <x v="2"/>
    <n v="618"/>
    <x v="4"/>
    <x v="3"/>
    <n v="238100"/>
    <n v="2016"/>
    <n v="5"/>
    <n v="18"/>
    <n v="51709098"/>
  </r>
  <r>
    <x v="119"/>
    <s v="Boram Tube Vlog [ï¿½ï¿½ï¿½ï¿½ï¿½ï¿½ï¿½ï¿½ï¿"/>
    <n v="30300000"/>
    <n v="13546549817"/>
    <x v="0"/>
    <n v="223"/>
    <x v="1"/>
    <x v="1"/>
    <n v="1100000"/>
    <n v="2012"/>
    <n v="2"/>
    <n v="21"/>
    <n v="328239523"/>
  </r>
  <r>
    <x v="120"/>
    <s v="Bounce Patrol - Kids Songs"/>
    <n v="27800000"/>
    <n v="21037851468"/>
    <x v="3"/>
    <n v="292"/>
    <x v="24"/>
    <x v="5"/>
    <n v="6100000"/>
    <n v="2013"/>
    <n v="1"/>
    <n v="1"/>
    <n v="25766605"/>
  </r>
  <r>
    <x v="121"/>
    <s v="Boyce Avenue"/>
    <n v="16300000"/>
    <n v="6578828147"/>
    <x v="3"/>
    <n v="490"/>
    <x v="1"/>
    <x v="1"/>
    <n v="1400000"/>
    <n v="2007"/>
    <n v="9"/>
    <n v="2"/>
    <n v="328239523"/>
  </r>
  <r>
    <x v="122"/>
    <s v="Brave Wilderness"/>
    <n v="20900000"/>
    <n v="4927879069"/>
    <x v="11"/>
    <n v="982"/>
    <x v="1"/>
    <x v="1"/>
    <n v="0"/>
    <n v="2014"/>
    <n v="9"/>
    <n v="8"/>
    <n v="328239523"/>
  </r>
  <r>
    <x v="123"/>
    <s v="Brawl Stars"/>
    <n v="13200000"/>
    <n v="2036408398"/>
    <x v="6"/>
    <n v="172"/>
    <x v="25"/>
    <x v="4"/>
    <n v="977700"/>
    <n v="2017"/>
    <n v="4"/>
    <n v="28"/>
    <n v="5520314"/>
  </r>
  <r>
    <x v="124"/>
    <s v="Brent Rivera"/>
    <n v="27000000"/>
    <n v="6570935979"/>
    <x v="1"/>
    <n v="554"/>
    <x v="1"/>
    <x v="1"/>
    <n v="6900000"/>
    <n v="2009"/>
    <n v="8"/>
    <n v="1"/>
    <n v="328239523"/>
  </r>
  <r>
    <x v="125"/>
    <s v="brightside"/>
    <n v="44500000"/>
    <n v="10708531817"/>
    <x v="5"/>
    <n v="0"/>
    <x v="0"/>
    <x v="0"/>
    <n v="0"/>
    <n v="2005"/>
    <n v="11"/>
    <n v="18"/>
    <s v="N/A"/>
  </r>
  <r>
    <x v="126"/>
    <s v="Britain's Got Talent"/>
    <n v="19700000"/>
    <n v="11323617496"/>
    <x v="0"/>
    <n v="4225"/>
    <x v="6"/>
    <x v="4"/>
    <n v="2600000"/>
    <n v="2008"/>
    <n v="4"/>
    <n v="12"/>
    <n v="66834405"/>
  </r>
  <r>
    <x v="127"/>
    <s v="Bruno Mars"/>
    <n v="36700000"/>
    <n v="19378155425"/>
    <x v="3"/>
    <n v="99"/>
    <x v="1"/>
    <x v="1"/>
    <n v="8400000"/>
    <n v="2006"/>
    <n v="9"/>
    <n v="19"/>
    <n v="328239523"/>
  </r>
  <r>
    <x v="128"/>
    <s v="BUDI01 GAMING"/>
    <n v="13500000"/>
    <n v="1181292450"/>
    <x v="6"/>
    <n v="319"/>
    <x v="13"/>
    <x v="3"/>
    <n v="644900"/>
    <n v="2019"/>
    <n v="7"/>
    <n v="19"/>
    <n v="270203917"/>
  </r>
  <r>
    <x v="129"/>
    <s v="BuzzFeedVideo"/>
    <n v="20100000"/>
    <n v="17913237851"/>
    <x v="2"/>
    <n v="7737"/>
    <x v="1"/>
    <x v="1"/>
    <n v="437400"/>
    <n v="2011"/>
    <n v="8"/>
    <n v="10"/>
    <n v="328239523"/>
  </r>
  <r>
    <x v="130"/>
    <s v="Caeli YT"/>
    <n v="15600000"/>
    <n v="1511794214"/>
    <x v="0"/>
    <n v="483"/>
    <x v="2"/>
    <x v="2"/>
    <n v="0"/>
    <n v="2010"/>
    <n v="9"/>
    <n v="22"/>
    <n v="126014024"/>
  </r>
  <r>
    <x v="131"/>
    <s v="Calon Sarjana"/>
    <n v="13000000"/>
    <n v="10664585"/>
    <x v="0"/>
    <n v="29"/>
    <x v="13"/>
    <x v="3"/>
    <n v="0"/>
    <n v="2016"/>
    <n v="1"/>
    <n v="20"/>
    <n v="270203917"/>
  </r>
  <r>
    <x v="132"/>
    <s v="Calvin Harris"/>
    <n v="19000000"/>
    <n v="16014044618"/>
    <x v="3"/>
    <n v="79"/>
    <x v="6"/>
    <x v="4"/>
    <n v="4900000"/>
    <n v="2007"/>
    <n v="2"/>
    <n v="11"/>
    <n v="66834405"/>
  </r>
  <r>
    <x v="133"/>
    <s v="Camila Cabello"/>
    <n v="16300000"/>
    <n v="6613422635"/>
    <x v="3"/>
    <n v="80"/>
    <x v="1"/>
    <x v="1"/>
    <n v="2000000"/>
    <n v="2015"/>
    <n v="8"/>
    <n v="11"/>
    <n v="328239523"/>
  </r>
  <r>
    <x v="134"/>
    <s v="Camila Loures"/>
    <n v="14700000"/>
    <n v="4684983333"/>
    <x v="3"/>
    <n v="3978"/>
    <x v="7"/>
    <x v="2"/>
    <n v="2000000"/>
    <n v="2014"/>
    <n v="5"/>
    <n v="27"/>
    <n v="212559417"/>
  </r>
  <r>
    <x v="135"/>
    <s v="Camilo"/>
    <n v="15900000"/>
    <n v="6802382479"/>
    <x v="3"/>
    <n v="132"/>
    <x v="17"/>
    <x v="2"/>
    <n v="2900000"/>
    <n v="2010"/>
    <n v="7"/>
    <n v="29"/>
    <n v="50339443"/>
  </r>
  <r>
    <x v="136"/>
    <s v="Canal Canalha"/>
    <n v="20800000"/>
    <n v="1870608170"/>
    <x v="1"/>
    <n v="288"/>
    <x v="7"/>
    <x v="2"/>
    <n v="1100000"/>
    <n v="2011"/>
    <n v="4"/>
    <n v="8"/>
    <n v="212559417"/>
  </r>
  <r>
    <x v="137"/>
    <s v="Canal IN"/>
    <n v="16100000"/>
    <n v="2687443643"/>
    <x v="2"/>
    <n v="723"/>
    <x v="7"/>
    <x v="2"/>
    <n v="662500"/>
    <n v="2017"/>
    <n v="7"/>
    <n v="21"/>
    <n v="212559417"/>
  </r>
  <r>
    <x v="138"/>
    <s v="Canal KondZilla"/>
    <n v="66500000"/>
    <n v="36775585925"/>
    <x v="3"/>
    <n v="2572"/>
    <x v="7"/>
    <x v="2"/>
    <n v="0"/>
    <n v="2012"/>
    <n v="3"/>
    <n v="21"/>
    <n v="212559417"/>
  </r>
  <r>
    <x v="139"/>
    <s v="Canal Nostalgia TV"/>
    <n v="14700000"/>
    <n v="1506796393"/>
    <x v="0"/>
    <n v="554"/>
    <x v="11"/>
    <x v="4"/>
    <n v="10900"/>
    <n v="2010"/>
    <n v="2"/>
    <n v="19"/>
    <n v="47076781"/>
  </r>
  <r>
    <x v="140"/>
    <s v="Cardi B"/>
    <n v="18800000"/>
    <n v="7634430188"/>
    <x v="2"/>
    <n v="9"/>
    <x v="0"/>
    <x v="0"/>
    <n v="0.34"/>
    <n v="2017"/>
    <n v="8"/>
    <n v="15"/>
    <s v="N/A"/>
  </r>
  <r>
    <x v="141"/>
    <s v="CarryMinati"/>
    <n v="39200000"/>
    <n v="3294013141"/>
    <x v="1"/>
    <n v="186"/>
    <x v="8"/>
    <x v="3"/>
    <n v="3800000"/>
    <n v="2014"/>
    <n v="10"/>
    <n v="30"/>
    <n v="1366417754"/>
  </r>
  <r>
    <x v="142"/>
    <s v="CaseyNeistat"/>
    <n v="12600000"/>
    <n v="3152402405"/>
    <x v="2"/>
    <n v="1101"/>
    <x v="1"/>
    <x v="1"/>
    <n v="285700"/>
    <n v="2010"/>
    <n v="2"/>
    <n v="15"/>
    <n v="328239523"/>
  </r>
  <r>
    <x v="143"/>
    <s v="Caylus"/>
    <n v="12400000"/>
    <n v="4779139505"/>
    <x v="10"/>
    <n v="1340"/>
    <x v="1"/>
    <x v="1"/>
    <n v="8500000"/>
    <n v="2016"/>
    <n v="4"/>
    <n v="6"/>
    <n v="328239523"/>
  </r>
  <r>
    <x v="144"/>
    <s v="Ch3Thailand"/>
    <n v="33500000"/>
    <n v="29611914495"/>
    <x v="0"/>
    <n v="96214"/>
    <x v="14"/>
    <x v="3"/>
    <n v="0"/>
    <n v="2014"/>
    <n v="5"/>
    <n v="29"/>
    <n v="69625582"/>
  </r>
  <r>
    <x v="145"/>
    <s v="Ch7HD"/>
    <n v="16400000"/>
    <n v="9463244435"/>
    <x v="0"/>
    <n v="56203"/>
    <x v="14"/>
    <x v="3"/>
    <n v="4200000"/>
    <n v="2010"/>
    <n v="5"/>
    <n v="17"/>
    <n v="69625582"/>
  </r>
  <r>
    <x v="146"/>
    <s v="Chad Wild Clay"/>
    <n v="14700000"/>
    <n v="6751985988"/>
    <x v="1"/>
    <n v="698"/>
    <x v="1"/>
    <x v="1"/>
    <n v="1700000"/>
    <n v="2006"/>
    <n v="3"/>
    <n v="26"/>
    <n v="328239523"/>
  </r>
  <r>
    <x v="147"/>
    <s v="Chapitosiki"/>
    <n v="15100000"/>
    <n v="13897932103"/>
    <x v="0"/>
    <n v="2717"/>
    <x v="23"/>
    <x v="3"/>
    <n v="34200000"/>
    <n v="2020"/>
    <n v="1"/>
    <n v="24"/>
    <n v="144373535"/>
  </r>
  <r>
    <x v="148"/>
    <s v="Charlie Puth"/>
    <n v="22000000"/>
    <n v="9924807127"/>
    <x v="3"/>
    <n v="157"/>
    <x v="1"/>
    <x v="1"/>
    <n v="5400000"/>
    <n v="2009"/>
    <n v="9"/>
    <n v="9"/>
    <n v="328239523"/>
  </r>
  <r>
    <x v="149"/>
    <s v="Chetan Monga Vlogs"/>
    <n v="15000000"/>
    <n v="9924103188"/>
    <x v="2"/>
    <n v="899"/>
    <x v="8"/>
    <x v="3"/>
    <n v="5500000"/>
    <n v="2014"/>
    <n v="8"/>
    <n v="17"/>
    <n v="1366417754"/>
  </r>
  <r>
    <x v="150"/>
    <s v="Chloe Ting"/>
    <n v="24700000"/>
    <n v="2994726412"/>
    <x v="5"/>
    <n v="412"/>
    <x v="24"/>
    <x v="5"/>
    <n v="1100000"/>
    <n v="2011"/>
    <n v="8"/>
    <n v="17"/>
    <n v="25766605"/>
  </r>
  <r>
    <x v="151"/>
    <s v="ChuChu TV Nursery Rhymes &amp; Kids Songs"/>
    <n v="65900000"/>
    <n v="45757850229"/>
    <x v="10"/>
    <n v="633"/>
    <x v="8"/>
    <x v="3"/>
    <n v="20200000"/>
    <n v="2013"/>
    <n v="2"/>
    <n v="9"/>
    <n v="1366417754"/>
  </r>
  <r>
    <x v="152"/>
    <s v="CKM"/>
    <n v="12500000"/>
    <n v="4465772496"/>
    <x v="1"/>
    <n v="117"/>
    <x v="8"/>
    <x v="3"/>
    <n v="630800"/>
    <n v="2018"/>
    <n v="2"/>
    <n v="20"/>
    <n v="1366417754"/>
  </r>
  <r>
    <x v="153"/>
    <s v="cKn"/>
    <n v="18700000"/>
    <n v="12295637162"/>
    <x v="0"/>
    <n v="16"/>
    <x v="11"/>
    <x v="4"/>
    <n v="5"/>
    <n v="2005"/>
    <n v="9"/>
    <n v="26"/>
    <n v="47076781"/>
  </r>
  <r>
    <x v="154"/>
    <s v="Clash of Clans"/>
    <n v="19600000"/>
    <n v="3961318438"/>
    <x v="6"/>
    <n v="674"/>
    <x v="1"/>
    <x v="1"/>
    <n v="1100000"/>
    <n v="2013"/>
    <n v="1"/>
    <n v="31"/>
    <n v="328239523"/>
  </r>
  <r>
    <x v="155"/>
    <s v="Claudio"/>
    <n v="21500000"/>
    <n v="22065582014"/>
    <x v="2"/>
    <n v="6"/>
    <x v="0"/>
    <x v="0"/>
    <n v="0.14000000000000001"/>
    <n v="2006"/>
    <n v="4"/>
    <n v="2"/>
    <s v="N/A"/>
  </r>
  <r>
    <x v="156"/>
    <s v="CNN"/>
    <n v="15200000"/>
    <n v="14198154095"/>
    <x v="4"/>
    <n v="160405"/>
    <x v="1"/>
    <x v="1"/>
    <n v="9000000"/>
    <n v="2005"/>
    <n v="10"/>
    <n v="2"/>
    <n v="328239523"/>
  </r>
  <r>
    <x v="157"/>
    <s v="Cocomelon - Nursery Rhymes"/>
    <n v="162000000"/>
    <n v="164000000000"/>
    <x v="10"/>
    <n v="966"/>
    <x v="1"/>
    <x v="1"/>
    <n v="94800000"/>
    <n v="2006"/>
    <n v="9"/>
    <n v="1"/>
    <n v="328239523"/>
  </r>
  <r>
    <x v="158"/>
    <s v="Codiscos"/>
    <n v="13400000"/>
    <n v="11789678655"/>
    <x v="3"/>
    <n v="7356"/>
    <x v="17"/>
    <x v="2"/>
    <n v="11000000"/>
    <n v="2007"/>
    <n v="2"/>
    <n v="8"/>
    <n v="50339443"/>
  </r>
  <r>
    <x v="159"/>
    <s v="Coldplay"/>
    <n v="25300000"/>
    <n v="17331663193"/>
    <x v="3"/>
    <n v="398"/>
    <x v="6"/>
    <x v="4"/>
    <n v="9500000"/>
    <n v="2010"/>
    <n v="1"/>
    <n v="3"/>
    <n v="66834405"/>
  </r>
  <r>
    <x v="160"/>
    <s v="colinfurze"/>
    <n v="12500000"/>
    <n v="1612094871"/>
    <x v="0"/>
    <n v="385"/>
    <x v="6"/>
    <x v="4"/>
    <n v="407200"/>
    <n v="2006"/>
    <n v="11"/>
    <n v="15"/>
    <n v="66834405"/>
  </r>
  <r>
    <x v="161"/>
    <s v="CollegeHumor"/>
    <n v="14700000"/>
    <n v="7255848125"/>
    <x v="1"/>
    <n v="4340"/>
    <x v="1"/>
    <x v="1"/>
    <n v="0"/>
    <n v="2006"/>
    <n v="10"/>
    <n v="9"/>
    <n v="328239523"/>
  </r>
  <r>
    <x v="162"/>
    <s v="Collins Key"/>
    <n v="23900000"/>
    <n v="6582932625"/>
    <x v="0"/>
    <n v="257"/>
    <x v="1"/>
    <x v="1"/>
    <n v="520900"/>
    <n v="2011"/>
    <n v="8"/>
    <n v="9"/>
    <n v="328239523"/>
  </r>
  <r>
    <x v="163"/>
    <s v="Colors Rishtey"/>
    <n v="14700000"/>
    <n v="12362331529"/>
    <x v="0"/>
    <n v="23490"/>
    <x v="8"/>
    <x v="3"/>
    <n v="16700000"/>
    <n v="2013"/>
    <n v="11"/>
    <n v="28"/>
    <n v="1366417754"/>
  </r>
  <r>
    <x v="164"/>
    <s v="Colors TV"/>
    <n v="64600000"/>
    <n v="61510906457"/>
    <x v="14"/>
    <n v="112915"/>
    <x v="8"/>
    <x v="3"/>
    <n v="57000000"/>
    <n v="2008"/>
    <n v="6"/>
    <n v="13"/>
    <n v="1366417754"/>
  </r>
  <r>
    <x v="165"/>
    <s v="Conor Maynard"/>
    <n v="13500000"/>
    <n v="2750993392"/>
    <x v="3"/>
    <n v="321"/>
    <x v="1"/>
    <x v="1"/>
    <n v="517800"/>
    <n v="2006"/>
    <n v="5"/>
    <n v="19"/>
    <n v="328239523"/>
  </r>
  <r>
    <x v="166"/>
    <s v="CookieSwirlC"/>
    <n v="20100000"/>
    <n v="23353115850"/>
    <x v="0"/>
    <n v="3774"/>
    <x v="1"/>
    <x v="1"/>
    <n v="10600000"/>
    <n v="2013"/>
    <n v="11"/>
    <n v="3"/>
    <n v="328239523"/>
  </r>
  <r>
    <x v="167"/>
    <s v="CookingShooking Hindi"/>
    <n v="13200000"/>
    <n v="1758603195"/>
    <x v="2"/>
    <n v="393"/>
    <x v="8"/>
    <x v="3"/>
    <n v="551500"/>
    <n v="2017"/>
    <n v="4"/>
    <n v="4"/>
    <n v="1366417754"/>
  </r>
  <r>
    <x v="168"/>
    <s v="CoryxKenshin"/>
    <n v="16700000"/>
    <n v="7102965621"/>
    <x v="6"/>
    <n v="1693"/>
    <x v="1"/>
    <x v="1"/>
    <n v="5000000"/>
    <n v="2009"/>
    <n v="4"/>
    <n v="27"/>
    <n v="328239523"/>
  </r>
  <r>
    <x v="169"/>
    <s v="Crafty Panda"/>
    <n v="19800000"/>
    <n v="5759442450"/>
    <x v="2"/>
    <n v="760"/>
    <x v="1"/>
    <x v="1"/>
    <n v="294600"/>
    <n v="2017"/>
    <n v="12"/>
    <n v="3"/>
    <n v="328239523"/>
  </r>
  <r>
    <x v="170"/>
    <s v="CrashCourse"/>
    <n v="14800000"/>
    <n v="1833519700"/>
    <x v="10"/>
    <n v="1481"/>
    <x v="1"/>
    <x v="1"/>
    <n v="344500"/>
    <n v="2006"/>
    <n v="5"/>
    <n v="20"/>
    <n v="328239523"/>
  </r>
  <r>
    <x v="171"/>
    <s v="Crazy XYZ"/>
    <n v="27300000"/>
    <n v="7705492350"/>
    <x v="0"/>
    <n v="1259"/>
    <x v="8"/>
    <x v="3"/>
    <n v="4900000"/>
    <n v="2017"/>
    <n v="9"/>
    <n v="10"/>
    <n v="1366417754"/>
  </r>
  <r>
    <x v="172"/>
    <s v="CrazyFrog"/>
    <n v="14200000"/>
    <n v="7946322061"/>
    <x v="3"/>
    <n v="0"/>
    <x v="0"/>
    <x v="0"/>
    <n v="0"/>
    <n v="2005"/>
    <n v="10"/>
    <n v="2"/>
    <s v="N/A"/>
  </r>
  <r>
    <x v="173"/>
    <s v="Crescendo com Luluca"/>
    <n v="14000000"/>
    <n v="5094050461"/>
    <x v="0"/>
    <n v="1307"/>
    <x v="7"/>
    <x v="2"/>
    <n v="3300000"/>
    <n v="2015"/>
    <n v="8"/>
    <n v="30"/>
    <n v="212559417"/>
  </r>
  <r>
    <x v="174"/>
    <s v="CVS 3D Rhymes &amp; Kids Songs"/>
    <n v="33400000"/>
    <n v="20269857567"/>
    <x v="10"/>
    <n v="338"/>
    <x v="8"/>
    <x v="3"/>
    <n v="6500000"/>
    <n v="2008"/>
    <n v="8"/>
    <n v="26"/>
    <n v="1366417754"/>
  </r>
  <r>
    <x v="175"/>
    <s v="Cyprien"/>
    <n v="14400000"/>
    <n v="3086254545"/>
    <x v="1"/>
    <n v="222"/>
    <x v="26"/>
    <x v="4"/>
    <n v="548000"/>
    <n v="2007"/>
    <n v="2"/>
    <n v="25"/>
    <n v="67059887"/>
  </r>
  <r>
    <x v="176"/>
    <s v="D Billions"/>
    <n v="26200000"/>
    <n v="31977463002"/>
    <x v="12"/>
    <n v="775"/>
    <x v="1"/>
    <x v="1"/>
    <n v="23400000"/>
    <n v="2019"/>
    <n v="7"/>
    <n v="27"/>
    <n v="328239523"/>
  </r>
  <r>
    <x v="177"/>
    <s v="Daddy Yankee"/>
    <n v="38000000"/>
    <n v="22731415608"/>
    <x v="3"/>
    <n v="505"/>
    <x v="1"/>
    <x v="1"/>
    <n v="9900000"/>
    <n v="2011"/>
    <n v="5"/>
    <n v="16"/>
    <n v="328239523"/>
  </r>
  <r>
    <x v="178"/>
    <s v="Daftar Populer"/>
    <n v="15100000"/>
    <n v="2143140898"/>
    <x v="10"/>
    <n v="3810"/>
    <x v="13"/>
    <x v="3"/>
    <n v="827100"/>
    <n v="2017"/>
    <n v="1"/>
    <n v="16"/>
    <n v="270203917"/>
  </r>
  <r>
    <x v="179"/>
    <s v="DaFuq!?Boom!"/>
    <n v="19600000"/>
    <n v="7906181776"/>
    <x v="8"/>
    <n v="214"/>
    <x v="1"/>
    <x v="1"/>
    <n v="110600000"/>
    <n v="2016"/>
    <n v="6"/>
    <n v="6"/>
    <n v="328239523"/>
  </r>
  <r>
    <x v="180"/>
    <s v="Daily Dose Of Internet"/>
    <n v="16100000"/>
    <n v="6872702790"/>
    <x v="0"/>
    <n v="671"/>
    <x v="1"/>
    <x v="1"/>
    <n v="19200000"/>
    <n v="2015"/>
    <n v="7"/>
    <n v="15"/>
    <n v="328239523"/>
  </r>
  <r>
    <x v="181"/>
    <s v="DALLMYD"/>
    <n v="13600000"/>
    <n v="1948925559"/>
    <x v="15"/>
    <n v="412"/>
    <x v="1"/>
    <x v="1"/>
    <n v="1500000"/>
    <n v="2011"/>
    <n v="2"/>
    <n v="1"/>
    <n v="328239523"/>
  </r>
  <r>
    <x v="182"/>
    <s v="Dan Rhodes"/>
    <n v="24800000"/>
    <n v="17387583720"/>
    <x v="0"/>
    <n v="1644"/>
    <x v="6"/>
    <x v="4"/>
    <n v="15900000"/>
    <n v="2015"/>
    <n v="10"/>
    <n v="30"/>
    <n v="66834405"/>
  </r>
  <r>
    <x v="183"/>
    <s v="Dangal TV Channel"/>
    <n v="21300000"/>
    <n v="12895427184"/>
    <x v="0"/>
    <n v="20225"/>
    <x v="8"/>
    <x v="3"/>
    <n v="26900000"/>
    <n v="2017"/>
    <n v="8"/>
    <n v="2"/>
    <n v="1366417754"/>
  </r>
  <r>
    <x v="184"/>
    <s v="DangMattSmith"/>
    <n v="14200000"/>
    <n v="3317805543"/>
    <x v="0"/>
    <n v="1724"/>
    <x v="1"/>
    <x v="1"/>
    <n v="619300"/>
    <n v="2011"/>
    <n v="8"/>
    <n v="18"/>
    <n v="328239523"/>
  </r>
  <r>
    <x v="185"/>
    <s v="Daniel LaBelle"/>
    <n v="24100000"/>
    <n v="12916159065"/>
    <x v="1"/>
    <n v="287"/>
    <x v="0"/>
    <x v="0"/>
    <n v="19100000"/>
    <n v="2009"/>
    <n v="3"/>
    <n v="11"/>
    <s v="N/A"/>
  </r>
  <r>
    <x v="186"/>
    <s v="DaniRep | +6 Vï¿½ï¿½ï¿½ï¿½ï¿½ï¿½ï¿½ï¿½ï¿½ï¿½ï"/>
    <n v="12400000"/>
    <n v="6933660906"/>
    <x v="6"/>
    <n v="12419"/>
    <x v="11"/>
    <x v="4"/>
    <n v="4000000"/>
    <n v="2012"/>
    <n v="10"/>
    <n v="29"/>
    <n v="47076781"/>
  </r>
  <r>
    <x v="187"/>
    <s v="Danny Fitt"/>
    <n v="16900000"/>
    <n v="9544277833"/>
    <x v="2"/>
    <n v="2337"/>
    <x v="1"/>
    <x v="1"/>
    <n v="13200000"/>
    <n v="2016"/>
    <n v="12"/>
    <n v="31"/>
    <n v="328239523"/>
  </r>
  <r>
    <x v="188"/>
    <s v="Dan-Sa / Daniel Saboya"/>
    <n v="18500000"/>
    <n v="2908120896"/>
    <x v="3"/>
    <n v="1329"/>
    <x v="7"/>
    <x v="2"/>
    <n v="0"/>
    <n v="2007"/>
    <n v="9"/>
    <n v="22"/>
    <n v="212559417"/>
  </r>
  <r>
    <x v="189"/>
    <s v="DanTDM"/>
    <n v="27400000"/>
    <n v="19417887510"/>
    <x v="6"/>
    <n v="3664"/>
    <x v="6"/>
    <x v="4"/>
    <n v="3800000"/>
    <n v="2012"/>
    <n v="7"/>
    <n v="14"/>
    <n v="66834405"/>
  </r>
  <r>
    <x v="190"/>
    <s v="Darkar Company Studios"/>
    <n v="13900000"/>
    <n v="2244318380"/>
    <x v="8"/>
    <n v="183"/>
    <x v="1"/>
    <x v="1"/>
    <n v="220700"/>
    <n v="2009"/>
    <n v="2"/>
    <n v="15"/>
    <n v="328239523"/>
  </r>
  <r>
    <x v="191"/>
    <s v="Dave and Ava - Nursery Rhymes and Baby Songs"/>
    <n v="15300000"/>
    <n v="10714145606"/>
    <x v="10"/>
    <n v="851"/>
    <x v="1"/>
    <x v="1"/>
    <n v="3700000"/>
    <n v="2014"/>
    <n v="12"/>
    <n v="4"/>
    <n v="328239523"/>
  </r>
  <r>
    <x v="192"/>
    <s v="David Dobrik"/>
    <n v="17900000"/>
    <n v="7176572299"/>
    <x v="2"/>
    <n v="536"/>
    <x v="1"/>
    <x v="1"/>
    <n v="415200"/>
    <n v="2014"/>
    <n v="12"/>
    <n v="19"/>
    <n v="328239523"/>
  </r>
  <r>
    <x v="193"/>
    <s v="David Guetta"/>
    <n v="25700000"/>
    <n v="17793809548"/>
    <x v="3"/>
    <n v="749"/>
    <x v="1"/>
    <x v="1"/>
    <n v="7900000"/>
    <n v="2009"/>
    <n v="12"/>
    <n v="11"/>
    <n v="328239523"/>
  </r>
  <r>
    <x v="194"/>
    <s v="Davie504"/>
    <n v="13000000"/>
    <n v="2683297849"/>
    <x v="0"/>
    <n v="838"/>
    <x v="27"/>
    <x v="4"/>
    <n v="1400000"/>
    <n v="2011"/>
    <n v="5"/>
    <n v="18"/>
    <n v="60297396"/>
  </r>
  <r>
    <x v="195"/>
    <s v="de toxomoroxo"/>
    <n v="16800000"/>
    <n v="2315962318"/>
    <x v="0"/>
    <n v="1"/>
    <x v="0"/>
    <x v="0"/>
    <n v="0"/>
    <n v="2016"/>
    <n v="4"/>
    <n v="30"/>
    <s v="N/A"/>
  </r>
  <r>
    <x v="196"/>
    <s v="Dear Sir"/>
    <n v="15800000"/>
    <n v="1349288771"/>
    <x v="10"/>
    <n v="633"/>
    <x v="8"/>
    <x v="3"/>
    <n v="1200000"/>
    <n v="2016"/>
    <n v="12"/>
    <n v="13"/>
    <n v="1366417754"/>
  </r>
  <r>
    <x v="197"/>
    <s v="deddycorbuzier"/>
    <n v="20600000"/>
    <n v="4956090094"/>
    <x v="0"/>
    <n v="15"/>
    <x v="13"/>
    <x v="3"/>
    <n v="4"/>
    <n v="2007"/>
    <n v="7"/>
    <n v="23"/>
    <n v="270203917"/>
  </r>
  <r>
    <x v="198"/>
    <s v="dednahype"/>
    <n v="20200000"/>
    <n v="20919403720"/>
    <x v="1"/>
    <n v="1935"/>
    <x v="28"/>
    <x v="4"/>
    <n v="59800000"/>
    <n v="2020"/>
    <n v="3"/>
    <n v="20"/>
    <n v="1912789"/>
  </r>
  <r>
    <x v="199"/>
    <s v="deepesh zo"/>
    <n v="16800000"/>
    <n v="7206462713"/>
    <x v="2"/>
    <n v="41"/>
    <x v="0"/>
    <x v="0"/>
    <n v="0.05"/>
    <n v="2021"/>
    <n v="9"/>
    <n v="24"/>
    <s v="N/A"/>
  </r>
  <r>
    <x v="200"/>
    <s v="DeGoBooM"/>
    <n v="17600000"/>
    <n v="6306204566"/>
    <x v="6"/>
    <n v="4702"/>
    <x v="29"/>
    <x v="2"/>
    <n v="4800000"/>
    <n v="2014"/>
    <n v="2"/>
    <n v="1"/>
    <n v="18952038"/>
  </r>
  <r>
    <x v="201"/>
    <s v="Demi Lovato"/>
    <n v="17900000"/>
    <n v="6888074944"/>
    <x v="3"/>
    <n v="314"/>
    <x v="1"/>
    <x v="1"/>
    <n v="1400000"/>
    <n v="2008"/>
    <n v="1"/>
    <n v="30"/>
    <n v="328239523"/>
  </r>
  <r>
    <x v="202"/>
    <s v="Dental Digest"/>
    <n v="13900000"/>
    <n v="7450345720"/>
    <x v="2"/>
    <n v="324"/>
    <x v="0"/>
    <x v="0"/>
    <n v="11100000"/>
    <n v="2020"/>
    <n v="8"/>
    <n v="12"/>
    <s v="N/A"/>
  </r>
  <r>
    <x v="203"/>
    <s v="Desi gamers"/>
    <n v="13700000"/>
    <n v="2135195239"/>
    <x v="6"/>
    <n v="1"/>
    <x v="0"/>
    <x v="0"/>
    <n v="0.24"/>
    <n v="2020"/>
    <n v="4"/>
    <n v="14"/>
    <s v="N/A"/>
  </r>
  <r>
    <x v="204"/>
    <s v="Desi music factory"/>
    <n v="33700000"/>
    <n v="10189027455"/>
    <x v="3"/>
    <n v="2"/>
    <x v="0"/>
    <x v="0"/>
    <n v="0"/>
    <n v="2018"/>
    <n v="4"/>
    <n v="10"/>
    <s v="N/A"/>
  </r>
  <r>
    <x v="205"/>
    <s v="DEV Ke Facts"/>
    <n v="12400000"/>
    <n v="1971226335"/>
    <x v="12"/>
    <n v="218"/>
    <x v="8"/>
    <x v="3"/>
    <n v="13100000"/>
    <n v="2012"/>
    <n v="9"/>
    <n v="29"/>
    <n v="1366417754"/>
  </r>
  <r>
    <x v="206"/>
    <s v="Diana and Roma ARA"/>
    <n v="24100000"/>
    <n v="11041261296"/>
    <x v="12"/>
    <n v="590"/>
    <x v="1"/>
    <x v="1"/>
    <n v="3200000"/>
    <n v="2019"/>
    <n v="2"/>
    <n v="1"/>
    <n v="328239523"/>
  </r>
  <r>
    <x v="207"/>
    <s v="Diana and Roma EN"/>
    <n v="23900000"/>
    <n v="7213499085"/>
    <x v="2"/>
    <n v="511"/>
    <x v="1"/>
    <x v="1"/>
    <n v="8500000"/>
    <n v="2011"/>
    <n v="12"/>
    <n v="22"/>
    <n v="328239523"/>
  </r>
  <r>
    <x v="208"/>
    <s v="Diana and Roma ESP"/>
    <n v="30700000"/>
    <n v="12355992466"/>
    <x v="12"/>
    <n v="578"/>
    <x v="1"/>
    <x v="1"/>
    <n v="4900000"/>
    <n v="2016"/>
    <n v="11"/>
    <n v="27"/>
    <n v="328239523"/>
  </r>
  <r>
    <x v="209"/>
    <s v="Diana and Roma IND"/>
    <n v="12700000"/>
    <n v="5567832210"/>
    <x v="12"/>
    <n v="534"/>
    <x v="1"/>
    <x v="1"/>
    <n v="2200000"/>
    <n v="2019"/>
    <n v="11"/>
    <n v="7"/>
    <n v="328239523"/>
  </r>
  <r>
    <x v="210"/>
    <s v="Disney Junior"/>
    <n v="16100000"/>
    <n v="15812009296"/>
    <x v="0"/>
    <n v="4045"/>
    <x v="1"/>
    <x v="1"/>
    <n v="12800000"/>
    <n v="2008"/>
    <n v="4"/>
    <n v="22"/>
    <n v="328239523"/>
  </r>
  <r>
    <x v="211"/>
    <s v="DisneyChannelUK"/>
    <n v="12400000"/>
    <n v="12607488647"/>
    <x v="3"/>
    <n v="4422"/>
    <x v="6"/>
    <x v="4"/>
    <n v="1700000"/>
    <n v="2007"/>
    <n v="12"/>
    <n v="6"/>
    <n v="66834405"/>
  </r>
  <r>
    <x v="212"/>
    <s v="disneylatinoamerica"/>
    <n v="21900000"/>
    <n v="20657571751"/>
    <x v="0"/>
    <n v="116"/>
    <x v="2"/>
    <x v="2"/>
    <n v="227"/>
    <n v="2008"/>
    <n v="4"/>
    <n v="7"/>
    <n v="126014024"/>
  </r>
  <r>
    <x v="213"/>
    <s v="DisneyMusicVEVO"/>
    <n v="32700000"/>
    <n v="28516250629"/>
    <x v="3"/>
    <n v="2068"/>
    <x v="1"/>
    <x v="1"/>
    <n v="15800000"/>
    <n v="2010"/>
    <n v="5"/>
    <n v="20"/>
    <n v="328239523"/>
  </r>
  <r>
    <x v="214"/>
    <s v="DJ Snake"/>
    <n v="24100000"/>
    <n v="8425505919"/>
    <x v="3"/>
    <n v="252"/>
    <x v="1"/>
    <x v="1"/>
    <n v="3000000"/>
    <n v="2008"/>
    <n v="9"/>
    <n v="24"/>
    <n v="328239523"/>
  </r>
  <r>
    <x v="215"/>
    <s v="DjKhaled"/>
    <n v="13100000"/>
    <n v="6637820731"/>
    <x v="3"/>
    <n v="12"/>
    <x v="30"/>
    <x v="0"/>
    <n v="18"/>
    <n v="2006"/>
    <n v="5"/>
    <n v="27"/>
    <n v="202506"/>
  </r>
  <r>
    <x v="216"/>
    <s v="DLS News"/>
    <n v="19400000"/>
    <n v="2255542592"/>
    <x v="4"/>
    <n v="4750"/>
    <x v="8"/>
    <x v="3"/>
    <n v="1500000"/>
    <n v="2017"/>
    <n v="7"/>
    <n v="5"/>
    <n v="1366417754"/>
  </r>
  <r>
    <x v="217"/>
    <s v="DM - Desi Melodies"/>
    <n v="15700000"/>
    <n v="5914071870"/>
    <x v="3"/>
    <n v="79"/>
    <x v="8"/>
    <x v="3"/>
    <n v="6800000"/>
    <n v="2017"/>
    <n v="7"/>
    <n v="8"/>
    <n v="1366417754"/>
  </r>
  <r>
    <x v="218"/>
    <s v="Doc Tops"/>
    <n v="14600000"/>
    <n v="2613197447"/>
    <x v="0"/>
    <n v="490"/>
    <x v="31"/>
    <x v="2"/>
    <n v="787600"/>
    <n v="2014"/>
    <n v="12"/>
    <n v="29"/>
    <n v="17373662"/>
  </r>
  <r>
    <x v="219"/>
    <s v="Doggy Doggy Cartoons"/>
    <n v="16800000"/>
    <n v="6518418501"/>
    <x v="0"/>
    <n v="0"/>
    <x v="0"/>
    <x v="0"/>
    <n v="0"/>
    <n v="2018"/>
    <n v="11"/>
    <n v="11"/>
    <s v="N/A"/>
  </r>
  <r>
    <x v="220"/>
    <s v="DONA ï¿½ï¿½"/>
    <n v="31700000"/>
    <n v="21031745531"/>
    <x v="0"/>
    <n v="166"/>
    <x v="1"/>
    <x v="1"/>
    <n v="7400000"/>
    <n v="2018"/>
    <n v="4"/>
    <n v="5"/>
    <n v="328239523"/>
  </r>
  <r>
    <x v="221"/>
    <s v="DopeLyrics"/>
    <n v="15900000"/>
    <n v="9962188084"/>
    <x v="3"/>
    <n v="2035"/>
    <x v="1"/>
    <x v="1"/>
    <n v="475900"/>
    <n v="2016"/>
    <n v="6"/>
    <n v="9"/>
    <n v="328239523"/>
  </r>
  <r>
    <x v="222"/>
    <s v="Dorukhan Gï¿½ï¿½ï"/>
    <n v="14200000"/>
    <n v="9964116817"/>
    <x v="11"/>
    <n v="8"/>
    <x v="0"/>
    <x v="0"/>
    <n v="346"/>
    <n v="2006"/>
    <n v="6"/>
    <n v="14"/>
    <s v="N/A"/>
  </r>
  <r>
    <x v="223"/>
    <s v="Dr. Vivek Bindra: Motivational Speaker"/>
    <n v="20900000"/>
    <n v="1693149479"/>
    <x v="10"/>
    <n v="896"/>
    <x v="8"/>
    <x v="3"/>
    <n v="1400000"/>
    <n v="2013"/>
    <n v="12"/>
    <n v="6"/>
    <n v="1366417754"/>
  </r>
  <r>
    <x v="224"/>
    <s v="drake"/>
    <n v="28100000"/>
    <n v="15318895118"/>
    <x v="3"/>
    <n v="3"/>
    <x v="0"/>
    <x v="0"/>
    <n v="1"/>
    <n v="2005"/>
    <n v="9"/>
    <n v="23"/>
    <s v="N/A"/>
  </r>
  <r>
    <x v="225"/>
    <s v="Drawblogs"/>
    <n v="14400000"/>
    <n v="1629801448"/>
    <x v="0"/>
    <n v="399"/>
    <x v="32"/>
    <x v="2"/>
    <n v="48100"/>
    <n v="2014"/>
    <n v="5"/>
    <n v="20"/>
    <n v="32510453"/>
  </r>
  <r>
    <x v="226"/>
    <s v="Dream"/>
    <n v="31700000"/>
    <n v="2930015381"/>
    <x v="6"/>
    <n v="116"/>
    <x v="1"/>
    <x v="1"/>
    <n v="1300000"/>
    <n v="2014"/>
    <n v="2"/>
    <n v="8"/>
    <n v="328239523"/>
  </r>
  <r>
    <x v="227"/>
    <s v="DrossRotzank"/>
    <n v="23000000"/>
    <n v="6041264489"/>
    <x v="0"/>
    <n v="1598"/>
    <x v="16"/>
    <x v="2"/>
    <n v="1700000"/>
    <n v="2006"/>
    <n v="3"/>
    <n v="9"/>
    <n v="44938712"/>
  </r>
  <r>
    <x v="228"/>
    <s v="Dua Lipa"/>
    <n v="21800000"/>
    <n v="11288359365"/>
    <x v="3"/>
    <n v="164"/>
    <x v="6"/>
    <x v="4"/>
    <n v="6100000"/>
    <n v="2011"/>
    <n v="2"/>
    <n v="5"/>
    <n v="66834405"/>
  </r>
  <r>
    <x v="229"/>
    <s v="Dude Perfect"/>
    <n v="59500000"/>
    <n v="16241549158"/>
    <x v="15"/>
    <n v="389"/>
    <x v="1"/>
    <x v="1"/>
    <n v="6800000"/>
    <n v="2009"/>
    <n v="3"/>
    <n v="17"/>
    <n v="328239523"/>
  </r>
  <r>
    <x v="230"/>
    <s v="DUDU e CAROL"/>
    <n v="21600000"/>
    <n v="9597894786"/>
    <x v="16"/>
    <n v="2942"/>
    <x v="7"/>
    <x v="2"/>
    <n v="9300000"/>
    <n v="2013"/>
    <n v="3"/>
    <n v="2"/>
    <n v="212559417"/>
  </r>
  <r>
    <x v="231"/>
    <s v="Duo Tiempo De Sol"/>
    <n v="12800000"/>
    <n v="6662288136"/>
    <x v="3"/>
    <n v="323"/>
    <x v="11"/>
    <x v="4"/>
    <n v="2600000"/>
    <n v="2013"/>
    <n v="3"/>
    <n v="26"/>
    <n v="47076781"/>
  </r>
  <r>
    <x v="232"/>
    <s v="Dushyant kukreja"/>
    <n v="27100000"/>
    <n v="17318452893"/>
    <x v="0"/>
    <n v="889"/>
    <x v="8"/>
    <x v="3"/>
    <n v="20600000"/>
    <n v="2015"/>
    <n v="9"/>
    <n v="26"/>
    <n v="1366417754"/>
  </r>
  <r>
    <x v="233"/>
    <s v="Dyland PROS"/>
    <n v="16100000"/>
    <n v="1517638132"/>
    <x v="0"/>
    <n v="2805"/>
    <x v="13"/>
    <x v="3"/>
    <n v="461700"/>
    <n v="2015"/>
    <n v="1"/>
    <n v="28"/>
    <n v="270203917"/>
  </r>
  <r>
    <x v="234"/>
    <s v="Ed Sheeran"/>
    <n v="53500000"/>
    <n v="30367676736"/>
    <x v="3"/>
    <n v="383"/>
    <x v="6"/>
    <x v="4"/>
    <n v="9700000"/>
    <n v="2006"/>
    <n v="8"/>
    <n v="8"/>
    <n v="66834405"/>
  </r>
  <r>
    <x v="235"/>
    <s v="EdisonPts"/>
    <n v="15100000"/>
    <n v="6668507856"/>
    <x v="6"/>
    <n v="3733"/>
    <x v="23"/>
    <x v="3"/>
    <n v="4600000"/>
    <n v="2013"/>
    <n v="6"/>
    <n v="24"/>
    <n v="144373535"/>
  </r>
  <r>
    <x v="236"/>
    <s v="EeOneGuy"/>
    <n v="16900000"/>
    <n v="3827906874"/>
    <x v="0"/>
    <n v="366"/>
    <x v="1"/>
    <x v="1"/>
    <n v="78500"/>
    <n v="2013"/>
    <n v="3"/>
    <n v="19"/>
    <n v="328239523"/>
  </r>
  <r>
    <x v="237"/>
    <s v="Einerd"/>
    <n v="13200000"/>
    <n v="3568392223"/>
    <x v="0"/>
    <n v="0"/>
    <x v="0"/>
    <x v="0"/>
    <n v="0"/>
    <n v="2007"/>
    <n v="11"/>
    <n v="19"/>
    <s v="N/A"/>
  </r>
  <r>
    <x v="238"/>
    <s v="El Payaso Plim Plim"/>
    <n v="17700000"/>
    <n v="17247584185"/>
    <x v="8"/>
    <n v="1316"/>
    <x v="16"/>
    <x v="2"/>
    <n v="30700000"/>
    <n v="2013"/>
    <n v="10"/>
    <n v="18"/>
    <n v="44938712"/>
  </r>
  <r>
    <x v="239"/>
    <s v="El Reino a Jugar"/>
    <n v="17200000"/>
    <n v="11445492404"/>
    <x v="10"/>
    <n v="1007"/>
    <x v="16"/>
    <x v="2"/>
    <n v="4000000"/>
    <n v="2015"/>
    <n v="3"/>
    <n v="3"/>
    <n v="44938712"/>
  </r>
  <r>
    <x v="240"/>
    <s v="El Reino Infantil"/>
    <n v="58400000"/>
    <n v="57271630846"/>
    <x v="3"/>
    <n v="1510"/>
    <x v="16"/>
    <x v="2"/>
    <n v="29400000"/>
    <n v="2011"/>
    <n v="6"/>
    <n v="2"/>
    <n v="44938712"/>
  </r>
  <r>
    <x v="241"/>
    <s v="elcarteldesantatv"/>
    <n v="12500000"/>
    <n v="7489455451"/>
    <x v="3"/>
    <n v="377"/>
    <x v="2"/>
    <x v="2"/>
    <n v="5600000"/>
    <n v="2008"/>
    <n v="11"/>
    <n v="27"/>
    <n v="126014024"/>
  </r>
  <r>
    <x v="242"/>
    <s v="Eli Kids - Cartoons &amp; Songs"/>
    <n v="14500000"/>
    <n v="4821183481"/>
    <x v="12"/>
    <n v="605"/>
    <x v="1"/>
    <x v="1"/>
    <n v="7200000"/>
    <n v="2018"/>
    <n v="1"/>
    <n v="16"/>
    <n v="328239523"/>
  </r>
  <r>
    <x v="243"/>
    <s v="Ellie Goulding"/>
    <n v="12600000"/>
    <n v="6969178081"/>
    <x v="3"/>
    <n v="218"/>
    <x v="6"/>
    <x v="4"/>
    <n v="1800000"/>
    <n v="2007"/>
    <n v="1"/>
    <n v="29"/>
    <n v="66834405"/>
  </r>
  <r>
    <x v="244"/>
    <s v="elrubiusOMG"/>
    <n v="40400000"/>
    <n v="7410536668"/>
    <x v="6"/>
    <n v="703"/>
    <x v="0"/>
    <x v="0"/>
    <n v="277100"/>
    <n v="2011"/>
    <n v="12"/>
    <n v="20"/>
    <s v="N/A"/>
  </r>
  <r>
    <x v="245"/>
    <s v="E-MasterSensei"/>
    <n v="14200000"/>
    <n v="3920559552"/>
    <x v="6"/>
    <n v="1300"/>
    <x v="2"/>
    <x v="2"/>
    <n v="2100000"/>
    <n v="2016"/>
    <n v="1"/>
    <n v="13"/>
    <n v="126014024"/>
  </r>
  <r>
    <x v="246"/>
    <s v="EminemMusic"/>
    <n v="56900000"/>
    <n v="27073872856"/>
    <x v="3"/>
    <n v="156"/>
    <x v="1"/>
    <x v="1"/>
    <n v="12500000"/>
    <n v="2007"/>
    <n v="2"/>
    <n v="9"/>
    <n v="328239523"/>
  </r>
  <r>
    <x v="247"/>
    <s v="EminemVEVO"/>
    <n v="24700000"/>
    <n v="20531704527"/>
    <x v="3"/>
    <n v="104"/>
    <x v="1"/>
    <x v="1"/>
    <n v="6700000"/>
    <n v="2009"/>
    <n v="5"/>
    <n v="12"/>
    <n v="328239523"/>
  </r>
  <r>
    <x v="248"/>
    <s v="Emiway Bantai"/>
    <n v="20400000"/>
    <n v="3579555124"/>
    <x v="3"/>
    <n v="239"/>
    <x v="8"/>
    <x v="3"/>
    <n v="2000000"/>
    <n v="2013"/>
    <n v="5"/>
    <n v="3"/>
    <n v="1366417754"/>
  </r>
  <r>
    <x v="249"/>
    <s v="Enaldinho"/>
    <n v="29200000"/>
    <n v="11627437847"/>
    <x v="1"/>
    <n v="3654"/>
    <x v="7"/>
    <x v="2"/>
    <n v="14500000"/>
    <n v="2012"/>
    <n v="11"/>
    <n v="7"/>
    <n v="212559417"/>
  </r>
  <r>
    <x v="250"/>
    <s v="enchufetv"/>
    <n v="26700000"/>
    <n v="10317306313"/>
    <x v="1"/>
    <n v="975"/>
    <x v="17"/>
    <x v="2"/>
    <n v="1200000"/>
    <n v="2011"/>
    <n v="11"/>
    <n v="13"/>
    <n v="50339443"/>
  </r>
  <r>
    <x v="251"/>
    <s v="enesbatur"/>
    <n v="16000000"/>
    <n v="9786595271"/>
    <x v="6"/>
    <n v="0"/>
    <x v="0"/>
    <x v="0"/>
    <n v="0"/>
    <n v="2007"/>
    <n v="3"/>
    <n v="4"/>
    <s v="N/A"/>
  </r>
  <r>
    <x v="252"/>
    <s v="Enrique Iglesias"/>
    <n v="23800000"/>
    <n v="17688774915"/>
    <x v="3"/>
    <n v="443"/>
    <x v="1"/>
    <x v="1"/>
    <n v="5900000"/>
    <n v="2007"/>
    <n v="4"/>
    <n v="12"/>
    <n v="328239523"/>
  </r>
  <r>
    <x v="253"/>
    <s v="EnriqueIglesiasVEVO"/>
    <n v="12900000"/>
    <n v="15446707595"/>
    <x v="3"/>
    <n v="137"/>
    <x v="1"/>
    <x v="1"/>
    <n v="3600000"/>
    <n v="2009"/>
    <n v="5"/>
    <n v="12"/>
    <n v="328239523"/>
  </r>
  <r>
    <x v="254"/>
    <s v="ERB"/>
    <n v="14900000"/>
    <n v="4033400167"/>
    <x v="0"/>
    <n v="86"/>
    <x v="1"/>
    <x v="1"/>
    <n v="530100"/>
    <n v="2006"/>
    <n v="2"/>
    <n v="8"/>
    <n v="328239523"/>
  </r>
  <r>
    <x v="255"/>
    <s v="ETV Jabardasth"/>
    <n v="14000000"/>
    <n v="13542939513"/>
    <x v="2"/>
    <n v="9652"/>
    <x v="8"/>
    <x v="3"/>
    <n v="6400000"/>
    <n v="2015"/>
    <n v="7"/>
    <n v="14"/>
    <n v="1366417754"/>
  </r>
  <r>
    <x v="256"/>
    <s v="etvteluguindia"/>
    <n v="19400000"/>
    <n v="23038014291"/>
    <x v="0"/>
    <n v="125974"/>
    <x v="8"/>
    <x v="3"/>
    <n v="13100000"/>
    <n v="2010"/>
    <n v="3"/>
    <n v="15"/>
    <n v="1366417754"/>
  </r>
  <r>
    <x v="257"/>
    <s v="Eva Bravo Play"/>
    <n v="21600000"/>
    <n v="9346383505"/>
    <x v="0"/>
    <n v="228"/>
    <x v="1"/>
    <x v="1"/>
    <n v="3100000"/>
    <n v="2019"/>
    <n v="5"/>
    <n v="7"/>
    <n v="328239523"/>
  </r>
  <r>
    <x v="258"/>
    <s v="Everson Zoio"/>
    <n v="13000000"/>
    <n v="1024467771"/>
    <x v="1"/>
    <n v="625"/>
    <x v="7"/>
    <x v="2"/>
    <n v="146500"/>
    <n v="2009"/>
    <n v="3"/>
    <n v="26"/>
    <n v="212559417"/>
  </r>
  <r>
    <x v="259"/>
    <s v="Extra polinesios"/>
    <n v="16200000"/>
    <n v="4813127504"/>
    <x v="2"/>
    <n v="2"/>
    <x v="0"/>
    <x v="0"/>
    <n v="24"/>
    <n v="2015"/>
    <n v="11"/>
    <n v="21"/>
    <s v="N/A"/>
  </r>
  <r>
    <x v="260"/>
    <s v="F2Freestylers - Ultimate Soccer Skills Channï¿½"/>
    <n v="14100000"/>
    <n v="3280481927"/>
    <x v="15"/>
    <n v="777"/>
    <x v="6"/>
    <x v="4"/>
    <n v="490600"/>
    <n v="2011"/>
    <n v="4"/>
    <n v="9"/>
    <n v="66834405"/>
  </r>
  <r>
    <x v="261"/>
    <s v="FACT FIRE KING"/>
    <n v="12700000"/>
    <n v="1159290255"/>
    <x v="12"/>
    <n v="782"/>
    <x v="8"/>
    <x v="3"/>
    <n v="2500000"/>
    <n v="2020"/>
    <n v="7"/>
    <n v="29"/>
    <n v="1366417754"/>
  </r>
  <r>
    <x v="262"/>
    <s v="FactTechz"/>
    <n v="17500000"/>
    <n v="2238134438"/>
    <x v="0"/>
    <n v="709"/>
    <x v="8"/>
    <x v="3"/>
    <n v="1000000"/>
    <n v="2016"/>
    <n v="7"/>
    <n v="24"/>
    <n v="1366417754"/>
  </r>
  <r>
    <x v="263"/>
    <s v="FailArmy"/>
    <n v="16500000"/>
    <n v="3037260680"/>
    <x v="1"/>
    <n v="438"/>
    <x v="1"/>
    <x v="1"/>
    <n v="5400000"/>
    <n v="2011"/>
    <n v="7"/>
    <n v="5"/>
    <n v="328239523"/>
  </r>
  <r>
    <x v="264"/>
    <s v="Family Fitness"/>
    <n v="12500000"/>
    <n v="10384848759"/>
    <x v="0"/>
    <n v="1699"/>
    <x v="8"/>
    <x v="3"/>
    <n v="11300000"/>
    <n v="2017"/>
    <n v="1"/>
    <n v="18"/>
    <n v="1366417754"/>
  </r>
  <r>
    <x v="265"/>
    <s v="FamilyGamesTV"/>
    <n v="20200000"/>
    <n v="7066711323"/>
    <x v="0"/>
    <n v="0"/>
    <x v="0"/>
    <x v="0"/>
    <n v="0"/>
    <n v="2012"/>
    <n v="12"/>
    <n v="29"/>
    <s v="N/A"/>
  </r>
  <r>
    <x v="266"/>
    <s v="FAPTV"/>
    <n v="13700000"/>
    <n v="5457203710"/>
    <x v="1"/>
    <n v="863"/>
    <x v="33"/>
    <x v="3"/>
    <n v="1700000"/>
    <n v="2014"/>
    <n v="2"/>
    <n v="26"/>
    <n v="96462106"/>
  </r>
  <r>
    <x v="267"/>
    <s v="Farruko"/>
    <n v="18800000"/>
    <n v="9573641299"/>
    <x v="3"/>
    <n v="217"/>
    <x v="1"/>
    <x v="1"/>
    <n v="4700000"/>
    <n v="2009"/>
    <n v="10"/>
    <n v="30"/>
    <n v="328239523"/>
  </r>
  <r>
    <x v="268"/>
    <s v="Fatos Desconhecidos"/>
    <n v="20900000"/>
    <n v="3828000587"/>
    <x v="0"/>
    <n v="6262"/>
    <x v="7"/>
    <x v="2"/>
    <n v="2500000"/>
    <n v="2013"/>
    <n v="9"/>
    <n v="26"/>
    <n v="212559417"/>
  </r>
  <r>
    <x v="269"/>
    <s v="FaZeRug"/>
    <n v="23700000"/>
    <n v="7451792132"/>
    <x v="6"/>
    <n v="0"/>
    <x v="20"/>
    <x v="1"/>
    <n v="0"/>
    <n v="2012"/>
    <n v="11"/>
    <n v="30"/>
    <n v="36991981"/>
  </r>
  <r>
    <x v="270"/>
    <s v="FC Barcelona"/>
    <n v="15300000"/>
    <n v="2656528205"/>
    <x v="15"/>
    <n v="10988"/>
    <x v="11"/>
    <x v="4"/>
    <n v="4100000"/>
    <n v="2006"/>
    <n v="2"/>
    <n v="6"/>
    <n v="47076781"/>
  </r>
  <r>
    <x v="271"/>
    <s v="Fede Vigevani"/>
    <n v="25600000"/>
    <n v="7962725960"/>
    <x v="5"/>
    <n v="0"/>
    <x v="0"/>
    <x v="0"/>
    <n v="0"/>
    <n v="2019"/>
    <n v="8"/>
    <n v="1"/>
    <s v="N/A"/>
  </r>
  <r>
    <x v="272"/>
    <s v="Felipe Neto"/>
    <n v="45200000"/>
    <n v="16602198273"/>
    <x v="0"/>
    <n v="4331"/>
    <x v="7"/>
    <x v="2"/>
    <n v="6300000"/>
    <n v="2006"/>
    <n v="5"/>
    <n v="16"/>
    <n v="212559417"/>
  </r>
  <r>
    <x v="273"/>
    <s v="FerN/Afloo"/>
    <n v="46100000"/>
    <n v="10323391593"/>
    <x v="6"/>
    <n v="543"/>
    <x v="34"/>
    <x v="1"/>
    <n v="1600000"/>
    <n v="2011"/>
    <n v="5"/>
    <n v="2"/>
    <n v="6453553"/>
  </r>
  <r>
    <x v="274"/>
    <s v="FFUNTV"/>
    <n v="15400000"/>
    <n v="11513738907"/>
    <x v="6"/>
    <n v="379"/>
    <x v="15"/>
    <x v="3"/>
    <n v="3800000"/>
    <n v="2018"/>
    <n v="7"/>
    <n v="18"/>
    <n v="9770529"/>
  </r>
  <r>
    <x v="275"/>
    <s v="FGTeeV"/>
    <n v="22300000"/>
    <n v="24059336857"/>
    <x v="6"/>
    <n v="1724"/>
    <x v="1"/>
    <x v="1"/>
    <n v="6300000"/>
    <n v="2013"/>
    <n v="5"/>
    <n v="24"/>
    <n v="328239523"/>
  </r>
  <r>
    <x v="276"/>
    <s v="FIFA"/>
    <n v="19400000"/>
    <n v="5529131886"/>
    <x v="15"/>
    <n v="10728"/>
    <x v="35"/>
    <x v="4"/>
    <n v="2800000"/>
    <n v="2006"/>
    <n v="9"/>
    <n v="6"/>
    <n v="8574832"/>
  </r>
  <r>
    <x v="277"/>
    <s v="Fifth Harmony"/>
    <n v="14600000"/>
    <n v="7952268926"/>
    <x v="3"/>
    <n v="67"/>
    <x v="1"/>
    <x v="1"/>
    <n v="1800000"/>
    <n v="2013"/>
    <n v="2"/>
    <n v="21"/>
    <n v="328239523"/>
  </r>
  <r>
    <x v="278"/>
    <s v="Filaretiki"/>
    <n v="14800000"/>
    <n v="15788208522"/>
    <x v="12"/>
    <n v="2222"/>
    <x v="1"/>
    <x v="1"/>
    <n v="57800000"/>
    <n v="2021"/>
    <n v="3"/>
    <n v="24"/>
    <n v="328239523"/>
  </r>
  <r>
    <x v="279"/>
    <s v="First We Feast"/>
    <n v="12500000"/>
    <n v="2983799729"/>
    <x v="5"/>
    <n v="1076"/>
    <x v="1"/>
    <x v="1"/>
    <n v="5300000"/>
    <n v="2014"/>
    <n v="2"/>
    <n v="28"/>
    <n v="328239523"/>
  </r>
  <r>
    <x v="280"/>
    <s v="Fitdance Academy"/>
    <n v="16100000"/>
    <n v="7126210721"/>
    <x v="3"/>
    <n v="41"/>
    <x v="26"/>
    <x v="4"/>
    <n v="37"/>
    <n v="2006"/>
    <n v="11"/>
    <n v="20"/>
    <n v="67059887"/>
  </r>
  <r>
    <x v="281"/>
    <s v="Flowers Comedy"/>
    <n v="12500000"/>
    <n v="11691081301"/>
    <x v="0"/>
    <n v="11907"/>
    <x v="8"/>
    <x v="3"/>
    <n v="8600000"/>
    <n v="2015"/>
    <n v="8"/>
    <n v="19"/>
    <n v="1366417754"/>
  </r>
  <r>
    <x v="282"/>
    <s v="Franco Escamilla"/>
    <n v="12700000"/>
    <n v="4266957149"/>
    <x v="1"/>
    <n v="2483"/>
    <x v="2"/>
    <x v="2"/>
    <n v="3700000"/>
    <n v="2007"/>
    <n v="10"/>
    <n v="19"/>
    <n v="126014024"/>
  </r>
  <r>
    <x v="283"/>
    <s v="Free Fire India Official"/>
    <n v="12300000"/>
    <n v="1674409945"/>
    <x v="2"/>
    <n v="1500"/>
    <x v="8"/>
    <x v="3"/>
    <n v="3100000"/>
    <n v="2018"/>
    <n v="9"/>
    <n v="14"/>
    <n v="1366417754"/>
  </r>
  <r>
    <x v="284"/>
    <s v="frostdiamond"/>
    <n v="30100000"/>
    <n v="7277493940"/>
    <x v="6"/>
    <n v="0"/>
    <x v="0"/>
    <x v="0"/>
    <n v="0"/>
    <n v="2006"/>
    <n v="8"/>
    <n v="10"/>
    <s v="N/A"/>
  </r>
  <r>
    <x v="285"/>
    <s v="Fueled By Ramen"/>
    <n v="14800000"/>
    <n v="13356517783"/>
    <x v="3"/>
    <n v="1210"/>
    <x v="1"/>
    <x v="1"/>
    <n v="2900000"/>
    <n v="2006"/>
    <n v="6"/>
    <n v="9"/>
    <n v="328239523"/>
  </r>
  <r>
    <x v="286"/>
    <s v="Fun For Kids TV - Hindi Rhymes"/>
    <n v="17500000"/>
    <n v="7612385622"/>
    <x v="0"/>
    <n v="149"/>
    <x v="8"/>
    <x v="3"/>
    <n v="5300000"/>
    <n v="2017"/>
    <n v="9"/>
    <n v="27"/>
    <n v="1366417754"/>
  </r>
  <r>
    <x v="287"/>
    <s v="FunFun Toy Doll TV"/>
    <n v="16500000"/>
    <n v="7406207930"/>
    <x v="0"/>
    <n v="735"/>
    <x v="1"/>
    <x v="1"/>
    <n v="1200000"/>
    <n v="2016"/>
    <n v="5"/>
    <n v="31"/>
    <n v="328239523"/>
  </r>
  <r>
    <x v="288"/>
    <s v="Future AMV's"/>
    <n v="12700000"/>
    <n v="9927699419"/>
    <x v="3"/>
    <n v="119"/>
    <x v="1"/>
    <x v="1"/>
    <n v="22700"/>
    <n v="2020"/>
    <n v="11"/>
    <n v="7"/>
    <n v="328239523"/>
  </r>
  <r>
    <x v="289"/>
    <s v="gabyandalex"/>
    <n v="17000000"/>
    <n v="8229883114"/>
    <x v="0"/>
    <n v="1"/>
    <x v="0"/>
    <x v="0"/>
    <n v="0"/>
    <n v="2008"/>
    <n v="8"/>
    <n v="21"/>
    <s v="N/A"/>
  </r>
  <r>
    <x v="290"/>
    <s v="Galinha Pintadinha"/>
    <n v="33800000"/>
    <n v="27274550757"/>
    <x v="8"/>
    <n v="66"/>
    <x v="7"/>
    <x v="2"/>
    <n v="19400000"/>
    <n v="2006"/>
    <n v="8"/>
    <n v="30"/>
    <n v="212559417"/>
  </r>
  <r>
    <x v="291"/>
    <s v="Gallina Pintadita"/>
    <n v="14000000"/>
    <n v="9660950823"/>
    <x v="3"/>
    <n v="62"/>
    <x v="2"/>
    <x v="2"/>
    <n v="3400000"/>
    <n v="2011"/>
    <n v="8"/>
    <n v="2"/>
    <n v="126014024"/>
  </r>
  <r>
    <x v="292"/>
    <s v="Gaming"/>
    <n v="93600000"/>
    <n v="0"/>
    <x v="12"/>
    <n v="0"/>
    <x v="0"/>
    <x v="0"/>
    <n v="0"/>
    <n v="2013"/>
    <n v="12"/>
    <n v="15"/>
    <s v="N/A"/>
  </r>
  <r>
    <x v="293"/>
    <s v="Gato Galactico | GALï¿½ï¿"/>
    <n v="16800000"/>
    <n v="3693798804"/>
    <x v="8"/>
    <n v="1491"/>
    <x v="7"/>
    <x v="2"/>
    <n v="2100000"/>
    <n v="2013"/>
    <n v="4"/>
    <n v="2"/>
    <n v="212559417"/>
  </r>
  <r>
    <x v="294"/>
    <s v="Geet MP3"/>
    <n v="34300000"/>
    <n v="12746535822"/>
    <x v="3"/>
    <n v="679"/>
    <x v="8"/>
    <x v="3"/>
    <n v="4900000"/>
    <n v="2016"/>
    <n v="10"/>
    <n v="22"/>
    <n v="1366417754"/>
  </r>
  <r>
    <x v="295"/>
    <s v="GEN HALILINTAR"/>
    <n v="18100000"/>
    <n v="3306242674"/>
    <x v="0"/>
    <n v="1037"/>
    <x v="13"/>
    <x v="3"/>
    <n v="1300000"/>
    <n v="2015"/>
    <n v="3"/>
    <n v="4"/>
    <n v="270203917"/>
  </r>
  <r>
    <x v="296"/>
    <s v="Genevieve's Playhouse - Learning Videos for ï¿½"/>
    <n v="34900000"/>
    <n v="25607397308"/>
    <x v="10"/>
    <n v="617"/>
    <x v="1"/>
    <x v="1"/>
    <n v="16100000"/>
    <n v="2016"/>
    <n v="1"/>
    <n v="6"/>
    <n v="328239523"/>
  </r>
  <r>
    <x v="297"/>
    <s v="GENIAL"/>
    <n v="31800000"/>
    <n v="6762424690"/>
    <x v="5"/>
    <n v="6734"/>
    <x v="2"/>
    <x v="2"/>
    <n v="1500000"/>
    <n v="2017"/>
    <n v="6"/>
    <n v="1"/>
    <n v="126014024"/>
  </r>
  <r>
    <x v="298"/>
    <s v="Genierock"/>
    <n v="15400000"/>
    <n v="14564170905"/>
    <x v="3"/>
    <n v="1725"/>
    <x v="14"/>
    <x v="3"/>
    <n v="4000000"/>
    <n v="2008"/>
    <n v="3"/>
    <n v="9"/>
    <n v="69625582"/>
  </r>
  <r>
    <x v="299"/>
    <s v="Geo News"/>
    <n v="13800000"/>
    <n v="5727888539"/>
    <x v="4"/>
    <n v="190093"/>
    <x v="18"/>
    <x v="3"/>
    <n v="4800000"/>
    <n v="2007"/>
    <n v="1"/>
    <n v="10"/>
    <n v="216565318"/>
  </r>
  <r>
    <x v="300"/>
    <s v="Get Movies"/>
    <n v="47500000"/>
    <n v="30788679536"/>
    <x v="0"/>
    <n v="3322"/>
    <x v="23"/>
    <x v="3"/>
    <n v="14700000"/>
    <n v="2006"/>
    <n v="12"/>
    <n v="16"/>
    <n v="144373535"/>
  </r>
  <r>
    <x v="301"/>
    <s v="GH'S"/>
    <n v="13000000"/>
    <n v="8739174649"/>
    <x v="6"/>
    <n v="510"/>
    <x v="4"/>
    <x v="3"/>
    <n v="51900000"/>
    <n v="2020"/>
    <n v="7"/>
    <n v="7"/>
    <n v="51709098"/>
  </r>
  <r>
    <x v="302"/>
    <s v="Gibby :)"/>
    <n v="12400000"/>
    <n v="2862685032"/>
    <x v="2"/>
    <n v="226"/>
    <x v="2"/>
    <x v="2"/>
    <n v="493300"/>
    <n v="2014"/>
    <n v="8"/>
    <n v="30"/>
    <n v="126014024"/>
  </r>
  <r>
    <x v="303"/>
    <s v="GMA  Network"/>
    <n v="31900000"/>
    <n v="19428308461"/>
    <x v="0"/>
    <n v="93311"/>
    <x v="10"/>
    <x v="3"/>
    <n v="38300000"/>
    <n v="2006"/>
    <n v="11"/>
    <n v="20"/>
    <n v="108116615"/>
  </r>
  <r>
    <x v="304"/>
    <s v="GMA Integrated News"/>
    <n v="13400000"/>
    <n v="9569814790"/>
    <x v="4"/>
    <n v="296272"/>
    <x v="10"/>
    <x v="3"/>
    <n v="5500000"/>
    <n v="2007"/>
    <n v="10"/>
    <n v="29"/>
    <n v="108116615"/>
  </r>
  <r>
    <x v="305"/>
    <s v="GMA Public  Affairs"/>
    <n v="21200000"/>
    <n v="11364908616"/>
    <x v="0"/>
    <n v="31989"/>
    <x v="10"/>
    <x v="3"/>
    <n v="6800000"/>
    <n v="2009"/>
    <n v="8"/>
    <n v="8"/>
    <n v="108116615"/>
  </r>
  <r>
    <x v="306"/>
    <s v="GMM GRAMMY OFFICIAL"/>
    <n v="23100000"/>
    <n v="25579831081"/>
    <x v="3"/>
    <n v="15462"/>
    <x v="14"/>
    <x v="3"/>
    <n v="6300000"/>
    <n v="2010"/>
    <n v="11"/>
    <n v="8"/>
    <n v="69625582"/>
  </r>
  <r>
    <x v="307"/>
    <s v="GMM25Thailand"/>
    <n v="14500000"/>
    <n v="9383692066"/>
    <x v="0"/>
    <n v="68606"/>
    <x v="14"/>
    <x v="3"/>
    <n v="2200000"/>
    <n v="2011"/>
    <n v="6"/>
    <n v="8"/>
    <n v="69625582"/>
  </r>
  <r>
    <x v="308"/>
    <s v="GMMTV OFFICIALï¿½ï¿½"/>
    <n v="16400000"/>
    <n v="12844432341"/>
    <x v="0"/>
    <n v="23952"/>
    <x v="14"/>
    <x v="3"/>
    <n v="8700000"/>
    <n v="2010"/>
    <n v="9"/>
    <n v="13"/>
    <n v="69625582"/>
  </r>
  <r>
    <x v="309"/>
    <s v="Go Ami Go!"/>
    <n v="12700000"/>
    <n v="1714955279"/>
    <x v="2"/>
    <n v="252"/>
    <x v="17"/>
    <x v="2"/>
    <n v="15700000"/>
    <n v="2015"/>
    <n v="12"/>
    <n v="3"/>
    <n v="50339443"/>
  </r>
  <r>
    <x v="310"/>
    <s v="goldmines"/>
    <n v="86900000"/>
    <n v="24118230580"/>
    <x v="8"/>
    <n v="1"/>
    <x v="0"/>
    <x v="0"/>
    <n v="0.86"/>
    <n v="2006"/>
    <n v="8"/>
    <n v="15"/>
    <s v="N/A"/>
  </r>
  <r>
    <x v="311"/>
    <s v="Goldmines Bollywood"/>
    <n v="26400000"/>
    <n v="8595760553"/>
    <x v="8"/>
    <n v="3622"/>
    <x v="8"/>
    <x v="3"/>
    <n v="4800000"/>
    <n v="2015"/>
    <n v="7"/>
    <n v="22"/>
    <n v="1366417754"/>
  </r>
  <r>
    <x v="312"/>
    <s v="Goldmines Cineplex"/>
    <n v="22500000"/>
    <n v="2431154438"/>
    <x v="8"/>
    <n v="3377"/>
    <x v="8"/>
    <x v="3"/>
    <n v="2300000"/>
    <n v="2015"/>
    <n v="9"/>
    <n v="12"/>
    <n v="1366417754"/>
  </r>
  <r>
    <x v="313"/>
    <s v="Goldmines Dishoom"/>
    <n v="28000000"/>
    <n v="8603468420"/>
    <x v="8"/>
    <n v="3878"/>
    <x v="0"/>
    <x v="0"/>
    <n v="6200000"/>
    <n v="2016"/>
    <n v="11"/>
    <n v="26"/>
    <s v="N/A"/>
  </r>
  <r>
    <x v="314"/>
    <s v="Goldmines Gaane Sune Ansune"/>
    <n v="38300000"/>
    <n v="16718192386"/>
    <x v="3"/>
    <n v="3532"/>
    <x v="8"/>
    <x v="3"/>
    <n v="39100000"/>
    <n v="2015"/>
    <n v="8"/>
    <n v="24"/>
    <n v="1366417754"/>
  </r>
  <r>
    <x v="315"/>
    <s v="Goldmines Great Indian Comedy"/>
    <n v="19100000"/>
    <n v="5194942269"/>
    <x v="8"/>
    <n v="2948"/>
    <x v="0"/>
    <x v="0"/>
    <n v="3200000"/>
    <n v="2016"/>
    <n v="8"/>
    <n v="29"/>
    <s v="N/A"/>
  </r>
  <r>
    <x v="316"/>
    <s v="Goldmines Premiere"/>
    <n v="13700000"/>
    <n v="1973638757"/>
    <x v="0"/>
    <n v="975"/>
    <x v="8"/>
    <x v="3"/>
    <n v="1800000"/>
    <n v="2013"/>
    <n v="10"/>
    <n v="12"/>
    <n v="1366417754"/>
  </r>
  <r>
    <x v="317"/>
    <s v="Gordon Ramsay"/>
    <n v="20000000"/>
    <n v="3875172235"/>
    <x v="0"/>
    <n v="1527"/>
    <x v="6"/>
    <x v="4"/>
    <n v="1900000"/>
    <n v="2006"/>
    <n v="4"/>
    <n v="29"/>
    <n v="66834405"/>
  </r>
  <r>
    <x v="318"/>
    <s v="Got Talent Global"/>
    <n v="20300000"/>
    <n v="2441288701"/>
    <x v="0"/>
    <n v="1245"/>
    <x v="6"/>
    <x v="4"/>
    <n v="4100000"/>
    <n v="2013"/>
    <n v="1"/>
    <n v="31"/>
    <n v="66834405"/>
  </r>
  <r>
    <x v="319"/>
    <s v="GR6 EXPLODE"/>
    <n v="38900000"/>
    <n v="25154232306"/>
    <x v="3"/>
    <n v="3043"/>
    <x v="7"/>
    <x v="2"/>
    <n v="78500000"/>
    <n v="2014"/>
    <n v="8"/>
    <n v="5"/>
    <n v="212559417"/>
  </r>
  <r>
    <x v="320"/>
    <s v="GRAMMY GOLD OFFICIAL"/>
    <n v="18600000"/>
    <n v="20196704276"/>
    <x v="3"/>
    <n v="6287"/>
    <x v="14"/>
    <x v="3"/>
    <n v="8100000"/>
    <n v="2014"/>
    <n v="1"/>
    <n v="15"/>
    <n v="69625582"/>
  </r>
  <r>
    <x v="321"/>
    <s v="Green Gold TV - Official Channel"/>
    <n v="20000000"/>
    <n v="9715291883"/>
    <x v="8"/>
    <n v="1476"/>
    <x v="8"/>
    <x v="3"/>
    <n v="0"/>
    <n v="2011"/>
    <n v="7"/>
    <n v="1"/>
    <n v="1366417754"/>
  </r>
  <r>
    <x v="322"/>
    <s v="Guava Juice"/>
    <n v="16900000"/>
    <n v="9111000228"/>
    <x v="6"/>
    <n v="1910"/>
    <x v="1"/>
    <x v="1"/>
    <n v="522600"/>
    <n v="2006"/>
    <n v="7"/>
    <n v="18"/>
    <n v="328239523"/>
  </r>
  <r>
    <x v="323"/>
    <s v="Gulshan Kalra"/>
    <n v="27100000"/>
    <n v="12732444881"/>
    <x v="5"/>
    <n v="545"/>
    <x v="0"/>
    <x v="0"/>
    <n v="24100000"/>
    <n v="2018"/>
    <n v="4"/>
    <n v="9"/>
    <s v="N/A"/>
  </r>
  <r>
    <x v="324"/>
    <s v="GustavoParodias"/>
    <n v="12400000"/>
    <n v="2602614088"/>
    <x v="1"/>
    <n v="9"/>
    <x v="7"/>
    <x v="2"/>
    <n v="0"/>
    <n v="2010"/>
    <n v="8"/>
    <n v="24"/>
    <n v="212559417"/>
  </r>
  <r>
    <x v="325"/>
    <s v="Gusttavo Lima Oficial"/>
    <n v="19900000"/>
    <n v="13917423958"/>
    <x v="3"/>
    <n v="416"/>
    <x v="7"/>
    <x v="2"/>
    <n v="10300000"/>
    <n v="2010"/>
    <n v="11"/>
    <n v="9"/>
    <n v="212559417"/>
  </r>
  <r>
    <x v="326"/>
    <s v="Gyan Gamingï¿½"/>
    <n v="14400000"/>
    <n v="2224121890"/>
    <x v="6"/>
    <n v="3086"/>
    <x v="8"/>
    <x v="3"/>
    <n v="666800"/>
    <n v="2017"/>
    <n v="9"/>
    <n v="1"/>
    <n v="1366417754"/>
  </r>
  <r>
    <x v="327"/>
    <s v="Gyani Beast"/>
    <n v="15000000"/>
    <n v="7536093065"/>
    <x v="4"/>
    <n v="206"/>
    <x v="8"/>
    <x v="3"/>
    <n v="48"/>
    <n v="2018"/>
    <n v="8"/>
    <n v="16"/>
    <n v="1366417754"/>
  </r>
  <r>
    <x v="328"/>
    <s v="gymvirtual"/>
    <n v="12900000"/>
    <n v="2509752944"/>
    <x v="15"/>
    <n v="1572"/>
    <x v="11"/>
    <x v="4"/>
    <n v="575700"/>
    <n v="2010"/>
    <n v="11"/>
    <n v="1"/>
    <n v="47076781"/>
  </r>
  <r>
    <x v="329"/>
    <s v="H2ODelirious"/>
    <n v="13400000"/>
    <n v="4356686216"/>
    <x v="6"/>
    <n v="3727"/>
    <x v="1"/>
    <x v="1"/>
    <n v="805700"/>
    <n v="2007"/>
    <n v="5"/>
    <n v="24"/>
    <n v="328239523"/>
  </r>
  <r>
    <x v="330"/>
    <s v="Hacksmith Industries"/>
    <n v="13800000"/>
    <n v="1820559912"/>
    <x v="9"/>
    <n v="887"/>
    <x v="20"/>
    <x v="1"/>
    <n v="4000000"/>
    <n v="2006"/>
    <n v="4"/>
    <n v="20"/>
    <n v="36991981"/>
  </r>
  <r>
    <x v="331"/>
    <s v="HaerteTest"/>
    <n v="19800000"/>
    <n v="3234880084"/>
    <x v="9"/>
    <n v="1411"/>
    <x v="21"/>
    <x v="4"/>
    <n v="271200"/>
    <n v="2011"/>
    <n v="9"/>
    <n v="6"/>
    <n v="83132799"/>
  </r>
  <r>
    <x v="332"/>
    <s v="Happy Lives"/>
    <n v="23200000"/>
    <n v="2634"/>
    <x v="9"/>
    <n v="1"/>
    <x v="1"/>
    <x v="1"/>
    <n v="0"/>
    <n v="2016"/>
    <n v="3"/>
    <n v="15"/>
    <n v="328239523"/>
  </r>
  <r>
    <x v="333"/>
    <s v="HAR PAL GEO"/>
    <n v="44600000"/>
    <n v="41139050371"/>
    <x v="0"/>
    <n v="100755"/>
    <x v="18"/>
    <x v="3"/>
    <n v="64200000"/>
    <n v="2008"/>
    <n v="1"/>
    <n v="2"/>
    <n v="216565318"/>
  </r>
  <r>
    <x v="334"/>
    <s v="Harsh Beniwal"/>
    <n v="15400000"/>
    <n v="1781226000"/>
    <x v="1"/>
    <n v="165"/>
    <x v="8"/>
    <x v="3"/>
    <n v="1300000"/>
    <n v="2015"/>
    <n v="5"/>
    <n v="6"/>
    <n v="1366417754"/>
  </r>
  <r>
    <x v="335"/>
    <s v="Health Time"/>
    <n v="12500000"/>
    <n v="1002219689"/>
    <x v="5"/>
    <n v="1810"/>
    <x v="8"/>
    <x v="3"/>
    <n v="66900"/>
    <n v="2016"/>
    <n v="9"/>
    <n v="25"/>
    <n v="1366417754"/>
  </r>
  <r>
    <x v="336"/>
    <s v="Hear This Music"/>
    <n v="14500000"/>
    <n v="9201428420"/>
    <x v="3"/>
    <n v="39"/>
    <x v="0"/>
    <x v="0"/>
    <n v="2300000"/>
    <n v="2016"/>
    <n v="2"/>
    <n v="13"/>
    <s v="N/A"/>
  </r>
  <r>
    <x v="337"/>
    <s v="Heidi and Zidane HZHtube"/>
    <n v="12400000"/>
    <n v="4021409291"/>
    <x v="0"/>
    <n v="813"/>
    <x v="20"/>
    <x v="1"/>
    <n v="460600"/>
    <n v="2015"/>
    <n v="11"/>
    <n v="24"/>
    <n v="36991981"/>
  </r>
  <r>
    <x v="338"/>
    <s v="Heidi y Zidane"/>
    <n v="12700000"/>
    <n v="6001189018"/>
    <x v="12"/>
    <n v="600"/>
    <x v="1"/>
    <x v="1"/>
    <n v="773600"/>
    <n v="2019"/>
    <n v="12"/>
    <n v="2"/>
    <n v="328239523"/>
  </r>
  <r>
    <x v="339"/>
    <s v="Henrique e Juliano"/>
    <n v="15500000"/>
    <n v="14619523361"/>
    <x v="3"/>
    <n v="325"/>
    <x v="7"/>
    <x v="2"/>
    <n v="7900000"/>
    <n v="2009"/>
    <n v="6"/>
    <n v="27"/>
    <n v="212559417"/>
  </r>
  <r>
    <x v="340"/>
    <s v="Hero Movies 2023"/>
    <n v="12400000"/>
    <n v="1689090619"/>
    <x v="2"/>
    <n v="689"/>
    <x v="0"/>
    <x v="0"/>
    <n v="1000000"/>
    <n v="2017"/>
    <n v="2"/>
    <n v="22"/>
    <s v="N/A"/>
  </r>
  <r>
    <x v="341"/>
    <s v="Heroindori"/>
    <n v="22600000"/>
    <n v="9223534599"/>
    <x v="1"/>
    <n v="495"/>
    <x v="8"/>
    <x v="3"/>
    <n v="19200000"/>
    <n v="2020"/>
    <n v="6"/>
    <n v="29"/>
    <n v="1366417754"/>
  </r>
  <r>
    <x v="342"/>
    <s v="HiMan"/>
    <n v="18900000"/>
    <n v="2855519150"/>
    <x v="2"/>
    <n v="375"/>
    <x v="23"/>
    <x v="3"/>
    <n v="1200000"/>
    <n v="2014"/>
    <n v="10"/>
    <n v="16"/>
    <n v="144373535"/>
  </r>
  <r>
    <x v="343"/>
    <s v="holasoygerman. 2"/>
    <n v="43600000"/>
    <n v="4831311245"/>
    <x v="0"/>
    <n v="6"/>
    <x v="0"/>
    <x v="0"/>
    <n v="0.19"/>
    <n v="2016"/>
    <n v="5"/>
    <n v="27"/>
    <s v="N/A"/>
  </r>
  <r>
    <x v="344"/>
    <s v="Homem Aranha player"/>
    <n v="20100000"/>
    <n v="10366850490"/>
    <x v="0"/>
    <n v="0"/>
    <x v="0"/>
    <x v="0"/>
    <n v="0"/>
    <n v="2013"/>
    <n v="3"/>
    <n v="16"/>
    <s v="N/A"/>
  </r>
  <r>
    <x v="345"/>
    <s v="Hongyu ASMR ï¿½ï¿½ï"/>
    <n v="15100000"/>
    <n v="4967784343"/>
    <x v="2"/>
    <n v="1"/>
    <x v="0"/>
    <x v="0"/>
    <n v="0"/>
    <n v="2021"/>
    <n v="3"/>
    <n v="16"/>
    <s v="N/A"/>
  </r>
  <r>
    <x v="346"/>
    <s v="How Ridiculous"/>
    <n v="18000000"/>
    <n v="9601137077"/>
    <x v="15"/>
    <n v="650"/>
    <x v="24"/>
    <x v="5"/>
    <n v="18800000"/>
    <n v="2009"/>
    <n v="9"/>
    <n v="9"/>
    <n v="25766605"/>
  </r>
  <r>
    <x v="347"/>
    <s v="HowToBasic"/>
    <n v="17300000"/>
    <n v="3684816159"/>
    <x v="5"/>
    <n v="582"/>
    <x v="24"/>
    <x v="5"/>
    <n v="745200"/>
    <n v="2011"/>
    <n v="12"/>
    <n v="8"/>
    <n v="25766605"/>
  </r>
  <r>
    <x v="348"/>
    <s v="HUBAï¿½ï¿½"/>
    <n v="13200000"/>
    <n v="9884886099"/>
    <x v="0"/>
    <n v="538"/>
    <x v="1"/>
    <x v="1"/>
    <n v="15300000"/>
    <n v="2021"/>
    <n v="2"/>
    <n v="20"/>
    <n v="328239523"/>
  </r>
  <r>
    <x v="349"/>
    <s v="HUM TV"/>
    <n v="28300000"/>
    <n v="23844936965"/>
    <x v="0"/>
    <n v="106983"/>
    <x v="18"/>
    <x v="3"/>
    <n v="32900000"/>
    <n v="2011"/>
    <n v="5"/>
    <n v="25"/>
    <n v="216565318"/>
  </r>
  <r>
    <x v="350"/>
    <s v="Hungria Hip Hop"/>
    <n v="13100000"/>
    <n v="4608751851"/>
    <x v="3"/>
    <n v="73"/>
    <x v="7"/>
    <x v="2"/>
    <n v="2300000"/>
    <n v="2013"/>
    <n v="4"/>
    <n v="13"/>
    <n v="212559417"/>
  </r>
  <r>
    <x v="351"/>
    <s v="HYBE LABELS"/>
    <n v="71300000"/>
    <n v="28634566938"/>
    <x v="3"/>
    <n v="1337"/>
    <x v="4"/>
    <x v="3"/>
    <n v="28700000"/>
    <n v="2008"/>
    <n v="6"/>
    <n v="4"/>
    <n v="51709098"/>
  </r>
  <r>
    <x v="352"/>
    <s v="HybridPanda"/>
    <n v="12300000"/>
    <n v="2214684303"/>
    <x v="12"/>
    <n v="2452"/>
    <x v="6"/>
    <x v="4"/>
    <n v="3200"/>
    <n v="2006"/>
    <n v="9"/>
    <n v="11"/>
    <n v="66834405"/>
  </r>
  <r>
    <x v="353"/>
    <s v="Ian Boggs"/>
    <n v="13100000"/>
    <n v="9110348202"/>
    <x v="0"/>
    <n v="1327"/>
    <x v="0"/>
    <x v="0"/>
    <n v="15800000"/>
    <n v="2010"/>
    <n v="3"/>
    <n v="25"/>
    <s v="N/A"/>
  </r>
  <r>
    <x v="354"/>
    <s v="Ian Lucas"/>
    <n v="12700000"/>
    <n v="1450874545"/>
    <x v="0"/>
    <n v="50"/>
    <x v="0"/>
    <x v="0"/>
    <n v="0"/>
    <n v="2016"/>
    <n v="4"/>
    <n v="16"/>
    <s v="N/A"/>
  </r>
  <r>
    <x v="355"/>
    <s v="Ideas En 5 Minutos"/>
    <n v="16600000"/>
    <n v="3696973456"/>
    <x v="5"/>
    <n v="216"/>
    <x v="11"/>
    <x v="4"/>
    <n v="3100"/>
    <n v="2017"/>
    <n v="4"/>
    <n v="2"/>
    <n v="47076781"/>
  </r>
  <r>
    <x v="356"/>
    <s v="IDEIAS INCRï¿½ï¿½"/>
    <n v="14500000"/>
    <n v="3551889957"/>
    <x v="5"/>
    <n v="5430"/>
    <x v="7"/>
    <x v="2"/>
    <n v="136200"/>
    <n v="2017"/>
    <n v="10"/>
    <n v="30"/>
    <n v="212559417"/>
  </r>
  <r>
    <x v="357"/>
    <s v="IGN"/>
    <n v="17500000"/>
    <n v="16107116549"/>
    <x v="6"/>
    <n v="156215"/>
    <x v="1"/>
    <x v="1"/>
    <n v="4700000"/>
    <n v="2006"/>
    <n v="9"/>
    <n v="19"/>
    <n v="328239523"/>
  </r>
  <r>
    <x v="358"/>
    <s v="ILYA BORZOV"/>
    <n v="15300000"/>
    <n v="9938811455"/>
    <x v="2"/>
    <n v="2175"/>
    <x v="23"/>
    <x v="3"/>
    <n v="22800000"/>
    <n v="2021"/>
    <n v="4"/>
    <n v="1"/>
    <n v="144373535"/>
  </r>
  <r>
    <x v="359"/>
    <s v="ImagineDragons"/>
    <n v="30700000"/>
    <n v="16793072362"/>
    <x v="3"/>
    <n v="92"/>
    <x v="1"/>
    <x v="1"/>
    <n v="9100000"/>
    <n v="2009"/>
    <n v="8"/>
    <n v="3"/>
    <n v="328239523"/>
  </r>
  <r>
    <x v="360"/>
    <s v="INCRï¿½ï¿"/>
    <n v="18200000"/>
    <n v="3213324455"/>
    <x v="2"/>
    <n v="6903"/>
    <x v="7"/>
    <x v="2"/>
    <n v="866200"/>
    <n v="2017"/>
    <n v="6"/>
    <n v="20"/>
    <n v="212559417"/>
  </r>
  <r>
    <x v="361"/>
    <s v="IndiaTV"/>
    <n v="35500000"/>
    <n v="16105023749"/>
    <x v="4"/>
    <n v="273255"/>
    <x v="8"/>
    <x v="3"/>
    <n v="14000000"/>
    <n v="2006"/>
    <n v="8"/>
    <n v="26"/>
    <n v="1366417754"/>
  </r>
  <r>
    <x v="362"/>
    <s v="Indore Physical Academy"/>
    <n v="14400000"/>
    <n v="4156427797"/>
    <x v="2"/>
    <n v="1838"/>
    <x v="8"/>
    <x v="3"/>
    <n v="3400000"/>
    <n v="2014"/>
    <n v="4"/>
    <n v="19"/>
    <n v="1366417754"/>
  </r>
  <r>
    <x v="363"/>
    <s v="Indosiar"/>
    <n v="25900000"/>
    <n v="11372071889"/>
    <x v="3"/>
    <n v="65286"/>
    <x v="13"/>
    <x v="3"/>
    <n v="11000000"/>
    <n v="2013"/>
    <n v="9"/>
    <n v="23"/>
    <n v="270203917"/>
  </r>
  <r>
    <x v="364"/>
    <s v="Infinite"/>
    <n v="21300000"/>
    <n v="5141834668"/>
    <x v="0"/>
    <n v="1608"/>
    <x v="1"/>
    <x v="1"/>
    <n v="3300000"/>
    <n v="2014"/>
    <n v="8"/>
    <n v="21"/>
    <n v="328239523"/>
  </r>
  <r>
    <x v="365"/>
    <s v="infobells"/>
    <n v="13700000"/>
    <n v="5178142148"/>
    <x v="10"/>
    <n v="495"/>
    <x v="8"/>
    <x v="3"/>
    <n v="1100000"/>
    <n v="2011"/>
    <n v="10"/>
    <n v="20"/>
    <n v="1366417754"/>
  </r>
  <r>
    <x v="366"/>
    <s v="Infobells - Hindi"/>
    <n v="53300000"/>
    <n v="30516172739"/>
    <x v="10"/>
    <n v="577"/>
    <x v="8"/>
    <x v="3"/>
    <n v="39200000"/>
    <n v="2014"/>
    <n v="6"/>
    <n v="6"/>
    <n v="1366417754"/>
  </r>
  <r>
    <x v="367"/>
    <s v="infobells - Kannada"/>
    <n v="14200000"/>
    <n v="6554000320"/>
    <x v="10"/>
    <n v="433"/>
    <x v="8"/>
    <x v="3"/>
    <n v="6800000"/>
    <n v="2014"/>
    <n v="3"/>
    <n v="13"/>
    <n v="1366417754"/>
  </r>
  <r>
    <x v="368"/>
    <s v="infobells - Tamil"/>
    <n v="28900000"/>
    <n v="17930570614"/>
    <x v="10"/>
    <n v="555"/>
    <x v="8"/>
    <x v="3"/>
    <n v="5300000"/>
    <n v="2014"/>
    <n v="3"/>
    <n v="13"/>
    <n v="1366417754"/>
  </r>
  <r>
    <x v="369"/>
    <s v="infobells - Telugu"/>
    <n v="28300000"/>
    <n v="14814192034"/>
    <x v="10"/>
    <n v="505"/>
    <x v="8"/>
    <x v="3"/>
    <n v="13800000"/>
    <n v="2014"/>
    <n v="3"/>
    <n v="13"/>
    <n v="1366417754"/>
  </r>
  <r>
    <x v="370"/>
    <s v="Infobells Bangla"/>
    <n v="15500000"/>
    <n v="7776706184"/>
    <x v="10"/>
    <n v="359"/>
    <x v="8"/>
    <x v="3"/>
    <n v="8100000"/>
    <n v="2016"/>
    <n v="6"/>
    <n v="13"/>
    <n v="1366417754"/>
  </r>
  <r>
    <x v="371"/>
    <s v="Invento na Hora"/>
    <n v="14200000"/>
    <n v="4040297006"/>
    <x v="8"/>
    <n v="1281"/>
    <x v="7"/>
    <x v="2"/>
    <n v="913400"/>
    <n v="2014"/>
    <n v="10"/>
    <n v="18"/>
    <n v="212559417"/>
  </r>
  <r>
    <x v="372"/>
    <s v="INVICTOR"/>
    <n v="21500000"/>
    <n v="8409641722"/>
    <x v="6"/>
    <n v="17"/>
    <x v="29"/>
    <x v="2"/>
    <n v="2"/>
    <n v="2016"/>
    <n v="7"/>
    <n v="26"/>
    <n v="18952038"/>
  </r>
  <r>
    <x v="373"/>
    <s v="Ishaan Ali 11"/>
    <n v="21300000"/>
    <n v="12761253839"/>
    <x v="2"/>
    <n v="951"/>
    <x v="8"/>
    <x v="3"/>
    <n v="35000000"/>
    <n v="2016"/>
    <n v="7"/>
    <n v="27"/>
    <n v="1366417754"/>
  </r>
  <r>
    <x v="374"/>
    <s v="IShowSpeed"/>
    <n v="18300000"/>
    <n v="1556003039"/>
    <x v="6"/>
    <n v="1324"/>
    <x v="1"/>
    <x v="1"/>
    <n v="6700000"/>
    <n v="2016"/>
    <n v="3"/>
    <n v="21"/>
    <n v="328239523"/>
  </r>
  <r>
    <x v="375"/>
    <s v="Ishtar Music"/>
    <n v="41400000"/>
    <n v="17608931161"/>
    <x v="17"/>
    <n v="4510"/>
    <x v="8"/>
    <x v="3"/>
    <n v="8700000"/>
    <n v="2005"/>
    <n v="9"/>
    <n v="22"/>
    <n v="1366417754"/>
  </r>
  <r>
    <x v="376"/>
    <s v="ISSEI / ï¿½ï¿½ï¿½ï¿½"/>
    <n v="15000000"/>
    <n v="13562853889"/>
    <x v="1"/>
    <n v="1788"/>
    <x v="36"/>
    <x v="3"/>
    <n v="13600000"/>
    <n v="2014"/>
    <n v="7"/>
    <n v="23"/>
    <n v="126226568"/>
  </r>
  <r>
    <x v="377"/>
    <s v="iTownGamePlay *Terror&amp;Diversiï¿½ï"/>
    <n v="14900000"/>
    <n v="4977284539"/>
    <x v="0"/>
    <n v="8420"/>
    <x v="11"/>
    <x v="4"/>
    <n v="665200"/>
    <n v="2012"/>
    <n v="2"/>
    <n v="15"/>
    <n v="47076781"/>
  </r>
  <r>
    <x v="378"/>
    <s v="It's Mamix"/>
    <n v="15100000"/>
    <n v="1777072487"/>
    <x v="2"/>
    <n v="210"/>
    <x v="1"/>
    <x v="1"/>
    <n v="767200"/>
    <n v="2017"/>
    <n v="2"/>
    <n v="1"/>
    <n v="328239523"/>
  </r>
  <r>
    <x v="379"/>
    <s v="Ivana Alawi"/>
    <n v="16600000"/>
    <n v="1318442641"/>
    <x v="12"/>
    <n v="180"/>
    <x v="10"/>
    <x v="3"/>
    <n v="723800"/>
    <n v="2018"/>
    <n v="6"/>
    <n v="1"/>
    <n v="108116615"/>
  </r>
  <r>
    <x v="380"/>
    <s v="J Balvin"/>
    <n v="34100000"/>
    <n v="23005313609"/>
    <x v="3"/>
    <n v="141"/>
    <x v="17"/>
    <x v="2"/>
    <n v="6200000"/>
    <n v="2011"/>
    <n v="2"/>
    <n v="18"/>
    <n v="50339443"/>
  </r>
  <r>
    <x v="381"/>
    <s v="jaanvi patel"/>
    <n v="17700000"/>
    <n v="7912733203"/>
    <x v="2"/>
    <n v="512"/>
    <x v="8"/>
    <x v="3"/>
    <n v="16600000"/>
    <n v="2018"/>
    <n v="7"/>
    <n v="18"/>
    <n v="1366417754"/>
  </r>
  <r>
    <x v="382"/>
    <s v="jacksepticeye"/>
    <n v="30100000"/>
    <n v="16246625836"/>
    <x v="6"/>
    <n v="5114"/>
    <x v="0"/>
    <x v="0"/>
    <n v="1900000"/>
    <n v="2007"/>
    <n v="2"/>
    <n v="24"/>
    <s v="N/A"/>
  </r>
  <r>
    <x v="383"/>
    <s v="Jake Fellman"/>
    <n v="18100000"/>
    <n v="13378360425"/>
    <x v="0"/>
    <n v="420"/>
    <x v="1"/>
    <x v="1"/>
    <n v="23900000"/>
    <n v="2012"/>
    <n v="10"/>
    <n v="13"/>
    <n v="328239523"/>
  </r>
  <r>
    <x v="384"/>
    <s v="Jake Paul"/>
    <n v="20400000"/>
    <n v="7311322368"/>
    <x v="2"/>
    <n v="1006"/>
    <x v="1"/>
    <x v="1"/>
    <n v="703000"/>
    <n v="2013"/>
    <n v="9"/>
    <n v="19"/>
    <n v="328239523"/>
  </r>
  <r>
    <x v="385"/>
    <s v="James Charles"/>
    <n v="23900000"/>
    <n v="4067878931"/>
    <x v="0"/>
    <n v="505"/>
    <x v="1"/>
    <x v="1"/>
    <n v="2800000"/>
    <n v="2015"/>
    <n v="12"/>
    <n v="1"/>
    <n v="328239523"/>
  </r>
  <r>
    <x v="386"/>
    <s v="jamill"/>
    <n v="12500000"/>
    <n v="1302818088"/>
    <x v="2"/>
    <n v="0"/>
    <x v="0"/>
    <x v="0"/>
    <n v="0"/>
    <n v="2006"/>
    <n v="2"/>
    <n v="22"/>
    <s v="N/A"/>
  </r>
  <r>
    <x v="387"/>
    <s v="jamuna tv24"/>
    <n v="13900000"/>
    <n v="12129583055"/>
    <x v="4"/>
    <n v="6"/>
    <x v="37"/>
    <x v="3"/>
    <n v="0.05"/>
    <n v="2021"/>
    <n v="2"/>
    <n v="10"/>
    <n v="167310838"/>
  </r>
  <r>
    <x v="388"/>
    <s v="Jane ASMR ï¿½ï¿½"/>
    <n v="17700000"/>
    <n v="7387621644"/>
    <x v="12"/>
    <n v="1888"/>
    <x v="4"/>
    <x v="3"/>
    <n v="0"/>
    <n v="2012"/>
    <n v="11"/>
    <n v="17"/>
    <n v="51709098"/>
  </r>
  <r>
    <x v="389"/>
    <s v="Jason Derulo"/>
    <n v="17900000"/>
    <n v="9887116267"/>
    <x v="3"/>
    <n v="830"/>
    <x v="1"/>
    <x v="1"/>
    <n v="21500000"/>
    <n v="2008"/>
    <n v="7"/>
    <n v="21"/>
    <n v="328239523"/>
  </r>
  <r>
    <x v="390"/>
    <s v="Jason Oo"/>
    <n v="17200000"/>
    <n v="8903647480"/>
    <x v="10"/>
    <n v="83"/>
    <x v="24"/>
    <x v="5"/>
    <n v="1"/>
    <n v="2014"/>
    <n v="9"/>
    <n v="11"/>
    <n v="25766605"/>
  </r>
  <r>
    <x v="391"/>
    <s v="JassRecords"/>
    <n v="12700000"/>
    <n v="5958994201"/>
    <x v="3"/>
    <n v="1"/>
    <x v="0"/>
    <x v="0"/>
    <n v="0.05"/>
    <n v="2012"/>
    <n v="2"/>
    <n v="10"/>
    <s v="N/A"/>
  </r>
  <r>
    <x v="392"/>
    <s v="Jazzghost"/>
    <n v="13900000"/>
    <n v="5673347763"/>
    <x v="6"/>
    <n v="5494"/>
    <x v="7"/>
    <x v="2"/>
    <n v="5100000"/>
    <n v="2012"/>
    <n v="8"/>
    <n v="30"/>
    <n v="212559417"/>
  </r>
  <r>
    <x v="393"/>
    <s v="jbalvinVEVO"/>
    <n v="13200000"/>
    <n v="20743586601"/>
    <x v="3"/>
    <n v="237"/>
    <x v="17"/>
    <x v="2"/>
    <n v="4100000"/>
    <n v="2010"/>
    <n v="9"/>
    <n v="30"/>
    <n v="50339443"/>
  </r>
  <r>
    <x v="394"/>
    <s v="JD Pantoja"/>
    <n v="13800000"/>
    <n v="1493776391"/>
    <x v="2"/>
    <n v="16"/>
    <x v="0"/>
    <x v="0"/>
    <n v="649600"/>
    <n v="2017"/>
    <n v="6"/>
    <n v="5"/>
    <s v="N/A"/>
  </r>
  <r>
    <x v="395"/>
    <s v="jeffreestar"/>
    <n v="15900000"/>
    <n v="2609358468"/>
    <x v="5"/>
    <n v="433"/>
    <x v="1"/>
    <x v="1"/>
    <n v="96300"/>
    <n v="2006"/>
    <n v="2"/>
    <n v="14"/>
    <n v="328239523"/>
  </r>
  <r>
    <x v="396"/>
    <s v="Jelly"/>
    <n v="23500000"/>
    <n v="14777034543"/>
    <x v="6"/>
    <n v="6066"/>
    <x v="6"/>
    <x v="4"/>
    <n v="2000000"/>
    <n v="2014"/>
    <n v="5"/>
    <n v="27"/>
    <n v="66834405"/>
  </r>
  <r>
    <x v="397"/>
    <s v="JennaMarbles"/>
    <n v="19700000"/>
    <n v="1803249241"/>
    <x v="1"/>
    <n v="250"/>
    <x v="1"/>
    <x v="1"/>
    <n v="180900"/>
    <n v="2010"/>
    <n v="2"/>
    <n v="16"/>
    <n v="328239523"/>
  </r>
  <r>
    <x v="398"/>
    <s v="Jennifer Lopez"/>
    <n v="16200000"/>
    <n v="10227242833"/>
    <x v="3"/>
    <n v="258"/>
    <x v="1"/>
    <x v="1"/>
    <n v="3000000"/>
    <n v="2005"/>
    <n v="11"/>
    <n v="18"/>
    <n v="328239523"/>
  </r>
  <r>
    <x v="399"/>
    <s v="Jess No Limit"/>
    <n v="34000000"/>
    <n v="3963007415"/>
    <x v="0"/>
    <n v="2284"/>
    <x v="13"/>
    <x v="3"/>
    <n v="26300000"/>
    <n v="2017"/>
    <n v="9"/>
    <n v="7"/>
    <n v="270203917"/>
  </r>
  <r>
    <x v="400"/>
    <s v="JesseAndMike"/>
    <n v="13000000"/>
    <n v="9999238237"/>
    <x v="0"/>
    <n v="716"/>
    <x v="1"/>
    <x v="1"/>
    <n v="2000000"/>
    <n v="2007"/>
    <n v="4"/>
    <n v="29"/>
    <n v="328239523"/>
  </r>
  <r>
    <x v="401"/>
    <s v="Jesser"/>
    <n v="14600000"/>
    <n v="3603556207"/>
    <x v="6"/>
    <n v="1244"/>
    <x v="1"/>
    <x v="1"/>
    <n v="4400000"/>
    <n v="2012"/>
    <n v="7"/>
    <n v="9"/>
    <n v="328239523"/>
  </r>
  <r>
    <x v="402"/>
    <s v="JFlaMusic"/>
    <n v="17600000"/>
    <n v="3802280098"/>
    <x v="3"/>
    <n v="326"/>
    <x v="4"/>
    <x v="3"/>
    <n v="532700"/>
    <n v="2011"/>
    <n v="8"/>
    <n v="22"/>
    <n v="51709098"/>
  </r>
  <r>
    <x v="403"/>
    <s v="Jimmy Kimmel Live"/>
    <n v="19100000"/>
    <n v="13124645973"/>
    <x v="0"/>
    <n v="6526"/>
    <x v="1"/>
    <x v="1"/>
    <n v="827600"/>
    <n v="2006"/>
    <n v="9"/>
    <n v="20"/>
    <n v="328239523"/>
  </r>
  <r>
    <x v="404"/>
    <s v="Jingle Toons"/>
    <n v="34000000"/>
    <n v="11351015824"/>
    <x v="8"/>
    <n v="240"/>
    <x v="8"/>
    <x v="3"/>
    <n v="8600000"/>
    <n v="2013"/>
    <n v="1"/>
    <n v="24"/>
    <n v="1366417754"/>
  </r>
  <r>
    <x v="405"/>
    <s v="JJ Olatunji"/>
    <n v="16200000"/>
    <n v="4076692623"/>
    <x v="6"/>
    <n v="1294"/>
    <x v="6"/>
    <x v="4"/>
    <n v="1300000"/>
    <n v="2011"/>
    <n v="1"/>
    <n v="26"/>
    <n v="66834405"/>
  </r>
  <r>
    <x v="406"/>
    <s v="Jkk Entertainment"/>
    <n v="37200000"/>
    <n v="16402066717"/>
    <x v="1"/>
    <n v="220"/>
    <x v="8"/>
    <x v="3"/>
    <n v="2400000"/>
    <n v="2017"/>
    <n v="3"/>
    <n v="20"/>
    <n v="1366417754"/>
  </r>
  <r>
    <x v="407"/>
    <s v="JOJO TV - Hindi Stories"/>
    <n v="13600000"/>
    <n v="5141201173"/>
    <x v="10"/>
    <n v="1097"/>
    <x v="8"/>
    <x v="3"/>
    <n v="516700"/>
    <n v="2016"/>
    <n v="12"/>
    <n v="25"/>
    <n v="1366417754"/>
  </r>
  <r>
    <x v="408"/>
    <s v="Jordan Matter"/>
    <n v="16600000"/>
    <n v="5819508534"/>
    <x v="0"/>
    <n v="413"/>
    <x v="1"/>
    <x v="1"/>
    <n v="9600000"/>
    <n v="2006"/>
    <n v="12"/>
    <n v="21"/>
    <n v="328239523"/>
  </r>
  <r>
    <x v="409"/>
    <s v="Jordi Sala"/>
    <n v="15100000"/>
    <n v="2400037562"/>
    <x v="5"/>
    <n v="159"/>
    <x v="38"/>
    <x v="4"/>
    <n v="4"/>
    <n v="2006"/>
    <n v="3"/>
    <n v="12"/>
    <s v="N/A"/>
  </r>
  <r>
    <x v="410"/>
    <s v="Jorge &amp; Mateus Oficial"/>
    <n v="14800000"/>
    <n v="9076642765"/>
    <x v="3"/>
    <n v="318"/>
    <x v="7"/>
    <x v="2"/>
    <n v="4200000"/>
    <n v="2008"/>
    <n v="7"/>
    <n v="29"/>
    <n v="212559417"/>
  </r>
  <r>
    <x v="411"/>
    <s v="Juan De Dios Pantoja"/>
    <n v="23600000"/>
    <n v="2135644776"/>
    <x v="0"/>
    <n v="226"/>
    <x v="2"/>
    <x v="2"/>
    <n v="2200000"/>
    <n v="2014"/>
    <n v="6"/>
    <n v="9"/>
    <n v="126014024"/>
  </r>
  <r>
    <x v="412"/>
    <s v="JuegaGerman"/>
    <n v="48100000"/>
    <n v="14631710289"/>
    <x v="6"/>
    <n v="2052"/>
    <x v="29"/>
    <x v="2"/>
    <n v="3200000"/>
    <n v="2013"/>
    <n v="5"/>
    <n v="19"/>
    <n v="18952038"/>
  </r>
  <r>
    <x v="413"/>
    <s v="JukiLop"/>
    <n v="19400000"/>
    <n v="1577859332"/>
    <x v="2"/>
    <n v="85"/>
    <x v="2"/>
    <x v="2"/>
    <n v="114300"/>
    <n v="2017"/>
    <n v="9"/>
    <n v="15"/>
    <n v="126014024"/>
  </r>
  <r>
    <x v="414"/>
    <s v="Julia Gisella"/>
    <n v="13500000"/>
    <n v="5380132790"/>
    <x v="0"/>
    <n v="19"/>
    <x v="6"/>
    <x v="4"/>
    <n v="78"/>
    <n v="2015"/>
    <n v="3"/>
    <n v="24"/>
    <n v="66834405"/>
  </r>
  <r>
    <x v="415"/>
    <s v="Juliana Baltar"/>
    <n v="15600000"/>
    <n v="3869457097"/>
    <x v="0"/>
    <n v="2019"/>
    <x v="7"/>
    <x v="2"/>
    <n v="2700000"/>
    <n v="2010"/>
    <n v="5"/>
    <n v="9"/>
    <n v="212559417"/>
  </r>
  <r>
    <x v="416"/>
    <s v="Junya.ï¿½ï¿½ï¿½ï¿½"/>
    <n v="26200000"/>
    <n v="16097531087"/>
    <x v="0"/>
    <n v="5985"/>
    <x v="36"/>
    <x v="3"/>
    <n v="34600000"/>
    <n v="2020"/>
    <n v="9"/>
    <n v="14"/>
    <n v="126226568"/>
  </r>
  <r>
    <x v="417"/>
    <s v="Just For Laughs Gags"/>
    <n v="13300000"/>
    <n v="7406628736"/>
    <x v="1"/>
    <n v="6916"/>
    <x v="1"/>
    <x v="1"/>
    <n v="838500"/>
    <n v="2007"/>
    <n v="1"/>
    <n v="14"/>
    <n v="328239523"/>
  </r>
  <r>
    <x v="418"/>
    <s v="Justin Bieber"/>
    <n v="71600000"/>
    <n v="30608119724"/>
    <x v="3"/>
    <n v="249"/>
    <x v="20"/>
    <x v="1"/>
    <n v="8500000"/>
    <n v="2007"/>
    <n v="1"/>
    <n v="15"/>
    <n v="36991981"/>
  </r>
  <r>
    <x v="419"/>
    <s v="JustinBieberVEVO"/>
    <n v="31600000"/>
    <n v="26583873105"/>
    <x v="3"/>
    <n v="204"/>
    <x v="1"/>
    <x v="1"/>
    <n v="5000000"/>
    <n v="2009"/>
    <n v="9"/>
    <n v="26"/>
    <n v="328239523"/>
  </r>
  <r>
    <x v="420"/>
    <s v="JYP Entertainment"/>
    <n v="27400000"/>
    <n v="19883150017"/>
    <x v="3"/>
    <n v="1753"/>
    <x v="4"/>
    <x v="3"/>
    <n v="14800000"/>
    <n v="2008"/>
    <n v="1"/>
    <n v="25"/>
    <n v="51709098"/>
  </r>
  <r>
    <x v="421"/>
    <s v="Kabita's Kitchen"/>
    <n v="13300000"/>
    <n v="2831275503"/>
    <x v="5"/>
    <n v="1489"/>
    <x v="8"/>
    <x v="3"/>
    <n v="2100000"/>
    <n v="2014"/>
    <n v="10"/>
    <n v="7"/>
    <n v="1366417754"/>
  </r>
  <r>
    <x v="422"/>
    <s v="karameeshchannel"/>
    <n v="13900000"/>
    <n v="9106781518"/>
    <x v="0"/>
    <n v="2254"/>
    <x v="39"/>
    <x v="3"/>
    <n v="4200000"/>
    <n v="2012"/>
    <n v="1"/>
    <n v="18"/>
    <n v="10101694"/>
  </r>
  <r>
    <x v="423"/>
    <s v="KAROL G"/>
    <n v="32100000"/>
    <n v="18699145555"/>
    <x v="3"/>
    <n v="134"/>
    <x v="17"/>
    <x v="2"/>
    <n v="22400000"/>
    <n v="2013"/>
    <n v="3"/>
    <n v="14"/>
    <n v="50339443"/>
  </r>
  <r>
    <x v="424"/>
    <s v="Kashvi Adlakha"/>
    <n v="15500000"/>
    <n v="12714141740"/>
    <x v="0"/>
    <n v="1525"/>
    <x v="8"/>
    <x v="3"/>
    <n v="6700000"/>
    <n v="2017"/>
    <n v="4"/>
    <n v="9"/>
    <n v="1366417754"/>
  </r>
  <r>
    <x v="425"/>
    <s v="Katakit Baby TV"/>
    <n v="15500000"/>
    <n v="6386271870"/>
    <x v="3"/>
    <n v="220"/>
    <x v="3"/>
    <x v="3"/>
    <n v="4400000"/>
    <n v="2010"/>
    <n v="7"/>
    <n v="26"/>
    <n v="34268528"/>
  </r>
  <r>
    <x v="426"/>
    <s v="KatieAngel"/>
    <n v="17900000"/>
    <n v="3841205465"/>
    <x v="2"/>
    <n v="982"/>
    <x v="1"/>
    <x v="1"/>
    <n v="2500000"/>
    <n v="2015"/>
    <n v="5"/>
    <n v="19"/>
    <n v="328239523"/>
  </r>
  <r>
    <x v="427"/>
    <s v="Katy Perry"/>
    <n v="44200000"/>
    <n v="25458952022"/>
    <x v="3"/>
    <n v="128"/>
    <x v="1"/>
    <x v="1"/>
    <n v="6400000"/>
    <n v="2008"/>
    <n v="6"/>
    <n v="1"/>
    <n v="328239523"/>
  </r>
  <r>
    <x v="428"/>
    <s v="KatyPerryVEVO"/>
    <n v="24600000"/>
    <n v="23755792542"/>
    <x v="3"/>
    <n v="175"/>
    <x v="1"/>
    <x v="1"/>
    <n v="4300000"/>
    <n v="2009"/>
    <n v="12"/>
    <n v="13"/>
    <n v="328239523"/>
  </r>
  <r>
    <x v="429"/>
    <s v="Kaykai Salaider"/>
    <n v="16400000"/>
    <n v="4434679706"/>
    <x v="1"/>
    <n v="428"/>
    <x v="14"/>
    <x v="3"/>
    <n v="448400"/>
    <n v="2011"/>
    <n v="1"/>
    <n v="24"/>
    <n v="69625582"/>
  </r>
  <r>
    <x v="430"/>
    <s v="KBS WORLD TV"/>
    <n v="19000000"/>
    <n v="15126092508"/>
    <x v="0"/>
    <n v="64496"/>
    <x v="4"/>
    <x v="3"/>
    <n v="5200000"/>
    <n v="2007"/>
    <n v="1"/>
    <n v="6"/>
    <n v="51709098"/>
  </r>
  <r>
    <x v="431"/>
    <s v="KerajiN/A 5-Menit"/>
    <n v="15400000"/>
    <n v="4750420071"/>
    <x v="2"/>
    <n v="4186"/>
    <x v="13"/>
    <x v="3"/>
    <n v="947500"/>
    <n v="2018"/>
    <n v="11"/>
    <n v="21"/>
    <n v="270203917"/>
  </r>
  <r>
    <x v="432"/>
    <s v="KHAN GS RESEARCH CENTRE"/>
    <n v="21200000"/>
    <n v="2073073070"/>
    <x v="10"/>
    <n v="1"/>
    <x v="0"/>
    <x v="0"/>
    <n v="0"/>
    <n v="2017"/>
    <n v="1"/>
    <n v="5"/>
    <s v="N/A"/>
  </r>
  <r>
    <x v="433"/>
    <s v="KHANDESHI MOVIES"/>
    <n v="33500000"/>
    <n v="11405809704"/>
    <x v="1"/>
    <n v="217"/>
    <x v="8"/>
    <x v="3"/>
    <n v="1200000"/>
    <n v="2013"/>
    <n v="11"/>
    <n v="11"/>
    <n v="1366417754"/>
  </r>
  <r>
    <x v="434"/>
    <s v="Kiddiestv Hindi - Nursery Rhymes &amp; Kids Songs"/>
    <n v="20200000"/>
    <n v="7274150246"/>
    <x v="10"/>
    <n v="226"/>
    <x v="8"/>
    <x v="3"/>
    <n v="5400000"/>
    <n v="2017"/>
    <n v="5"/>
    <n v="25"/>
    <n v="1366417754"/>
  </r>
  <r>
    <x v="435"/>
    <s v="Kids Lineï¿½ï¿½ï¿½ï¿½ï¿½ï¿½ï¿½"/>
    <n v="13300000"/>
    <n v="9088562002"/>
    <x v="2"/>
    <n v="2742"/>
    <x v="1"/>
    <x v="1"/>
    <n v="7800000"/>
    <n v="2011"/>
    <n v="11"/>
    <n v="26"/>
    <n v="328239523"/>
  </r>
  <r>
    <x v="436"/>
    <s v="Kids Play"/>
    <n v="16200000"/>
    <n v="8091706232"/>
    <x v="0"/>
    <n v="593"/>
    <x v="1"/>
    <x v="1"/>
    <n v="1200000"/>
    <n v="2018"/>
    <n v="5"/>
    <n v="14"/>
    <n v="328239523"/>
  </r>
  <r>
    <x v="437"/>
    <s v="Kids TV - Nursery Rhymes And Baby Songs"/>
    <n v="23100000"/>
    <n v="13151870846"/>
    <x v="14"/>
    <n v="3781"/>
    <x v="1"/>
    <x v="1"/>
    <n v="6200000"/>
    <n v="2013"/>
    <n v="8"/>
    <n v="30"/>
    <n v="328239523"/>
  </r>
  <r>
    <x v="438"/>
    <s v="Kids TV India Hindi Nursery Rhymes"/>
    <n v="13800000"/>
    <n v="6646953396"/>
    <x v="14"/>
    <n v="1505"/>
    <x v="8"/>
    <x v="3"/>
    <n v="3800000"/>
    <n v="2014"/>
    <n v="11"/>
    <n v="17"/>
    <n v="1366417754"/>
  </r>
  <r>
    <x v="439"/>
    <s v="Kim Loaiza"/>
    <n v="15100000"/>
    <n v="1576633086"/>
    <x v="3"/>
    <n v="18"/>
    <x v="0"/>
    <x v="0"/>
    <n v="1300000"/>
    <n v="2019"/>
    <n v="1"/>
    <n v="18"/>
    <s v="N/A"/>
  </r>
  <r>
    <x v="440"/>
    <s v="Kimberly Loaiza"/>
    <n v="41300000"/>
    <n v="5603111948"/>
    <x v="2"/>
    <n v="291"/>
    <x v="2"/>
    <x v="2"/>
    <n v="6600000"/>
    <n v="2016"/>
    <n v="11"/>
    <n v="16"/>
    <n v="126014024"/>
  </r>
  <r>
    <x v="441"/>
    <s v="Kinder Spielzeug Kanal (Kidibli)"/>
    <n v="22200000"/>
    <n v="11136266461"/>
    <x v="0"/>
    <n v="999"/>
    <x v="1"/>
    <x v="1"/>
    <n v="6700000"/>
    <n v="2015"/>
    <n v="9"/>
    <n v="25"/>
    <n v="328239523"/>
  </r>
  <r>
    <x v="442"/>
    <s v="KL BRO Biju Rithvik"/>
    <n v="22800000"/>
    <n v="17988347989"/>
    <x v="0"/>
    <n v="1841"/>
    <x v="0"/>
    <x v="0"/>
    <n v="97600000"/>
    <n v="2020"/>
    <n v="7"/>
    <n v="21"/>
    <s v="N/A"/>
  </r>
  <r>
    <x v="443"/>
    <s v="Knowledge Tv ï¿½ï¿½ï¿½ï¿½ï¿½ï¿½"/>
    <n v="13100000"/>
    <n v="1936582704"/>
    <x v="2"/>
    <n v="7"/>
    <x v="0"/>
    <x v="0"/>
    <n v="0.1"/>
    <n v="2019"/>
    <n v="11"/>
    <n v="24"/>
    <s v="N/A"/>
  </r>
  <r>
    <x v="444"/>
    <s v="KOMPASTV"/>
    <n v="15000000"/>
    <n v="11827310821"/>
    <x v="4"/>
    <n v="269050"/>
    <x v="13"/>
    <x v="3"/>
    <n v="5400000"/>
    <n v="2013"/>
    <n v="8"/>
    <n v="23"/>
    <n v="270203917"/>
  </r>
  <r>
    <x v="445"/>
    <s v="Koray Zeynep"/>
    <n v="17400000"/>
    <n v="16560557488"/>
    <x v="2"/>
    <n v="2078"/>
    <x v="0"/>
    <x v="0"/>
    <n v="20500000"/>
    <n v="2016"/>
    <n v="7"/>
    <n v="8"/>
    <s v="N/A"/>
  </r>
  <r>
    <x v="446"/>
    <s v="KSI"/>
    <n v="24100000"/>
    <n v="6002166932"/>
    <x v="0"/>
    <n v="1252"/>
    <x v="6"/>
    <x v="4"/>
    <n v="261100"/>
    <n v="2009"/>
    <n v="7"/>
    <n v="25"/>
    <n v="66834405"/>
  </r>
  <r>
    <x v="447"/>
    <s v="Kuplinov ï¿½ï¿½ï¿"/>
    <n v="15600000"/>
    <n v="6862529416"/>
    <x v="6"/>
    <n v="6623"/>
    <x v="0"/>
    <x v="0"/>
    <n v="4700000"/>
    <n v="2012"/>
    <n v="12"/>
    <n v="23"/>
    <s v="N/A"/>
  </r>
  <r>
    <x v="448"/>
    <s v="Kurt Hugo Schneider"/>
    <n v="13300000"/>
    <n v="3733856870"/>
    <x v="0"/>
    <n v="698"/>
    <x v="1"/>
    <x v="1"/>
    <n v="203200"/>
    <n v="2007"/>
    <n v="10"/>
    <n v="16"/>
    <n v="328239523"/>
  </r>
  <r>
    <x v="449"/>
    <s v="Kurzgesagt ï¿½ï¿½ï¿½ï¿½ï¿½ï¿"/>
    <n v="20800000"/>
    <n v="2378448129"/>
    <x v="10"/>
    <n v="193"/>
    <x v="21"/>
    <x v="4"/>
    <n v="1400000"/>
    <n v="2013"/>
    <n v="7"/>
    <n v="9"/>
    <n v="83132799"/>
  </r>
  <r>
    <x v="450"/>
    <s v="Kwebbelkop"/>
    <n v="15000000"/>
    <n v="6889304306"/>
    <x v="6"/>
    <n v="5198"/>
    <x v="1"/>
    <x v="1"/>
    <n v="1400000"/>
    <n v="2008"/>
    <n v="4"/>
    <n v="2"/>
    <n v="328239523"/>
  </r>
  <r>
    <x v="451"/>
    <s v="La Granja de Zenï¿½"/>
    <n v="35700000"/>
    <n v="27118354077"/>
    <x v="3"/>
    <n v="654"/>
    <x v="16"/>
    <x v="2"/>
    <n v="14500000"/>
    <n v="2013"/>
    <n v="6"/>
    <n v="6"/>
    <n v="44938712"/>
  </r>
  <r>
    <x v="452"/>
    <s v="Lachlan"/>
    <n v="14800000"/>
    <n v="5269059435"/>
    <x v="6"/>
    <n v="3834"/>
    <x v="24"/>
    <x v="5"/>
    <n v="1000000"/>
    <n v="2013"/>
    <n v="3"/>
    <n v="19"/>
    <n v="25766605"/>
  </r>
  <r>
    <x v="453"/>
    <s v="Lady Diana"/>
    <n v="13500000"/>
    <n v="8265920659"/>
    <x v="0"/>
    <n v="1403"/>
    <x v="5"/>
    <x v="4"/>
    <n v="3600000"/>
    <n v="2016"/>
    <n v="3"/>
    <n v="21"/>
    <n v="44385155"/>
  </r>
  <r>
    <x v="454"/>
    <s v="Lady Gaga"/>
    <n v="23200000"/>
    <n v="15751661213"/>
    <x v="2"/>
    <n v="172"/>
    <x v="1"/>
    <x v="1"/>
    <n v="6900000"/>
    <n v="2008"/>
    <n v="5"/>
    <n v="15"/>
    <n v="328239523"/>
  </r>
  <r>
    <x v="455"/>
    <s v="Lahari Music - TSeries"/>
    <n v="16600000"/>
    <n v="11946217860"/>
    <x v="3"/>
    <n v="8976"/>
    <x v="8"/>
    <x v="3"/>
    <n v="4300000"/>
    <n v="2011"/>
    <n v="11"/>
    <n v="21"/>
    <n v="1366417754"/>
  </r>
  <r>
    <x v="456"/>
    <s v="Lana Del Rey"/>
    <n v="14100000"/>
    <n v="6884215292"/>
    <x v="3"/>
    <n v="43"/>
    <x v="1"/>
    <x v="1"/>
    <n v="6500000"/>
    <n v="2011"/>
    <n v="5"/>
    <n v="5"/>
    <n v="328239523"/>
  </r>
  <r>
    <x v="457"/>
    <s v="LankyBox"/>
    <n v="25400000"/>
    <n v="34300482066"/>
    <x v="1"/>
    <n v="8775"/>
    <x v="1"/>
    <x v="1"/>
    <n v="39100000"/>
    <n v="2016"/>
    <n v="7"/>
    <n v="30"/>
    <n v="328239523"/>
  </r>
  <r>
    <x v="458"/>
    <s v="larosadeguadalupe"/>
    <n v="16100000"/>
    <n v="9642146451"/>
    <x v="0"/>
    <n v="0"/>
    <x v="2"/>
    <x v="2"/>
    <n v="0"/>
    <n v="2008"/>
    <n v="9"/>
    <n v="3"/>
    <n v="126014024"/>
  </r>
  <r>
    <x v="459"/>
    <s v="LAS RATITAS"/>
    <n v="25200000"/>
    <n v="9602246828"/>
    <x v="2"/>
    <n v="4"/>
    <x v="0"/>
    <x v="0"/>
    <n v="0.53"/>
    <n v="2019"/>
    <n v="5"/>
    <n v="31"/>
    <s v="N/A"/>
  </r>
  <r>
    <x v="460"/>
    <s v="LazarBeam"/>
    <n v="20500000"/>
    <n v="8768697257"/>
    <x v="6"/>
    <n v="1323"/>
    <x v="24"/>
    <x v="5"/>
    <n v="1300000"/>
    <n v="2015"/>
    <n v="1"/>
    <n v="4"/>
    <n v="25766605"/>
  </r>
  <r>
    <x v="461"/>
    <s v="League of Legends"/>
    <n v="15000000"/>
    <n v="7159750970"/>
    <x v="6"/>
    <n v="1362"/>
    <x v="1"/>
    <x v="1"/>
    <n v="2100000"/>
    <n v="2009"/>
    <n v="2"/>
    <n v="9"/>
    <n v="328239523"/>
  </r>
  <r>
    <x v="462"/>
    <s v="Leaux Pass"/>
    <n v="27500000"/>
    <n v="4552581106"/>
    <x v="2"/>
    <n v="27"/>
    <x v="1"/>
    <x v="1"/>
    <n v="0"/>
    <n v="2011"/>
    <n v="6"/>
    <n v="23"/>
    <n v="328239523"/>
  </r>
  <r>
    <x v="463"/>
    <s v="LEGO"/>
    <n v="16200000"/>
    <n v="20522339099"/>
    <x v="0"/>
    <n v="31889"/>
    <x v="40"/>
    <x v="3"/>
    <n v="5600000"/>
    <n v="2005"/>
    <n v="10"/>
    <n v="22"/>
    <n v="5703569"/>
  </r>
  <r>
    <x v="464"/>
    <s v="Lele Pons"/>
    <n v="17900000"/>
    <n v="5244917119"/>
    <x v="1"/>
    <n v="185"/>
    <x v="1"/>
    <x v="1"/>
    <n v="890300"/>
    <n v="2015"/>
    <n v="9"/>
    <n v="19"/>
    <n v="328239523"/>
  </r>
  <r>
    <x v="465"/>
    <s v="LeoNata Family"/>
    <n v="22600000"/>
    <n v="27084848152"/>
    <x v="2"/>
    <n v="2321"/>
    <x v="1"/>
    <x v="1"/>
    <n v="56300000"/>
    <n v="2021"/>
    <n v="9"/>
    <n v="28"/>
    <n v="328239523"/>
  </r>
  <r>
    <x v="466"/>
    <s v="les boys tv2"/>
    <n v="14500000"/>
    <n v="4577292740"/>
    <x v="0"/>
    <n v="453"/>
    <x v="1"/>
    <x v="1"/>
    <n v="21600"/>
    <n v="2017"/>
    <n v="2"/>
    <n v="7"/>
    <n v="328239523"/>
  </r>
  <r>
    <x v="467"/>
    <s v="Les' Copaque Production"/>
    <n v="17700000"/>
    <n v="9059696049"/>
    <x v="8"/>
    <n v="1716"/>
    <x v="41"/>
    <x v="3"/>
    <n v="5700000"/>
    <n v="2009"/>
    <n v="11"/>
    <n v="9"/>
    <n v="32447385"/>
  </r>
  <r>
    <x v="468"/>
    <s v="Like Nastya AE"/>
    <n v="24400000"/>
    <n v="12385924995"/>
    <x v="0"/>
    <n v="658"/>
    <x v="1"/>
    <x v="1"/>
    <n v="8200000"/>
    <n v="2018"/>
    <n v="12"/>
    <n v="19"/>
    <n v="328239523"/>
  </r>
  <r>
    <x v="469"/>
    <s v="Like Nastya ESP"/>
    <n v="37600000"/>
    <n v="18208196857"/>
    <x v="0"/>
    <n v="743"/>
    <x v="1"/>
    <x v="1"/>
    <n v="15400000"/>
    <n v="2017"/>
    <n v="4"/>
    <n v="22"/>
    <n v="328239523"/>
  </r>
  <r>
    <x v="470"/>
    <s v="Like Nastya IDN"/>
    <n v="16800000"/>
    <n v="7195314800"/>
    <x v="0"/>
    <n v="502"/>
    <x v="13"/>
    <x v="3"/>
    <n v="2100000"/>
    <n v="2019"/>
    <n v="11"/>
    <n v="22"/>
    <n v="270203917"/>
  </r>
  <r>
    <x v="471"/>
    <s v="Like Nastya PRT"/>
    <n v="22700000"/>
    <n v="11568118121"/>
    <x v="0"/>
    <n v="654"/>
    <x v="0"/>
    <x v="0"/>
    <n v="4600000"/>
    <n v="2019"/>
    <n v="4"/>
    <n v="9"/>
    <s v="N/A"/>
  </r>
  <r>
    <x v="472"/>
    <s v="Like Nastya Show"/>
    <n v="42400000"/>
    <n v="19547696190"/>
    <x v="0"/>
    <n v="618"/>
    <x v="1"/>
    <x v="1"/>
    <n v="2600000"/>
    <n v="2017"/>
    <n v="11"/>
    <n v="14"/>
    <n v="328239523"/>
  </r>
  <r>
    <x v="473"/>
    <s v="Like Nastya Stories"/>
    <n v="14500000"/>
    <n v="6944967581"/>
    <x v="0"/>
    <n v="479"/>
    <x v="1"/>
    <x v="1"/>
    <n v="1400000"/>
    <n v="2019"/>
    <n v="9"/>
    <n v="9"/>
    <n v="328239523"/>
  </r>
  <r>
    <x v="474"/>
    <s v="Like Nastya Vlog"/>
    <n v="18500000"/>
    <n v="8147575884"/>
    <x v="2"/>
    <n v="493"/>
    <x v="23"/>
    <x v="3"/>
    <n v="2300000"/>
    <n v="2016"/>
    <n v="1"/>
    <n v="14"/>
    <n v="144373535"/>
  </r>
  <r>
    <x v="475"/>
    <s v="Like Nastya Vlog"/>
    <n v="106000000"/>
    <n v="90479060027"/>
    <x v="2"/>
    <n v="493"/>
    <x v="23"/>
    <x v="3"/>
    <n v="2300000"/>
    <n v="2016"/>
    <n v="1"/>
    <n v="14"/>
    <n v="144373535"/>
  </r>
  <r>
    <x v="476"/>
    <s v="Like Nastya VNM"/>
    <n v="17900000"/>
    <n v="9867515979"/>
    <x v="0"/>
    <n v="602"/>
    <x v="33"/>
    <x v="3"/>
    <n v="4100000"/>
    <n v="2019"/>
    <n v="11"/>
    <n v="22"/>
    <n v="96462106"/>
  </r>
  <r>
    <x v="477"/>
    <s v="Lil Nas X"/>
    <n v="19100000"/>
    <n v="6339584661"/>
    <x v="3"/>
    <n v="37"/>
    <x v="0"/>
    <x v="0"/>
    <n v="2200000"/>
    <n v="2018"/>
    <n v="5"/>
    <n v="19"/>
    <s v="N/A"/>
  </r>
  <r>
    <x v="478"/>
    <s v="Lil Pump"/>
    <n v="17700000"/>
    <n v="4196061192"/>
    <x v="3"/>
    <n v="60"/>
    <x v="0"/>
    <x v="0"/>
    <n v="0"/>
    <n v="2015"/>
    <n v="10"/>
    <n v="15"/>
    <s v="N/A"/>
  </r>
  <r>
    <x v="479"/>
    <s v="Lilly Singh"/>
    <n v="14500000"/>
    <n v="3517662420"/>
    <x v="1"/>
    <n v="1064"/>
    <x v="20"/>
    <x v="1"/>
    <n v="255800"/>
    <n v="2010"/>
    <n v="10"/>
    <n v="29"/>
    <n v="36991981"/>
  </r>
  <r>
    <x v="480"/>
    <s v="Lindsey Stirling"/>
    <n v="13600000"/>
    <n v="3764608356"/>
    <x v="3"/>
    <n v="199"/>
    <x v="1"/>
    <x v="1"/>
    <n v="733300"/>
    <n v="2007"/>
    <n v="5"/>
    <n v="20"/>
    <n v="328239523"/>
  </r>
  <r>
    <x v="481"/>
    <s v="linkinpark"/>
    <n v="20400000"/>
    <n v="13397000296"/>
    <x v="3"/>
    <n v="0"/>
    <x v="42"/>
    <x v="3"/>
    <n v="0"/>
    <n v="2006"/>
    <n v="11"/>
    <n v="28"/>
    <n v="38041754"/>
  </r>
  <r>
    <x v="482"/>
    <s v="Linus Tech Tips"/>
    <n v="15600000"/>
    <n v="7172386509"/>
    <x v="9"/>
    <n v="6542"/>
    <x v="20"/>
    <x v="1"/>
    <n v="4200000"/>
    <n v="2008"/>
    <n v="11"/>
    <n v="25"/>
    <n v="36991981"/>
  </r>
  <r>
    <x v="483"/>
    <s v="Little Angel - Mï¿½ï¿½ï¿½ï¿½ï¿½ï¿½ï¿½ï¿½ï¿½ï¿½ï¿½"/>
    <n v="15000000"/>
    <n v="8897705695"/>
    <x v="0"/>
    <n v="795"/>
    <x v="7"/>
    <x v="2"/>
    <n v="7000000"/>
    <n v="2018"/>
    <n v="1"/>
    <n v="26"/>
    <n v="212559417"/>
  </r>
  <r>
    <x v="484"/>
    <s v="Little Angel Espaï¿½ï¿½ï¿½ï¿½ï¿½ï¿½ï¿½ï¿½ï¿½"/>
    <n v="18900000"/>
    <n v="9813245108"/>
    <x v="10"/>
    <n v="719"/>
    <x v="2"/>
    <x v="2"/>
    <n v="6700000"/>
    <n v="2018"/>
    <n v="1"/>
    <n v="26"/>
    <n v="126014024"/>
  </r>
  <r>
    <x v="485"/>
    <s v="Little Angel: Nursery Rhymes &amp; Kids Songs"/>
    <n v="30100000"/>
    <n v="22593193994"/>
    <x v="10"/>
    <n v="1349"/>
    <x v="1"/>
    <x v="1"/>
    <n v="5200000"/>
    <n v="2015"/>
    <n v="12"/>
    <n v="14"/>
    <n v="328239523"/>
  </r>
  <r>
    <x v="486"/>
    <s v="Little Baby Bum - Nursery Rhymes &amp; Kids Songs"/>
    <n v="40900000"/>
    <n v="39450824833"/>
    <x v="10"/>
    <n v="2423"/>
    <x v="1"/>
    <x v="1"/>
    <n v="4700000"/>
    <n v="2011"/>
    <n v="6"/>
    <n v="22"/>
    <n v="328239523"/>
  </r>
  <r>
    <x v="487"/>
    <s v="Little Baby Bum en Espaï¿½ï"/>
    <n v="12500000"/>
    <n v="6956320454"/>
    <x v="10"/>
    <n v="1459"/>
    <x v="11"/>
    <x v="4"/>
    <n v="783300"/>
    <n v="2014"/>
    <n v="6"/>
    <n v="6"/>
    <n v="47076781"/>
  </r>
  <r>
    <x v="488"/>
    <s v="Little Mix"/>
    <n v="16300000"/>
    <n v="7520242626"/>
    <x v="3"/>
    <n v="278"/>
    <x v="6"/>
    <x v="4"/>
    <n v="1900000"/>
    <n v="2011"/>
    <n v="11"/>
    <n v="30"/>
    <n v="66834405"/>
  </r>
  <r>
    <x v="489"/>
    <s v="LIV Crime"/>
    <n v="20900000"/>
    <n v="11058049885"/>
    <x v="2"/>
    <n v="9850"/>
    <x v="1"/>
    <x v="1"/>
    <n v="18400000"/>
    <n v="2020"/>
    <n v="8"/>
    <n v="18"/>
    <n v="328239523"/>
  </r>
  <r>
    <x v="490"/>
    <s v="Live"/>
    <n v="16100000"/>
    <n v="0"/>
    <x v="12"/>
    <n v="0"/>
    <x v="0"/>
    <x v="0"/>
    <n v="0"/>
    <n v="2015"/>
    <n v="1"/>
    <n v="13"/>
    <s v="N/A"/>
  </r>
  <r>
    <x v="491"/>
    <s v="Liza Koshy"/>
    <n v="17100000"/>
    <n v="2173106162"/>
    <x v="1"/>
    <n v="142"/>
    <x v="1"/>
    <x v="1"/>
    <n v="84500"/>
    <n v="2013"/>
    <n v="9"/>
    <n v="2"/>
    <n v="328239523"/>
  </r>
  <r>
    <x v="492"/>
    <s v="Lofi Girl"/>
    <n v="13000000"/>
    <n v="1698279553"/>
    <x v="3"/>
    <n v="409"/>
    <x v="26"/>
    <x v="4"/>
    <n v="1500000"/>
    <n v="2015"/>
    <n v="3"/>
    <n v="18"/>
    <n v="67059887"/>
  </r>
  <r>
    <x v="493"/>
    <s v="Logan Paul"/>
    <n v="23600000"/>
    <n v="5994002464"/>
    <x v="0"/>
    <n v="719"/>
    <x v="1"/>
    <x v="1"/>
    <n v="518600"/>
    <n v="2015"/>
    <n v="8"/>
    <n v="29"/>
    <n v="328239523"/>
  </r>
  <r>
    <x v="494"/>
    <s v="Lokdhun Punjabi"/>
    <n v="13100000"/>
    <n v="4712624489"/>
    <x v="3"/>
    <n v="1262"/>
    <x v="8"/>
    <x v="3"/>
    <n v="1700000"/>
    <n v="2010"/>
    <n v="12"/>
    <n v="27"/>
    <n v="1366417754"/>
  </r>
  <r>
    <x v="495"/>
    <s v="LOKESH GAMER"/>
    <n v="15300000"/>
    <n v="1640078055"/>
    <x v="6"/>
    <n v="1397"/>
    <x v="8"/>
    <x v="3"/>
    <n v="284200"/>
    <n v="2017"/>
    <n v="11"/>
    <n v="16"/>
    <n v="1366417754"/>
  </r>
  <r>
    <x v="496"/>
    <s v="LooLoo Kids - Nursery Rhymes and Children's ï¿½"/>
    <n v="54000000"/>
    <n v="32312431239"/>
    <x v="3"/>
    <n v="11"/>
    <x v="0"/>
    <x v="0"/>
    <n v="8"/>
    <n v="2016"/>
    <n v="11"/>
    <n v="29"/>
    <s v="N/A"/>
  </r>
  <r>
    <x v="497"/>
    <s v="LosPolinesios"/>
    <n v="25700000"/>
    <n v="7466926260"/>
    <x v="2"/>
    <n v="982"/>
    <x v="2"/>
    <x v="2"/>
    <n v="1500000"/>
    <n v="2012"/>
    <n v="12"/>
    <n v="16"/>
    <n v="126014024"/>
  </r>
  <r>
    <x v="498"/>
    <s v="Lotus Music"/>
    <n v="14500000"/>
    <n v="1739129375"/>
    <x v="12"/>
    <n v="514"/>
    <x v="8"/>
    <x v="3"/>
    <n v="1100000"/>
    <n v="2021"/>
    <n v="6"/>
    <n v="1"/>
    <n v="1366417754"/>
  </r>
  <r>
    <x v="499"/>
    <s v="Lucas and Marcus"/>
    <n v="31600000"/>
    <n v="11615848291"/>
    <x v="0"/>
    <n v="1321"/>
    <x v="1"/>
    <x v="1"/>
    <n v="15000000"/>
    <n v="2011"/>
    <n v="1"/>
    <n v="19"/>
    <n v="328239523"/>
  </r>
  <r>
    <x v="500"/>
    <s v="LUCCAS NETO- LUCCAS TOON"/>
    <n v="39400000"/>
    <n v="22302547082"/>
    <x v="2"/>
    <n v="1"/>
    <x v="0"/>
    <x v="0"/>
    <n v="0.1"/>
    <n v="2021"/>
    <n v="3"/>
    <n v="25"/>
    <s v="N/A"/>
  </r>
  <r>
    <x v="501"/>
    <s v="Luis Arturo Villar Sudek"/>
    <n v="40600000"/>
    <n v="8670473639"/>
    <x v="1"/>
    <n v="0"/>
    <x v="2"/>
    <x v="2"/>
    <n v="0"/>
    <n v="2010"/>
    <n v="6"/>
    <n v="18"/>
    <n v="126014024"/>
  </r>
  <r>
    <x v="502"/>
    <s v="luisfonsi"/>
    <n v="31400000"/>
    <n v="15176762479"/>
    <x v="0"/>
    <n v="0"/>
    <x v="0"/>
    <x v="0"/>
    <n v="0"/>
    <n v="2006"/>
    <n v="3"/>
    <n v="31"/>
    <s v="N/A"/>
  </r>
  <r>
    <x v="503"/>
    <s v="LuisFonsiVEVO"/>
    <n v="17000000"/>
    <n v="14543594822"/>
    <x v="3"/>
    <n v="97"/>
    <x v="1"/>
    <x v="1"/>
    <n v="2400000"/>
    <n v="2009"/>
    <n v="5"/>
    <n v="12"/>
    <n v="328239523"/>
  </r>
  <r>
    <x v="504"/>
    <s v="Luli Pampï¿½"/>
    <n v="14000000"/>
    <n v="8623705301"/>
    <x v="3"/>
    <n v="294"/>
    <x v="11"/>
    <x v="4"/>
    <n v="9700000"/>
    <n v="2012"/>
    <n v="12"/>
    <n v="22"/>
    <n v="47076781"/>
  </r>
  <r>
    <x v="505"/>
    <s v="Lyna"/>
    <n v="15900000"/>
    <n v="6534326412"/>
    <x v="6"/>
    <n v="4906"/>
    <x v="16"/>
    <x v="2"/>
    <n v="3100000"/>
    <n v="2014"/>
    <n v="9"/>
    <n v="8"/>
    <n v="44938712"/>
  </r>
  <r>
    <x v="506"/>
    <s v="Lyrical Lemonade"/>
    <n v="21000000"/>
    <n v="10631638628"/>
    <x v="0"/>
    <n v="420"/>
    <x v="1"/>
    <x v="1"/>
    <n v="3800000"/>
    <n v="2013"/>
    <n v="3"/>
    <n v="25"/>
    <n v="328239523"/>
  </r>
  <r>
    <x v="507"/>
    <s v="Maha Fun Tv"/>
    <n v="14700000"/>
    <n v="1321380490"/>
    <x v="0"/>
    <n v="85"/>
    <x v="1"/>
    <x v="1"/>
    <n v="229500"/>
    <n v="2017"/>
    <n v="9"/>
    <n v="5"/>
    <n v="328239523"/>
  </r>
  <r>
    <x v="508"/>
    <s v="MAIKI021"/>
    <n v="13700000"/>
    <n v="1950178163"/>
    <x v="0"/>
    <n v="3298"/>
    <x v="7"/>
    <x v="2"/>
    <n v="357000"/>
    <n v="2008"/>
    <n v="1"/>
    <n v="22"/>
    <n v="212559417"/>
  </r>
  <r>
    <x v="509"/>
    <s v="MajorLazerOfficial"/>
    <n v="14800000"/>
    <n v="9383431376"/>
    <x v="3"/>
    <n v="0"/>
    <x v="0"/>
    <x v="0"/>
    <n v="0"/>
    <n v="2013"/>
    <n v="6"/>
    <n v="14"/>
    <s v="N/A"/>
  </r>
  <r>
    <x v="510"/>
    <s v="Make Joke Of"/>
    <n v="12300000"/>
    <n v="2129773714"/>
    <x v="1"/>
    <n v="62"/>
    <x v="8"/>
    <x v="3"/>
    <n v="1200000"/>
    <n v="2017"/>
    <n v="8"/>
    <n v="1"/>
    <n v="1366417754"/>
  </r>
  <r>
    <x v="511"/>
    <s v="Makiman131"/>
    <n v="15100000"/>
    <n v="4236036141"/>
    <x v="6"/>
    <n v="2997"/>
    <x v="11"/>
    <x v="4"/>
    <n v="286600"/>
    <n v="2013"/>
    <n v="2"/>
    <n v="12"/>
    <n v="47076781"/>
  </r>
  <r>
    <x v="512"/>
    <s v="MaLuMa"/>
    <n v="29300000"/>
    <n v="21226945136"/>
    <x v="3"/>
    <n v="14"/>
    <x v="16"/>
    <x v="2"/>
    <n v="0.72"/>
    <n v="2015"/>
    <n v="10"/>
    <n v="31"/>
    <n v="44938712"/>
  </r>
  <r>
    <x v="513"/>
    <s v="MalumaVEVO"/>
    <n v="14100000"/>
    <n v="19013942981"/>
    <x v="3"/>
    <n v="182"/>
    <x v="1"/>
    <x v="1"/>
    <n v="4700000"/>
    <n v="2011"/>
    <n v="6"/>
    <n v="15"/>
    <n v="328239523"/>
  </r>
  <r>
    <x v="514"/>
    <s v="Manoj  parihar"/>
    <n v="19300000"/>
    <n v="264228052"/>
    <x v="12"/>
    <n v="335"/>
    <x v="8"/>
    <x v="3"/>
    <n v="1800000"/>
    <n v="2021"/>
    <n v="3"/>
    <n v="2"/>
    <n v="1366417754"/>
  </r>
  <r>
    <x v="515"/>
    <s v="Manual do Mundo"/>
    <n v="18000000"/>
    <n v="3980991248"/>
    <x v="5"/>
    <n v="2470"/>
    <x v="7"/>
    <x v="2"/>
    <n v="2600000"/>
    <n v="2006"/>
    <n v="7"/>
    <n v="24"/>
    <n v="212559417"/>
  </r>
  <r>
    <x v="516"/>
    <s v="Maria Clara &amp; JP"/>
    <n v="37000000"/>
    <n v="24188861917"/>
    <x v="2"/>
    <n v="744"/>
    <x v="7"/>
    <x v="2"/>
    <n v="12100000"/>
    <n v="2015"/>
    <n v="9"/>
    <n v="6"/>
    <n v="212559417"/>
  </r>
  <r>
    <x v="517"/>
    <s v="Mariale"/>
    <n v="15100000"/>
    <n v="2761547758"/>
    <x v="5"/>
    <n v="2618"/>
    <x v="1"/>
    <x v="1"/>
    <n v="573900"/>
    <n v="2010"/>
    <n v="1"/>
    <n v="6"/>
    <n v="328239523"/>
  </r>
  <r>
    <x v="518"/>
    <s v="mariliamendonca"/>
    <n v="26000000"/>
    <n v="18597534412"/>
    <x v="3"/>
    <n v="1"/>
    <x v="0"/>
    <x v="0"/>
    <n v="0.14000000000000001"/>
    <n v="2008"/>
    <n v="6"/>
    <n v="14"/>
    <s v="N/A"/>
  </r>
  <r>
    <x v="519"/>
    <s v="Mark Rober"/>
    <n v="24600000"/>
    <n v="3647987299"/>
    <x v="9"/>
    <n v="120"/>
    <x v="1"/>
    <x v="1"/>
    <n v="4300000"/>
    <n v="2011"/>
    <n v="10"/>
    <n v="20"/>
    <n v="328239523"/>
  </r>
  <r>
    <x v="520"/>
    <s v="Markiplier"/>
    <n v="35200000"/>
    <n v="20297931219"/>
    <x v="6"/>
    <n v="5490"/>
    <x v="1"/>
    <x v="1"/>
    <n v="6100000"/>
    <n v="2012"/>
    <n v="5"/>
    <n v="26"/>
    <n v="328239523"/>
  </r>
  <r>
    <x v="521"/>
    <s v="Marmok"/>
    <n v="18500000"/>
    <n v="3457618361"/>
    <x v="6"/>
    <n v="374"/>
    <x v="23"/>
    <x v="3"/>
    <n v="1800000"/>
    <n v="2008"/>
    <n v="4"/>
    <n v="27"/>
    <n v="144373535"/>
  </r>
  <r>
    <x v="522"/>
    <s v="Maroon 5"/>
    <n v="36600000"/>
    <n v="22553923546"/>
    <x v="3"/>
    <n v="171"/>
    <x v="1"/>
    <x v="1"/>
    <n v="7300000"/>
    <n v="2006"/>
    <n v="3"/>
    <n v="9"/>
    <n v="328239523"/>
  </r>
  <r>
    <x v="523"/>
    <s v="Maroon5VEVO"/>
    <n v="14500000"/>
    <n v="20042571499"/>
    <x v="3"/>
    <n v="147"/>
    <x v="1"/>
    <x v="1"/>
    <n v="4700000"/>
    <n v="2009"/>
    <n v="5"/>
    <n v="12"/>
    <n v="328239523"/>
  </r>
  <r>
    <x v="524"/>
    <s v="Marques Brownlee"/>
    <n v="17200000"/>
    <n v="3606912471"/>
    <x v="9"/>
    <n v="1567"/>
    <x v="1"/>
    <x v="1"/>
    <n v="2500000"/>
    <n v="2008"/>
    <n v="3"/>
    <n v="21"/>
    <n v="328239523"/>
  </r>
  <r>
    <x v="525"/>
    <s v="Marshmello"/>
    <n v="56400000"/>
    <n v="14696003229"/>
    <x v="0"/>
    <n v="436"/>
    <x v="1"/>
    <x v="1"/>
    <n v="5400000"/>
    <n v="2015"/>
    <n v="4"/>
    <n v="6"/>
    <n v="328239523"/>
  </r>
  <r>
    <x v="526"/>
    <s v="Marta and Rustam"/>
    <n v="20200000"/>
    <n v="19694265358"/>
    <x v="1"/>
    <n v="761"/>
    <x v="1"/>
    <x v="1"/>
    <n v="21700000"/>
    <n v="2021"/>
    <n v="6"/>
    <n v="21"/>
    <n v="328239523"/>
  </r>
  <r>
    <x v="527"/>
    <s v="Martin Garrix"/>
    <n v="14600000"/>
    <n v="6017932195"/>
    <x v="3"/>
    <n v="365"/>
    <x v="1"/>
    <x v="1"/>
    <n v="1700000"/>
    <n v="2011"/>
    <n v="1"/>
    <n v="15"/>
    <n v="328239523"/>
  </r>
  <r>
    <x v="528"/>
    <s v="MarvelEntertainment"/>
    <n v="20100000"/>
    <n v="5634695322"/>
    <x v="0"/>
    <n v="1"/>
    <x v="1"/>
    <x v="1"/>
    <n v="3"/>
    <n v="2011"/>
    <n v="5"/>
    <n v="10"/>
    <n v="328239523"/>
  </r>
  <r>
    <x v="529"/>
    <s v="Masha and The Bear"/>
    <n v="42400000"/>
    <n v="24519022988"/>
    <x v="14"/>
    <n v="1218"/>
    <x v="1"/>
    <x v="1"/>
    <n v="32200000"/>
    <n v="2014"/>
    <n v="9"/>
    <n v="17"/>
    <n v="328239523"/>
  </r>
  <r>
    <x v="530"/>
    <s v="Masha e o Urso"/>
    <n v="18900000"/>
    <n v="8301731337"/>
    <x v="14"/>
    <n v="0"/>
    <x v="0"/>
    <x v="0"/>
    <n v="0"/>
    <n v="2014"/>
    <n v="2"/>
    <n v="20"/>
    <s v="N/A"/>
  </r>
  <r>
    <x v="531"/>
    <s v="Masha y El oso"/>
    <n v="28300000"/>
    <n v="13577142726"/>
    <x v="8"/>
    <n v="6"/>
    <x v="0"/>
    <x v="0"/>
    <n v="0.1"/>
    <n v="2019"/>
    <n v="7"/>
    <n v="21"/>
    <s v="N/A"/>
  </r>
  <r>
    <x v="532"/>
    <s v="Matheus Yurley"/>
    <n v="12900000"/>
    <n v="140022442"/>
    <x v="0"/>
    <n v="69"/>
    <x v="7"/>
    <x v="2"/>
    <n v="7100"/>
    <n v="2015"/>
    <n v="1"/>
    <n v="27"/>
    <n v="212559417"/>
  </r>
  <r>
    <x v="533"/>
    <s v="Matt Steffanina"/>
    <n v="13300000"/>
    <n v="3299216601"/>
    <x v="0"/>
    <n v="331"/>
    <x v="1"/>
    <x v="1"/>
    <n v="92600"/>
    <n v="2007"/>
    <n v="11"/>
    <n v="28"/>
    <n v="328239523"/>
  </r>
  <r>
    <x v="534"/>
    <s v="MattStonie"/>
    <n v="16300000"/>
    <n v="3527627264"/>
    <x v="0"/>
    <n v="54"/>
    <x v="1"/>
    <x v="1"/>
    <n v="1400"/>
    <n v="2010"/>
    <n v="6"/>
    <n v="19"/>
    <n v="328239523"/>
  </r>
  <r>
    <x v="535"/>
    <s v="MattyBRaps"/>
    <n v="14800000"/>
    <n v="3587576784"/>
    <x v="3"/>
    <n v="195"/>
    <x v="1"/>
    <x v="1"/>
    <n v="1100000"/>
    <n v="2010"/>
    <n v="5"/>
    <n v="31"/>
    <n v="328239523"/>
  </r>
  <r>
    <x v="536"/>
    <s v="Maya and Mary"/>
    <n v="23600000"/>
    <n v="6766461070"/>
    <x v="0"/>
    <n v="552"/>
    <x v="1"/>
    <x v="1"/>
    <n v="2100000"/>
    <n v="2013"/>
    <n v="8"/>
    <n v="30"/>
    <n v="328239523"/>
  </r>
  <r>
    <x v="537"/>
    <s v="Mazhavil Manorama"/>
    <n v="15300000"/>
    <n v="16545966132"/>
    <x v="0"/>
    <n v="87864"/>
    <x v="8"/>
    <x v="3"/>
    <n v="17400000"/>
    <n v="2011"/>
    <n v="10"/>
    <n v="31"/>
    <n v="1366417754"/>
  </r>
  <r>
    <x v="538"/>
    <s v="MC Divertida"/>
    <n v="13200000"/>
    <n v="5224764969"/>
    <x v="0"/>
    <n v="413"/>
    <x v="7"/>
    <x v="2"/>
    <n v="3100000"/>
    <n v="2018"/>
    <n v="1"/>
    <n v="17"/>
    <n v="212559417"/>
  </r>
  <r>
    <x v="539"/>
    <s v="Meghan Trainor"/>
    <n v="14800000"/>
    <n v="8649303688"/>
    <x v="2"/>
    <n v="233"/>
    <x v="1"/>
    <x v="1"/>
    <n v="2500000"/>
    <n v="2008"/>
    <n v="6"/>
    <n v="4"/>
    <n v="328239523"/>
  </r>
  <r>
    <x v="540"/>
    <s v="melanie martinez"/>
    <n v="14900000"/>
    <n v="4395184343"/>
    <x v="3"/>
    <n v="127"/>
    <x v="1"/>
    <x v="1"/>
    <n v="2700000"/>
    <n v="2007"/>
    <n v="11"/>
    <n v="3"/>
    <n v="328239523"/>
  </r>
  <r>
    <x v="541"/>
    <s v="Melon City Show - ï¿½ï¿½ï¿½ï¿½ï¿½ï¿½ï¿½ï¿½ï¿½ï¿"/>
    <n v="12800000"/>
    <n v="5863456698"/>
    <x v="1"/>
    <n v="1727"/>
    <x v="43"/>
    <x v="3"/>
    <n v="1700000"/>
    <n v="2016"/>
    <n v="1"/>
    <n v="30"/>
    <n v="39309783"/>
  </r>
  <r>
    <x v="542"/>
    <s v="MGC Playhouse"/>
    <n v="17900000"/>
    <n v="16174530046"/>
    <x v="14"/>
    <n v="1426"/>
    <x v="1"/>
    <x v="1"/>
    <n v="4900000"/>
    <n v="2009"/>
    <n v="2"/>
    <n v="3"/>
    <n v="328239523"/>
  </r>
  <r>
    <x v="543"/>
    <s v="Mï¿½ï¿½ï¿½ï¿½"/>
    <n v="12500000"/>
    <n v="3140883140"/>
    <x v="18"/>
    <n v="766"/>
    <x v="2"/>
    <x v="2"/>
    <n v="1500000"/>
    <n v="2015"/>
    <n v="7"/>
    <n v="6"/>
    <n v="126014024"/>
  </r>
  <r>
    <x v="544"/>
    <s v="MiawAug"/>
    <n v="20200000"/>
    <n v="6098644584"/>
    <x v="6"/>
    <n v="3713"/>
    <x v="13"/>
    <x v="3"/>
    <n v="3100000"/>
    <n v="2014"/>
    <n v="3"/>
    <n v="15"/>
    <n v="270203917"/>
  </r>
  <r>
    <x v="545"/>
    <s v="Michael Jackson"/>
    <n v="28200000"/>
    <n v="14412474625"/>
    <x v="3"/>
    <n v="15"/>
    <x v="1"/>
    <x v="1"/>
    <n v="7600000"/>
    <n v="2005"/>
    <n v="6"/>
    <n v="22"/>
    <n v="328239523"/>
  </r>
  <r>
    <x v="546"/>
    <s v="Migos ATL"/>
    <n v="12400000"/>
    <n v="6993406259"/>
    <x v="3"/>
    <n v="99"/>
    <x v="1"/>
    <x v="1"/>
    <n v="2400000"/>
    <n v="2012"/>
    <n v="1"/>
    <n v="17"/>
    <n v="328239523"/>
  </r>
  <r>
    <x v="547"/>
    <s v="Mikecrack"/>
    <n v="39100000"/>
    <n v="16118181673"/>
    <x v="6"/>
    <n v="1876"/>
    <x v="11"/>
    <x v="4"/>
    <n v="12700000"/>
    <n v="2015"/>
    <n v="7"/>
    <n v="13"/>
    <n v="47076781"/>
  </r>
  <r>
    <x v="548"/>
    <s v="Miley Cyrus"/>
    <n v="18300000"/>
    <n v="7760819588"/>
    <x v="0"/>
    <n v="142"/>
    <x v="1"/>
    <x v="1"/>
    <n v="6100000"/>
    <n v="2009"/>
    <n v="9"/>
    <n v="15"/>
    <n v="328239523"/>
  </r>
  <r>
    <x v="549"/>
    <s v="Minecraft - Topic"/>
    <n v="20900000"/>
    <n v="0"/>
    <x v="12"/>
    <n v="0"/>
    <x v="0"/>
    <x v="0"/>
    <n v="0"/>
    <n v="2013"/>
    <n v="12"/>
    <n v="20"/>
    <s v="N/A"/>
  </r>
  <r>
    <x v="550"/>
    <s v="Mis Pastelitos"/>
    <n v="14600000"/>
    <n v="2750902766"/>
    <x v="5"/>
    <n v="603"/>
    <x v="2"/>
    <x v="2"/>
    <n v="2400000"/>
    <n v="2014"/>
    <n v="6"/>
    <n v="24"/>
    <n v="126014024"/>
  </r>
  <r>
    <x v="551"/>
    <s v="Miss Katy"/>
    <n v="23500000"/>
    <n v="14696994366"/>
    <x v="2"/>
    <n v="1044"/>
    <x v="6"/>
    <x v="4"/>
    <n v="2900000"/>
    <n v="2014"/>
    <n v="11"/>
    <n v="17"/>
    <n v="66834405"/>
  </r>
  <r>
    <x v="552"/>
    <s v="MissaSinfonia"/>
    <n v="17600000"/>
    <n v="2274007523"/>
    <x v="1"/>
    <n v="233"/>
    <x v="2"/>
    <x v="2"/>
    <n v="1300000"/>
    <n v="2011"/>
    <n v="1"/>
    <n v="5"/>
    <n v="126014024"/>
  </r>
  <r>
    <x v="553"/>
    <s v="Mister Max"/>
    <n v="23700000"/>
    <n v="15510153803"/>
    <x v="2"/>
    <n v="1099"/>
    <x v="6"/>
    <x v="4"/>
    <n v="1600000"/>
    <n v="2014"/>
    <n v="9"/>
    <n v="22"/>
    <n v="66834405"/>
  </r>
  <r>
    <x v="554"/>
    <s v="MK MUSIC"/>
    <n v="15900000"/>
    <n v="9198986881"/>
    <x v="3"/>
    <n v="5105"/>
    <x v="7"/>
    <x v="2"/>
    <n v="6500000"/>
    <n v="2010"/>
    <n v="1"/>
    <n v="18"/>
    <n v="212559417"/>
  </r>
  <r>
    <x v="555"/>
    <s v="mmoshaya"/>
    <n v="22600000"/>
    <n v="17507060680"/>
    <x v="2"/>
    <n v="1189"/>
    <x v="3"/>
    <x v="3"/>
    <n v="3500000"/>
    <n v="2010"/>
    <n v="12"/>
    <n v="11"/>
    <n v="34268528"/>
  </r>
  <r>
    <x v="556"/>
    <s v="MNCTV OFFICIAL"/>
    <n v="14900000"/>
    <n v="8074260978"/>
    <x v="0"/>
    <n v="66362"/>
    <x v="13"/>
    <x v="3"/>
    <n v="2100000"/>
    <n v="2012"/>
    <n v="11"/>
    <n v="29"/>
    <n v="270203917"/>
  </r>
  <r>
    <x v="557"/>
    <s v="Mnet K-POP"/>
    <n v="20500000"/>
    <n v="15038593883"/>
    <x v="0"/>
    <n v="33229"/>
    <x v="4"/>
    <x v="3"/>
    <n v="7600000"/>
    <n v="2006"/>
    <n v="3"/>
    <n v="9"/>
    <n v="51709098"/>
  </r>
  <r>
    <x v="558"/>
    <s v="Mobile Legends: Bang Bang"/>
    <n v="15400000"/>
    <n v="1543608082"/>
    <x v="6"/>
    <n v="1647"/>
    <x v="1"/>
    <x v="1"/>
    <n v="2700000"/>
    <n v="2016"/>
    <n v="7"/>
    <n v="14"/>
    <n v="328239523"/>
  </r>
  <r>
    <x v="559"/>
    <s v="Mohamed Ramadan I ï¿½ï¿½ï¿½ï¿½ï¿½ï¿½ï"/>
    <n v="15100000"/>
    <n v="5324913850"/>
    <x v="2"/>
    <n v="753"/>
    <x v="44"/>
    <x v="6"/>
    <n v="2200000"/>
    <n v="2014"/>
    <n v="10"/>
    <n v="31"/>
    <n v="100388073"/>
  </r>
  <r>
    <x v="560"/>
    <s v="MoniLinaFamily"/>
    <n v="12400000"/>
    <n v="16086808918"/>
    <x v="1"/>
    <n v="0"/>
    <x v="1"/>
    <x v="1"/>
    <n v="0"/>
    <n v="2016"/>
    <n v="5"/>
    <n v="10"/>
    <n v="328239523"/>
  </r>
  <r>
    <x v="561"/>
    <s v="MoreAliA"/>
    <n v="15000000"/>
    <n v="4352427049"/>
    <x v="6"/>
    <n v="2324"/>
    <x v="6"/>
    <x v="4"/>
    <n v="12000000"/>
    <n v="2013"/>
    <n v="5"/>
    <n v="6"/>
    <n v="66834405"/>
  </r>
  <r>
    <x v="562"/>
    <s v="Morgz"/>
    <n v="12600000"/>
    <n v="3303595310"/>
    <x v="6"/>
    <n v="825"/>
    <x v="6"/>
    <x v="4"/>
    <n v="2800000"/>
    <n v="2014"/>
    <n v="6"/>
    <n v="10"/>
    <n v="66834405"/>
  </r>
  <r>
    <x v="563"/>
    <s v="Movieclips"/>
    <n v="59500000"/>
    <n v="59316472754"/>
    <x v="8"/>
    <n v="39113"/>
    <x v="1"/>
    <x v="1"/>
    <n v="5500000"/>
    <n v="2006"/>
    <n v="4"/>
    <n v="28"/>
    <n v="328239523"/>
  </r>
  <r>
    <x v="564"/>
    <s v="Mr Bean"/>
    <n v="32100000"/>
    <n v="10602236110"/>
    <x v="14"/>
    <n v="3091"/>
    <x v="6"/>
    <x v="4"/>
    <n v="2700000"/>
    <n v="2006"/>
    <n v="1"/>
    <n v="4"/>
    <n v="66834405"/>
  </r>
  <r>
    <x v="565"/>
    <s v="MR. INDIAN HACKER"/>
    <n v="31700000"/>
    <n v="5711208484"/>
    <x v="9"/>
    <n v="929"/>
    <x v="8"/>
    <x v="3"/>
    <n v="5200000"/>
    <n v="2012"/>
    <n v="6"/>
    <n v="21"/>
    <n v="1366417754"/>
  </r>
  <r>
    <x v="566"/>
    <s v="Mr_Mughall Gaming"/>
    <n v="12500000"/>
    <n v="4340213066"/>
    <x v="9"/>
    <n v="223"/>
    <x v="18"/>
    <x v="3"/>
    <n v="419"/>
    <n v="2022"/>
    <n v="4"/>
    <n v="23"/>
    <n v="216565318"/>
  </r>
  <r>
    <x v="567"/>
    <s v="MrBeast"/>
    <n v="166000000"/>
    <n v="28368841870"/>
    <x v="0"/>
    <n v="741"/>
    <x v="1"/>
    <x v="1"/>
    <n v="64700000"/>
    <n v="2012"/>
    <n v="2"/>
    <n v="20"/>
    <n v="328239523"/>
  </r>
  <r>
    <x v="568"/>
    <s v="MrBeast en Espaï¿½ï"/>
    <n v="24200000"/>
    <n v="2700914170"/>
    <x v="0"/>
    <n v="67"/>
    <x v="2"/>
    <x v="2"/>
    <n v="1600000"/>
    <n v="2021"/>
    <n v="7"/>
    <n v="9"/>
    <n v="126014024"/>
  </r>
  <r>
    <x v="569"/>
    <s v="MrBeastGaming"/>
    <n v="36100000"/>
    <n v="6331332547"/>
    <x v="6"/>
    <n v="5"/>
    <x v="0"/>
    <x v="0"/>
    <n v="2"/>
    <n v="2011"/>
    <n v="2"/>
    <n v="26"/>
    <s v="N/A"/>
  </r>
  <r>
    <x v="570"/>
    <s v="MrDegree"/>
    <n v="15500000"/>
    <n v="12880388253"/>
    <x v="9"/>
    <n v="0"/>
    <x v="1"/>
    <x v="1"/>
    <n v="0"/>
    <n v="2016"/>
    <n v="3"/>
    <n v="2"/>
    <n v="328239523"/>
  </r>
  <r>
    <x v="571"/>
    <s v="MrSuicideSheep"/>
    <n v="12800000"/>
    <n v="6970899521"/>
    <x v="0"/>
    <n v="3483"/>
    <x v="20"/>
    <x v="1"/>
    <n v="869600"/>
    <n v="2010"/>
    <n v="4"/>
    <n v="9"/>
    <n v="36991981"/>
  </r>
  <r>
    <x v="572"/>
    <s v="Mrwhosetheboss"/>
    <n v="15400000"/>
    <n v="3736069980"/>
    <x v="9"/>
    <n v="1577"/>
    <x v="6"/>
    <x v="4"/>
    <n v="8000000"/>
    <n v="2011"/>
    <n v="4"/>
    <n v="20"/>
    <n v="66834405"/>
  </r>
  <r>
    <x v="573"/>
    <s v="MSA Previously My Story Animated"/>
    <n v="17800000"/>
    <n v="8588704539"/>
    <x v="8"/>
    <n v="26"/>
    <x v="1"/>
    <x v="1"/>
    <n v="994"/>
    <n v="2021"/>
    <n v="11"/>
    <n v="9"/>
    <n v="328239523"/>
  </r>
  <r>
    <x v="574"/>
    <s v="mujjuu___14"/>
    <n v="24800000"/>
    <n v="14655527943"/>
    <x v="2"/>
    <n v="872"/>
    <x v="0"/>
    <x v="0"/>
    <n v="19200000"/>
    <n v="2020"/>
    <n v="5"/>
    <n v="18"/>
    <s v="N/A"/>
  </r>
  <r>
    <x v="575"/>
    <s v="Mundo Bita"/>
    <n v="12500000"/>
    <n v="16690788752"/>
    <x v="3"/>
    <n v="253"/>
    <x v="7"/>
    <x v="2"/>
    <n v="10300000"/>
    <n v="2011"/>
    <n v="9"/>
    <n v="29"/>
    <n v="212559417"/>
  </r>
  <r>
    <x v="576"/>
    <s v="Music"/>
    <n v="119000000"/>
    <n v="0"/>
    <x v="12"/>
    <n v="0"/>
    <x v="0"/>
    <x v="0"/>
    <n v="0"/>
    <n v="2013"/>
    <n v="9"/>
    <n v="24"/>
    <s v="N/A"/>
  </r>
  <r>
    <x v="577"/>
    <s v="My Family"/>
    <n v="15700000"/>
    <n v="6153495609"/>
    <x v="12"/>
    <n v="150"/>
    <x v="40"/>
    <x v="3"/>
    <n v="45100"/>
    <n v="2019"/>
    <n v="12"/>
    <n v="3"/>
    <n v="5703569"/>
  </r>
  <r>
    <x v="578"/>
    <s v="My Mate Nate"/>
    <n v="13400000"/>
    <n v="3363634923"/>
    <x v="1"/>
    <n v="1195"/>
    <x v="14"/>
    <x v="3"/>
    <n v="2000000"/>
    <n v="2014"/>
    <n v="12"/>
    <n v="8"/>
    <n v="69625582"/>
  </r>
  <r>
    <x v="579"/>
    <s v="MyMissAN/Ad"/>
    <n v="13700000"/>
    <n v="4963275018"/>
    <x v="2"/>
    <n v="340"/>
    <x v="8"/>
    <x v="3"/>
    <n v="1300000"/>
    <n v="2014"/>
    <n v="7"/>
    <n v="22"/>
    <n v="1366417754"/>
  </r>
  <r>
    <x v="580"/>
    <s v="Mzaalo"/>
    <n v="32700000"/>
    <n v="17853798780"/>
    <x v="0"/>
    <n v="1521"/>
    <x v="8"/>
    <x v="3"/>
    <n v="972600"/>
    <n v="2012"/>
    <n v="3"/>
    <n v="14"/>
    <n v="1366417754"/>
  </r>
  <r>
    <x v="581"/>
    <s v="Naisa Alifia Yuriza (N.A.Y)"/>
    <n v="18300000"/>
    <n v="1606834186"/>
    <x v="2"/>
    <n v="786"/>
    <x v="13"/>
    <x v="3"/>
    <n v="819000"/>
    <n v="2017"/>
    <n v="7"/>
    <n v="8"/>
    <n v="270203917"/>
  </r>
  <r>
    <x v="582"/>
    <s v="Narendra Modi"/>
    <n v="15800000"/>
    <n v="3392918989"/>
    <x v="4"/>
    <n v="20679"/>
    <x v="8"/>
    <x v="3"/>
    <n v="8900000"/>
    <n v="2007"/>
    <n v="10"/>
    <n v="26"/>
    <n v="1366417754"/>
  </r>
  <r>
    <x v="583"/>
    <s v="Narins Beauty"/>
    <n v="14000000"/>
    <n v="2214167846"/>
    <x v="5"/>
    <n v="431"/>
    <x v="19"/>
    <x v="4"/>
    <n v="658000"/>
    <n v="2014"/>
    <n v="9"/>
    <n v="24"/>
    <n v="10285453"/>
  </r>
  <r>
    <x v="584"/>
    <s v="Natan por Aï¿"/>
    <n v="12300000"/>
    <n v="9029609749"/>
    <x v="15"/>
    <n v="1200"/>
    <x v="7"/>
    <x v="2"/>
    <n v="26500000"/>
    <n v="2017"/>
    <n v="2"/>
    <n v="12"/>
    <n v="212559417"/>
  </r>
  <r>
    <x v="585"/>
    <s v="National Geographic"/>
    <n v="21800000"/>
    <n v="5614621131"/>
    <x v="9"/>
    <n v="10162"/>
    <x v="1"/>
    <x v="1"/>
    <n v="2200000"/>
    <n v="2006"/>
    <n v="5"/>
    <n v="7"/>
    <n v="328239523"/>
  </r>
  <r>
    <x v="586"/>
    <s v="NBA"/>
    <n v="20700000"/>
    <n v="12624879732"/>
    <x v="15"/>
    <n v="47926"/>
    <x v="1"/>
    <x v="1"/>
    <n v="3500000"/>
    <n v="2005"/>
    <n v="11"/>
    <n v="21"/>
    <n v="328239523"/>
  </r>
  <r>
    <x v="587"/>
    <s v="NDTV"/>
    <n v="12500000"/>
    <n v="4935793409"/>
    <x v="0"/>
    <n v="151136"/>
    <x v="8"/>
    <x v="3"/>
    <n v="2800000"/>
    <n v="2006"/>
    <n v="5"/>
    <n v="8"/>
    <n v="1366417754"/>
  </r>
  <r>
    <x v="588"/>
    <s v="NDTV India"/>
    <n v="15200000"/>
    <n v="6624168155"/>
    <x v="4"/>
    <n v="91704"/>
    <x v="8"/>
    <x v="3"/>
    <n v="2400000"/>
    <n v="2008"/>
    <n v="1"/>
    <n v="19"/>
    <n v="1366417754"/>
  </r>
  <r>
    <x v="589"/>
    <s v="Neha Kakkar"/>
    <n v="14100000"/>
    <n v="2131548711"/>
    <x v="3"/>
    <n v="149"/>
    <x v="8"/>
    <x v="3"/>
    <n v="1200000"/>
    <n v="2012"/>
    <n v="10"/>
    <n v="22"/>
    <n v="1366417754"/>
  </r>
  <r>
    <x v="590"/>
    <s v="netd mï¿½ï¿"/>
    <n v="24100000"/>
    <n v="56106087508"/>
    <x v="3"/>
    <n v="23491"/>
    <x v="22"/>
    <x v="4"/>
    <n v="20400000"/>
    <n v="2014"/>
    <n v="1"/>
    <n v="23"/>
    <n v="83429615"/>
  </r>
  <r>
    <x v="591"/>
    <s v="Netflix"/>
    <n v="26700000"/>
    <n v="7173668905"/>
    <x v="0"/>
    <n v="6471"/>
    <x v="1"/>
    <x v="1"/>
    <n v="5700000"/>
    <n v="2012"/>
    <n v="7"/>
    <n v="17"/>
    <n v="328239523"/>
  </r>
  <r>
    <x v="592"/>
    <s v="NETFLIX INDIA"/>
    <n v="21800000"/>
    <n v="7780934187"/>
    <x v="2"/>
    <n v="1"/>
    <x v="0"/>
    <x v="0"/>
    <n v="0"/>
    <n v="2017"/>
    <n v="9"/>
    <n v="24"/>
    <s v="N/A"/>
  </r>
  <r>
    <x v="593"/>
    <s v="Netflix Jr."/>
    <n v="14700000"/>
    <n v="8882319696"/>
    <x v="10"/>
    <n v="1996"/>
    <x v="1"/>
    <x v="1"/>
    <n v="3800000"/>
    <n v="2012"/>
    <n v="1"/>
    <n v="28"/>
    <n v="328239523"/>
  </r>
  <r>
    <x v="594"/>
    <s v="News"/>
    <n v="36300000"/>
    <n v="0"/>
    <x v="12"/>
    <n v="0"/>
    <x v="0"/>
    <x v="0"/>
    <n v="0"/>
    <n v="2013"/>
    <n v="9"/>
    <n v="9"/>
    <s v="N/A"/>
  </r>
  <r>
    <x v="595"/>
    <s v="News18 India"/>
    <n v="17500000"/>
    <n v="7263619576"/>
    <x v="4"/>
    <n v="182742"/>
    <x v="8"/>
    <x v="3"/>
    <n v="18900000"/>
    <n v="2007"/>
    <n v="10"/>
    <n v="25"/>
    <n v="1366417754"/>
  </r>
  <r>
    <x v="596"/>
    <s v="Niana Guerrero"/>
    <n v="15200000"/>
    <n v="1491452935"/>
    <x v="0"/>
    <n v="443"/>
    <x v="10"/>
    <x v="3"/>
    <n v="479000"/>
    <n v="2013"/>
    <n v="4"/>
    <n v="11"/>
    <n v="108116615"/>
  </r>
  <r>
    <x v="597"/>
    <s v="NichLmao"/>
    <n v="26000000"/>
    <n v="14101010609"/>
    <x v="2"/>
    <n v="868"/>
    <x v="0"/>
    <x v="0"/>
    <n v="29100000"/>
    <n v="2018"/>
    <n v="9"/>
    <n v="25"/>
    <s v="N/A"/>
  </r>
  <r>
    <x v="598"/>
    <s v="Nick Jr."/>
    <n v="27300000"/>
    <n v="22440611155"/>
    <x v="8"/>
    <n v="5438"/>
    <x v="1"/>
    <x v="1"/>
    <n v="2000000"/>
    <n v="2012"/>
    <n v="9"/>
    <n v="27"/>
    <n v="328239523"/>
  </r>
  <r>
    <x v="599"/>
    <s v="Nicki Minaj"/>
    <n v="25700000"/>
    <n v="10242981063"/>
    <x v="3"/>
    <n v="42"/>
    <x v="1"/>
    <x v="1"/>
    <n v="5000000"/>
    <n v="2013"/>
    <n v="8"/>
    <n v="28"/>
    <n v="328239523"/>
  </r>
  <r>
    <x v="600"/>
    <s v="NickiMinajAtVEVO"/>
    <n v="12600000"/>
    <n v="8831179714"/>
    <x v="3"/>
    <n v="99"/>
    <x v="1"/>
    <x v="1"/>
    <n v="1700000"/>
    <n v="2010"/>
    <n v="4"/>
    <n v="1"/>
    <n v="328239523"/>
  </r>
  <r>
    <x v="601"/>
    <s v="NickyJamTV"/>
    <n v="23600000"/>
    <n v="15901824841"/>
    <x v="3"/>
    <n v="392"/>
    <x v="0"/>
    <x v="0"/>
    <n v="3700000"/>
    <n v="2012"/>
    <n v="1"/>
    <n v="10"/>
    <s v="N/A"/>
  </r>
  <r>
    <x v="602"/>
    <s v="nigahiga"/>
    <n v="21000000"/>
    <n v="4380564906"/>
    <x v="0"/>
    <n v="403"/>
    <x v="1"/>
    <x v="1"/>
    <n v="118900"/>
    <n v="2006"/>
    <n v="7"/>
    <n v="21"/>
    <n v="328239523"/>
  </r>
  <r>
    <x v="603"/>
    <s v="NikkieTutorials"/>
    <n v="14200000"/>
    <n v="1778318927"/>
    <x v="5"/>
    <n v="876"/>
    <x v="45"/>
    <x v="4"/>
    <n v="1700000"/>
    <n v="2008"/>
    <n v="6"/>
    <n v="23"/>
    <n v="17332850"/>
  </r>
  <r>
    <x v="604"/>
    <s v="Ninja"/>
    <n v="23700000"/>
    <n v="2543809954"/>
    <x v="6"/>
    <n v="1732"/>
    <x v="1"/>
    <x v="1"/>
    <n v="401700"/>
    <n v="2011"/>
    <n v="11"/>
    <n v="11"/>
    <n v="328239523"/>
  </r>
  <r>
    <x v="605"/>
    <s v="Ninja Kidz TV"/>
    <n v="20500000"/>
    <n v="11009148579"/>
    <x v="0"/>
    <n v="296"/>
    <x v="1"/>
    <x v="1"/>
    <n v="9400000"/>
    <n v="2017"/>
    <n v="2"/>
    <n v="9"/>
    <n v="328239523"/>
  </r>
  <r>
    <x v="606"/>
    <s v="NishaMadhulika"/>
    <n v="13700000"/>
    <n v="2939201386"/>
    <x v="5"/>
    <n v="2158"/>
    <x v="8"/>
    <x v="3"/>
    <n v="1100000"/>
    <n v="2009"/>
    <n v="8"/>
    <n v="2"/>
    <n v="1366417754"/>
  </r>
  <r>
    <x v="607"/>
    <s v="NMF News"/>
    <n v="16600000"/>
    <n v="7435180827"/>
    <x v="4"/>
    <n v="112261"/>
    <x v="8"/>
    <x v="3"/>
    <n v="2800000"/>
    <n v="2013"/>
    <n v="10"/>
    <n v="22"/>
    <n v="1366417754"/>
  </r>
  <r>
    <x v="608"/>
    <s v="nobru"/>
    <n v="14400000"/>
    <n v="351763324"/>
    <x v="6"/>
    <n v="2"/>
    <x v="0"/>
    <x v="0"/>
    <n v="0.1"/>
    <n v="2006"/>
    <n v="2"/>
    <n v="3"/>
    <s v="N/A"/>
  </r>
  <r>
    <x v="609"/>
    <s v="NoCopyrightSounds"/>
    <n v="33400000"/>
    <n v="10530729078"/>
    <x v="3"/>
    <n v="1331"/>
    <x v="6"/>
    <x v="4"/>
    <n v="2700000"/>
    <n v="2011"/>
    <n v="8"/>
    <n v="14"/>
    <n v="66834405"/>
  </r>
  <r>
    <x v="610"/>
    <s v="Noman Official"/>
    <n v="14600000"/>
    <n v="5525773746"/>
    <x v="1"/>
    <n v="560"/>
    <x v="8"/>
    <x v="3"/>
    <n v="6700000"/>
    <n v="2019"/>
    <n v="10"/>
    <n v="28"/>
    <n v="1366417754"/>
  </r>
  <r>
    <x v="611"/>
    <s v="Noor Stars"/>
    <n v="20200000"/>
    <n v="2764127969"/>
    <x v="1"/>
    <n v="693"/>
    <x v="15"/>
    <x v="3"/>
    <n v="746700"/>
    <n v="2014"/>
    <n v="4"/>
    <n v="24"/>
    <n v="9770529"/>
  </r>
  <r>
    <x v="612"/>
    <s v="O Que Nï¿½ï¿½ï¿½ï¿½ï¿½ï¿"/>
    <n v="13700000"/>
    <n v="1967930734"/>
    <x v="1"/>
    <n v="696"/>
    <x v="7"/>
    <x v="2"/>
    <n v="4200000"/>
    <n v="2015"/>
    <n v="2"/>
    <n v="6"/>
    <n v="212559417"/>
  </r>
  <r>
    <x v="613"/>
    <s v="O Reino Infantil"/>
    <n v="14600000"/>
    <n v="11182302317"/>
    <x v="3"/>
    <n v="1206"/>
    <x v="7"/>
    <x v="2"/>
    <n v="5300000"/>
    <n v="2014"/>
    <n v="8"/>
    <n v="19"/>
    <n v="212559417"/>
  </r>
  <r>
    <x v="614"/>
    <s v="OfficialPinkPanther"/>
    <n v="19700000"/>
    <n v="10955619815"/>
    <x v="8"/>
    <n v="1"/>
    <x v="1"/>
    <x v="1"/>
    <n v="0"/>
    <n v="2011"/>
    <n v="10"/>
    <n v="6"/>
    <n v="328239523"/>
  </r>
  <r>
    <x v="615"/>
    <s v="officialpsy"/>
    <n v="18100000"/>
    <n v="10703830496"/>
    <x v="3"/>
    <n v="131"/>
    <x v="4"/>
    <x v="3"/>
    <n v="3100000"/>
    <n v="2010"/>
    <n v="10"/>
    <n v="4"/>
    <n v="51709098"/>
  </r>
  <r>
    <x v="616"/>
    <s v="OneDirectionVEVO"/>
    <n v="21800000"/>
    <n v="12140232004"/>
    <x v="3"/>
    <n v="266"/>
    <x v="6"/>
    <x v="4"/>
    <n v="2500000"/>
    <n v="2010"/>
    <n v="12"/>
    <n v="4"/>
    <n v="66834405"/>
  </r>
  <r>
    <x v="617"/>
    <s v="Oyuncak Avï¿"/>
    <n v="15200000"/>
    <n v="8333387785"/>
    <x v="0"/>
    <n v="654"/>
    <x v="22"/>
    <x v="4"/>
    <n v="212500"/>
    <n v="2014"/>
    <n v="12"/>
    <n v="29"/>
    <n v="83429615"/>
  </r>
  <r>
    <x v="618"/>
    <s v="Ozuna"/>
    <n v="36200000"/>
    <n v="23355801606"/>
    <x v="3"/>
    <n v="196"/>
    <x v="0"/>
    <x v="0"/>
    <n v="8100000"/>
    <n v="2016"/>
    <n v="3"/>
    <n v="24"/>
    <s v="N/A"/>
  </r>
  <r>
    <x v="619"/>
    <s v="Painzeiro"/>
    <n v="13100000"/>
    <n v="2555801802"/>
    <x v="2"/>
    <n v="1077"/>
    <x v="7"/>
    <x v="2"/>
    <n v="2100000"/>
    <n v="2015"/>
    <n v="11"/>
    <n v="6"/>
    <n v="212559417"/>
  </r>
  <r>
    <x v="620"/>
    <s v="PANDA BOI"/>
    <n v="26400000"/>
    <n v="17211600007"/>
    <x v="0"/>
    <n v="967"/>
    <x v="27"/>
    <x v="4"/>
    <n v="58800000"/>
    <n v="2020"/>
    <n v="12"/>
    <n v="5"/>
    <n v="60297396"/>
  </r>
  <r>
    <x v="621"/>
    <s v="Panda Shorts"/>
    <n v="16100000"/>
    <n v="7155736006"/>
    <x v="12"/>
    <n v="667"/>
    <x v="19"/>
    <x v="4"/>
    <n v="23000000"/>
    <n v="2020"/>
    <n v="11"/>
    <n v="21"/>
    <n v="10285453"/>
  </r>
  <r>
    <x v="622"/>
    <s v="Parafernalha"/>
    <n v="12500000"/>
    <n v="4625777945"/>
    <x v="0"/>
    <n v="1888"/>
    <x v="7"/>
    <x v="2"/>
    <n v="343600"/>
    <n v="2011"/>
    <n v="5"/>
    <n v="13"/>
    <n v="212559417"/>
  </r>
  <r>
    <x v="623"/>
    <s v="Pari's Lifestyle"/>
    <n v="12400000"/>
    <n v="7741764747"/>
    <x v="2"/>
    <n v="459"/>
    <x v="8"/>
    <x v="3"/>
    <n v="1800000"/>
    <n v="2018"/>
    <n v="11"/>
    <n v="26"/>
    <n v="1366417754"/>
  </r>
  <r>
    <x v="624"/>
    <s v="Pastor Antï¿½ï¿½ï¿½ï¿½ï"/>
    <n v="12900000"/>
    <n v="2112274210"/>
    <x v="2"/>
    <n v="4712"/>
    <x v="7"/>
    <x v="2"/>
    <n v="1500000"/>
    <n v="2013"/>
    <n v="1"/>
    <n v="19"/>
    <n v="212559417"/>
  </r>
  <r>
    <x v="625"/>
    <s v="Paulo Londra"/>
    <n v="22400000"/>
    <n v="8040036209"/>
    <x v="3"/>
    <n v="58"/>
    <x v="16"/>
    <x v="2"/>
    <n v="3500000"/>
    <n v="2016"/>
    <n v="8"/>
    <n v="8"/>
    <n v="44938712"/>
  </r>
  <r>
    <x v="626"/>
    <s v="PDK Films"/>
    <n v="18400000"/>
    <n v="4120324310"/>
    <x v="0"/>
    <n v="111"/>
    <x v="1"/>
    <x v="1"/>
    <n v="692600"/>
    <n v="2009"/>
    <n v="7"/>
    <n v="21"/>
    <n v="328239523"/>
  </r>
  <r>
    <x v="627"/>
    <s v="Peet Montzingo"/>
    <n v="13400000"/>
    <n v="10022557589"/>
    <x v="2"/>
    <n v="319"/>
    <x v="1"/>
    <x v="1"/>
    <n v="19100000"/>
    <n v="2014"/>
    <n v="6"/>
    <n v="1"/>
    <n v="328239523"/>
  </r>
  <r>
    <x v="628"/>
    <s v="Pen Movies"/>
    <n v="24300000"/>
    <n v="6608773195"/>
    <x v="8"/>
    <n v="1667"/>
    <x v="8"/>
    <x v="3"/>
    <n v="4600000"/>
    <n v="2014"/>
    <n v="3"/>
    <n v="25"/>
    <n v="1366417754"/>
  </r>
  <r>
    <x v="629"/>
    <s v="Pencilmation"/>
    <n v="20100000"/>
    <n v="11317309935"/>
    <x v="8"/>
    <n v="1481"/>
    <x v="1"/>
    <x v="1"/>
    <n v="713400"/>
    <n v="2007"/>
    <n v="2"/>
    <n v="1"/>
    <n v="328239523"/>
  </r>
  <r>
    <x v="630"/>
    <s v="penguinz0"/>
    <n v="13300000"/>
    <n v="7773543609"/>
    <x v="6"/>
    <n v="4613"/>
    <x v="1"/>
    <x v="1"/>
    <n v="9100000"/>
    <n v="2007"/>
    <n v="5"/>
    <n v="7"/>
    <n v="328239523"/>
  </r>
  <r>
    <x v="631"/>
    <s v="pentatonix"/>
    <n v="20000000"/>
    <n v="6033295543"/>
    <x v="3"/>
    <n v="1"/>
    <x v="20"/>
    <x v="1"/>
    <n v="0"/>
    <n v="2006"/>
    <n v="3"/>
    <n v="9"/>
    <n v="36991981"/>
  </r>
  <r>
    <x v="632"/>
    <s v="People Vs Food"/>
    <n v="12500000"/>
    <n v="1136534702"/>
    <x v="0"/>
    <n v="601"/>
    <x v="1"/>
    <x v="1"/>
    <n v="736300"/>
    <n v="2013"/>
    <n v="7"/>
    <n v="30"/>
    <n v="328239523"/>
  </r>
  <r>
    <x v="633"/>
    <s v="Peppa Pig - Official Channel"/>
    <n v="31400000"/>
    <n v="22919271731"/>
    <x v="8"/>
    <n v="3589"/>
    <x v="6"/>
    <x v="4"/>
    <n v="11800000"/>
    <n v="2013"/>
    <n v="10"/>
    <n v="9"/>
    <n v="66834405"/>
  </r>
  <r>
    <x v="634"/>
    <s v="Peppa Pig em Portuguï¿½ï¿½ï¿½ï¿½ï¿½ï¿½ï¿½ï¿½ï¿½"/>
    <n v="13100000"/>
    <n v="4214172991"/>
    <x v="8"/>
    <n v="1365"/>
    <x v="7"/>
    <x v="2"/>
    <n v="1300000"/>
    <n v="2014"/>
    <n v="5"/>
    <n v="6"/>
    <n v="212559417"/>
  </r>
  <r>
    <x v="635"/>
    <s v="Peppa Pig Espaï¿½ï¿½ï¿½ï¿½ï¿½ï¿½ï¿½ï¿½ï¿½"/>
    <n v="23600000"/>
    <n v="7920637200"/>
    <x v="8"/>
    <n v="1251"/>
    <x v="6"/>
    <x v="4"/>
    <n v="2600000"/>
    <n v="2014"/>
    <n v="7"/>
    <n v="28"/>
    <n v="66834405"/>
  </r>
  <r>
    <x v="636"/>
    <s v="PewDiePie"/>
    <n v="111000000"/>
    <n v="29058044447"/>
    <x v="6"/>
    <n v="4716"/>
    <x v="36"/>
    <x v="3"/>
    <n v="1900000"/>
    <n v="2010"/>
    <n v="4"/>
    <n v="29"/>
    <n v="126226568"/>
  </r>
  <r>
    <x v="637"/>
    <s v="Pinkfong Baby Shark - Kids' Songs &amp; Stories"/>
    <n v="68200000"/>
    <n v="38843229963"/>
    <x v="10"/>
    <n v="2865"/>
    <x v="1"/>
    <x v="1"/>
    <n v="22700000"/>
    <n v="2011"/>
    <n v="12"/>
    <n v="14"/>
    <n v="328239523"/>
  </r>
  <r>
    <x v="638"/>
    <s v="Pitbull"/>
    <n v="16300000"/>
    <n v="12475714382"/>
    <x v="3"/>
    <n v="352"/>
    <x v="1"/>
    <x v="1"/>
    <n v="4200000"/>
    <n v="2006"/>
    <n v="7"/>
    <n v="5"/>
    <n v="328239523"/>
  </r>
  <r>
    <x v="639"/>
    <s v="Piuzinho"/>
    <n v="12700000"/>
    <n v="1081285962"/>
    <x v="6"/>
    <n v="504"/>
    <x v="7"/>
    <x v="2"/>
    <n v="173700"/>
    <n v="2015"/>
    <n v="5"/>
    <n v="13"/>
    <n v="212559417"/>
  </r>
  <r>
    <x v="640"/>
    <s v="Planeta das Gï¿½ï¿½"/>
    <n v="14600000"/>
    <n v="4622581344"/>
    <x v="2"/>
    <n v="951"/>
    <x v="7"/>
    <x v="2"/>
    <n v="506300"/>
    <n v="2015"/>
    <n v="11"/>
    <n v="21"/>
    <n v="212559417"/>
  </r>
  <r>
    <x v="641"/>
    <s v="PlayStation"/>
    <n v="15000000"/>
    <n v="4741434420"/>
    <x v="6"/>
    <n v="20292"/>
    <x v="1"/>
    <x v="1"/>
    <n v="2000000"/>
    <n v="2005"/>
    <n v="12"/>
    <n v="16"/>
    <n v="328239523"/>
  </r>
  <r>
    <x v="642"/>
    <s v="Pokï¿½ï¿½ï¿½ï¿½ï¿½ï¿½ï¿½ï¿½ï¿½"/>
    <n v="15200000"/>
    <n v="857725714"/>
    <x v="2"/>
    <n v="194"/>
    <x v="8"/>
    <x v="3"/>
    <n v="3100000"/>
    <n v="2017"/>
    <n v="10"/>
    <n v="15"/>
    <n v="1366417754"/>
  </r>
  <r>
    <x v="643"/>
    <s v="Pop Chartbusters"/>
    <n v="16900000"/>
    <n v="8684010451"/>
    <x v="3"/>
    <n v="2235"/>
    <x v="8"/>
    <x v="3"/>
    <n v="3500000"/>
    <n v="2011"/>
    <n v="8"/>
    <n v="26"/>
    <n v="1366417754"/>
  </r>
  <r>
    <x v="644"/>
    <s v="POPS Kids"/>
    <n v="16200000"/>
    <n v="9763592867"/>
    <x v="3"/>
    <n v="3943"/>
    <x v="33"/>
    <x v="3"/>
    <n v="12300000"/>
    <n v="2014"/>
    <n v="1"/>
    <n v="14"/>
    <n v="96462106"/>
  </r>
  <r>
    <x v="645"/>
    <s v="Popular on Youtube"/>
    <n v="29300000"/>
    <n v="0"/>
    <x v="12"/>
    <n v="3"/>
    <x v="0"/>
    <x v="0"/>
    <n v="0.05"/>
    <n v="2017"/>
    <n v="8"/>
    <n v="7"/>
    <s v="N/A"/>
  </r>
  <r>
    <x v="646"/>
    <s v="PopularMMOs"/>
    <n v="17200000"/>
    <n v="14573155899"/>
    <x v="6"/>
    <n v="4685"/>
    <x v="0"/>
    <x v="0"/>
    <n v="734200"/>
    <n v="2012"/>
    <n v="4"/>
    <n v="17"/>
    <s v="N/A"/>
  </r>
  <r>
    <x v="647"/>
    <s v="Porta dos Fundos"/>
    <n v="17700000"/>
    <n v="7739048000"/>
    <x v="0"/>
    <n v="2240"/>
    <x v="7"/>
    <x v="2"/>
    <n v="1700000"/>
    <n v="2012"/>
    <n v="3"/>
    <n v="12"/>
    <n v="212559417"/>
  </r>
  <r>
    <x v="648"/>
    <s v="Post Malone"/>
    <n v="25500000"/>
    <n v="14401218086"/>
    <x v="3"/>
    <n v="78"/>
    <x v="1"/>
    <x v="1"/>
    <n v="9400000"/>
    <n v="2011"/>
    <n v="12"/>
    <n v="15"/>
    <n v="328239523"/>
  </r>
  <r>
    <x v="649"/>
    <s v="PowerfulJRE"/>
    <n v="15100000"/>
    <n v="3060202847"/>
    <x v="2"/>
    <n v="1037"/>
    <x v="1"/>
    <x v="1"/>
    <n v="2100000"/>
    <n v="2013"/>
    <n v="1"/>
    <n v="12"/>
    <n v="328239523"/>
  </r>
  <r>
    <x v="650"/>
    <s v="PowerKids TV"/>
    <n v="36500000"/>
    <n v="18961241905"/>
    <x v="8"/>
    <n v="5621"/>
    <x v="0"/>
    <x v="0"/>
    <n v="15300000"/>
    <n v="2014"/>
    <n v="8"/>
    <n v="6"/>
    <s v="N/A"/>
  </r>
  <r>
    <x v="651"/>
    <s v="Prajapati News"/>
    <n v="17000000"/>
    <n v="1001465469"/>
    <x v="1"/>
    <n v="1407"/>
    <x v="8"/>
    <x v="3"/>
    <n v="366100"/>
    <n v="2013"/>
    <n v="3"/>
    <n v="14"/>
    <n v="1366417754"/>
  </r>
  <r>
    <x v="652"/>
    <s v="Preston"/>
    <n v="14600000"/>
    <n v="5766647017"/>
    <x v="6"/>
    <n v="4009"/>
    <x v="1"/>
    <x v="1"/>
    <n v="7300000"/>
    <n v="2012"/>
    <n v="7"/>
    <n v="4"/>
    <n v="328239523"/>
  </r>
  <r>
    <x v="653"/>
    <s v="Preston"/>
    <n v="24000000"/>
    <n v="8279004442"/>
    <x v="6"/>
    <n v="4009"/>
    <x v="1"/>
    <x v="1"/>
    <n v="7300000"/>
    <n v="2012"/>
    <n v="7"/>
    <n v="4"/>
    <n v="328239523"/>
  </r>
  <r>
    <x v="654"/>
    <s v="Prime Video India"/>
    <n v="15700000"/>
    <n v="8696631898"/>
    <x v="0"/>
    <n v="7090"/>
    <x v="1"/>
    <x v="1"/>
    <n v="16100000"/>
    <n v="2016"/>
    <n v="10"/>
    <n v="3"/>
    <n v="328239523"/>
  </r>
  <r>
    <x v="655"/>
    <s v="Priyal Kukreja"/>
    <n v="17800000"/>
    <n v="11057945183"/>
    <x v="2"/>
    <n v="772"/>
    <x v="8"/>
    <x v="3"/>
    <n v="20700000"/>
    <n v="2021"/>
    <n v="4"/>
    <n v="23"/>
    <n v="1366417754"/>
  </r>
  <r>
    <x v="656"/>
    <s v="Queen Official"/>
    <n v="17000000"/>
    <n v="10847948832"/>
    <x v="3"/>
    <n v="1015"/>
    <x v="6"/>
    <x v="4"/>
    <n v="4500000"/>
    <n v="2008"/>
    <n v="7"/>
    <n v="7"/>
    <n v="66834405"/>
  </r>
  <r>
    <x v="657"/>
    <s v="Rafa &amp; Luiz"/>
    <n v="21000000"/>
    <n v="7762905663"/>
    <x v="0"/>
    <n v="2883"/>
    <x v="7"/>
    <x v="2"/>
    <n v="5700000"/>
    <n v="2015"/>
    <n v="8"/>
    <n v="26"/>
    <n v="212559417"/>
  </r>
  <r>
    <x v="658"/>
    <s v="Raffy Tulfo in Action"/>
    <n v="26500000"/>
    <n v="15065753455"/>
    <x v="4"/>
    <n v="10022"/>
    <x v="10"/>
    <x v="3"/>
    <n v="7800000"/>
    <n v="2016"/>
    <n v="4"/>
    <n v="20"/>
    <n v="108116615"/>
  </r>
  <r>
    <x v="659"/>
    <s v="Rajshri"/>
    <n v="33500000"/>
    <n v="14864294792"/>
    <x v="3"/>
    <n v="3741"/>
    <x v="8"/>
    <x v="3"/>
    <n v="13100000"/>
    <n v="2006"/>
    <n v="3"/>
    <n v="24"/>
    <n v="1366417754"/>
  </r>
  <r>
    <x v="660"/>
    <s v="Rans Entertainment"/>
    <n v="25400000"/>
    <n v="6430853035"/>
    <x v="2"/>
    <n v="3716"/>
    <x v="13"/>
    <x v="3"/>
    <n v="2800000"/>
    <n v="2015"/>
    <n v="12"/>
    <n v="27"/>
    <n v="270203917"/>
  </r>
  <r>
    <x v="661"/>
    <s v="Ranz Kyle"/>
    <n v="15100000"/>
    <n v="1760131384"/>
    <x v="2"/>
    <n v="533"/>
    <x v="10"/>
    <x v="3"/>
    <n v="594000"/>
    <n v="2008"/>
    <n v="4"/>
    <n v="27"/>
    <n v="108116615"/>
  </r>
  <r>
    <x v="662"/>
    <s v="RaptorGamer"/>
    <n v="13100000"/>
    <n v="2879263916"/>
    <x v="2"/>
    <n v="1444"/>
    <x v="31"/>
    <x v="2"/>
    <n v="3000000"/>
    <n v="2016"/>
    <n v="7"/>
    <n v="16"/>
    <n v="17373662"/>
  </r>
  <r>
    <x v="663"/>
    <s v="Rauw Alejandro"/>
    <n v="12900000"/>
    <n v="11504090820"/>
    <x v="3"/>
    <n v="168"/>
    <x v="0"/>
    <x v="0"/>
    <n v="9900000"/>
    <n v="2014"/>
    <n v="12"/>
    <n v="11"/>
    <s v="N/A"/>
  </r>
  <r>
    <x v="664"/>
    <s v="Ray William Johnson"/>
    <n v="15000000"/>
    <n v="10239836582"/>
    <x v="0"/>
    <n v="1803"/>
    <x v="1"/>
    <x v="1"/>
    <n v="15000000"/>
    <n v="2008"/>
    <n v="5"/>
    <n v="26"/>
    <n v="328239523"/>
  </r>
  <r>
    <x v="665"/>
    <s v="Rclbeauty101"/>
    <n v="14400000"/>
    <n v="3900312631"/>
    <x v="1"/>
    <n v="463"/>
    <x v="1"/>
    <x v="1"/>
    <n v="414500"/>
    <n v="2010"/>
    <n v="12"/>
    <n v="14"/>
    <n v="328239523"/>
  </r>
  <r>
    <x v="666"/>
    <s v="RCTI - LAYAR DRAMA INDONESIA"/>
    <n v="16400000"/>
    <n v="13478392540"/>
    <x v="0"/>
    <n v="1"/>
    <x v="0"/>
    <x v="0"/>
    <n v="0"/>
    <n v="2020"/>
    <n v="10"/>
    <n v="19"/>
    <s v="N/A"/>
  </r>
  <r>
    <x v="667"/>
    <s v="REACT"/>
    <n v="20000000"/>
    <n v="13154314376"/>
    <x v="0"/>
    <n v="4339"/>
    <x v="1"/>
    <x v="1"/>
    <n v="1100000"/>
    <n v="2007"/>
    <n v="6"/>
    <n v="4"/>
    <n v="328239523"/>
  </r>
  <r>
    <x v="668"/>
    <s v="Reaction Time"/>
    <n v="14500000"/>
    <n v="4260187928"/>
    <x v="0"/>
    <n v="1717"/>
    <x v="1"/>
    <x v="1"/>
    <n v="475700"/>
    <n v="2015"/>
    <n v="4"/>
    <n v="25"/>
    <n v="328239523"/>
  </r>
  <r>
    <x v="669"/>
    <s v="RebeccaZamolo"/>
    <n v="14300000"/>
    <n v="6388439235"/>
    <x v="1"/>
    <n v="1"/>
    <x v="1"/>
    <x v="1"/>
    <n v="0"/>
    <n v="2011"/>
    <n v="8"/>
    <n v="4"/>
    <n v="328239523"/>
  </r>
  <r>
    <x v="670"/>
    <s v="RedeTV"/>
    <n v="13100000"/>
    <n v="5333569294"/>
    <x v="0"/>
    <n v="36760"/>
    <x v="7"/>
    <x v="2"/>
    <n v="844200"/>
    <n v="2011"/>
    <n v="10"/>
    <n v="18"/>
    <n v="212559417"/>
  </r>
  <r>
    <x v="671"/>
    <s v="Renato Garcia YT"/>
    <n v="26900000"/>
    <n v="7938616641"/>
    <x v="0"/>
    <n v="3956"/>
    <x v="7"/>
    <x v="2"/>
    <n v="4000000"/>
    <n v="2011"/>
    <n v="9"/>
    <n v="29"/>
    <n v="212559417"/>
  </r>
  <r>
    <x v="672"/>
    <s v="rezendeevil"/>
    <n v="32100000"/>
    <n v="13061739758"/>
    <x v="6"/>
    <n v="11882"/>
    <x v="7"/>
    <x v="2"/>
    <n v="2100000"/>
    <n v="2012"/>
    <n v="2"/>
    <n v="12"/>
    <n v="212559417"/>
  </r>
  <r>
    <x v="673"/>
    <s v="Ricis Official"/>
    <n v="33300000"/>
    <n v="5994136760"/>
    <x v="2"/>
    <n v="2736"/>
    <x v="13"/>
    <x v="3"/>
    <n v="7500000"/>
    <n v="2016"/>
    <n v="1"/>
    <n v="15"/>
    <n v="270203917"/>
  </r>
  <r>
    <x v="674"/>
    <s v="Right to Shiksha"/>
    <n v="12800000"/>
    <n v="7876740921"/>
    <x v="10"/>
    <n v="2044"/>
    <x v="8"/>
    <x v="3"/>
    <n v="10300000"/>
    <n v="2020"/>
    <n v="4"/>
    <n v="23"/>
    <n v="1366417754"/>
  </r>
  <r>
    <x v="675"/>
    <s v="Rihanna"/>
    <n v="41900000"/>
    <n v="22477745835"/>
    <x v="0"/>
    <n v="84"/>
    <x v="46"/>
    <x v="1"/>
    <n v="8800000"/>
    <n v="2005"/>
    <n v="11"/>
    <n v="6"/>
    <n v="287025"/>
  </r>
  <r>
    <x v="676"/>
    <s v="RihannaVEVO"/>
    <n v="25100000"/>
    <n v="19458807708"/>
    <x v="3"/>
    <n v="118"/>
    <x v="1"/>
    <x v="1"/>
    <n v="4500000"/>
    <n v="2009"/>
    <n v="5"/>
    <n v="12"/>
    <n v="328239523"/>
  </r>
  <r>
    <x v="677"/>
    <s v="RKD Studios"/>
    <n v="19500000"/>
    <n v="5234251168"/>
    <x v="0"/>
    <n v="847"/>
    <x v="8"/>
    <x v="3"/>
    <n v="0"/>
    <n v="2014"/>
    <n v="3"/>
    <n v="14"/>
    <n v="1366417754"/>
  </r>
  <r>
    <x v="678"/>
    <s v="RobleisIUTU"/>
    <n v="17900000"/>
    <n v="5168721499"/>
    <x v="0"/>
    <n v="1344"/>
    <x v="16"/>
    <x v="2"/>
    <n v="1300000"/>
    <n v="2013"/>
    <n v="4"/>
    <n v="15"/>
    <n v="44938712"/>
  </r>
  <r>
    <x v="679"/>
    <s v="RobTopGames"/>
    <n v="12300000"/>
    <n v="374123483"/>
    <x v="6"/>
    <n v="39"/>
    <x v="19"/>
    <x v="4"/>
    <n v="185800"/>
    <n v="2012"/>
    <n v="5"/>
    <n v="9"/>
    <n v="10285453"/>
  </r>
  <r>
    <x v="680"/>
    <s v="Rohail Hyatt"/>
    <n v="14400000"/>
    <n v="4035738731"/>
    <x v="3"/>
    <n v="450"/>
    <x v="1"/>
    <x v="1"/>
    <n v="170700"/>
    <n v="2008"/>
    <n v="6"/>
    <n v="4"/>
    <n v="328239523"/>
  </r>
  <r>
    <x v="681"/>
    <s v="Roman Atwood Vlogs"/>
    <n v="15400000"/>
    <n v="5469103954"/>
    <x v="2"/>
    <n v="1756"/>
    <x v="1"/>
    <x v="1"/>
    <n v="76000"/>
    <n v="2013"/>
    <n v="8"/>
    <n v="12"/>
    <n v="328239523"/>
  </r>
  <r>
    <x v="682"/>
    <s v="RomeoSantos"/>
    <n v="20900000"/>
    <n v="17324976752"/>
    <x v="3"/>
    <n v="6"/>
    <x v="1"/>
    <x v="1"/>
    <n v="5"/>
    <n v="2006"/>
    <n v="7"/>
    <n v="31"/>
    <n v="328239523"/>
  </r>
  <r>
    <x v="683"/>
    <s v="Rosanna Pansino"/>
    <n v="14400000"/>
    <n v="4597228794"/>
    <x v="5"/>
    <n v="1248"/>
    <x v="1"/>
    <x v="1"/>
    <n v="1300000"/>
    <n v="2010"/>
    <n v="4"/>
    <n v="8"/>
    <n v="328239523"/>
  </r>
  <r>
    <x v="684"/>
    <s v="rotana5018"/>
    <n v="21800000"/>
    <n v="19329351143"/>
    <x v="3"/>
    <n v="135"/>
    <x v="0"/>
    <x v="0"/>
    <n v="507"/>
    <n v="2011"/>
    <n v="10"/>
    <n v="27"/>
    <s v="N/A"/>
  </r>
  <r>
    <x v="685"/>
    <s v="Rotten Tomatoes Trailers"/>
    <n v="15800000"/>
    <n v="13116313599"/>
    <x v="8"/>
    <n v="10441"/>
    <x v="1"/>
    <x v="1"/>
    <n v="1200000"/>
    <n v="2011"/>
    <n v="4"/>
    <n v="1"/>
    <n v="328239523"/>
  </r>
  <r>
    <x v="686"/>
    <s v="Round2hell"/>
    <n v="30700000"/>
    <n v="3145161634"/>
    <x v="1"/>
    <n v="67"/>
    <x v="8"/>
    <x v="3"/>
    <n v="1500000"/>
    <n v="2016"/>
    <n v="10"/>
    <n v="20"/>
    <n v="1366417754"/>
  </r>
  <r>
    <x v="687"/>
    <s v="RS 1313 SHORTS"/>
    <n v="14400000"/>
    <n v="8011977288"/>
    <x v="0"/>
    <n v="5628"/>
    <x v="8"/>
    <x v="3"/>
    <n v="10200000"/>
    <n v="2020"/>
    <n v="10"/>
    <n v="24"/>
    <n v="1366417754"/>
  </r>
  <r>
    <x v="688"/>
    <s v="RsiamMusic : ï¿½ï¿½ï¿½ï¿½ï¿½ï¿½ï¿½ï¿½"/>
    <n v="18400000"/>
    <n v="11544297793"/>
    <x v="3"/>
    <n v="3159"/>
    <x v="14"/>
    <x v="3"/>
    <n v="2600000"/>
    <n v="2011"/>
    <n v="3"/>
    <n v="8"/>
    <n v="69625582"/>
  </r>
  <r>
    <x v="689"/>
    <s v="Rubï¿½ï¿½ï¿½ï¿½ï¿½ï¿½"/>
    <n v="15100000"/>
    <n v="9477021288"/>
    <x v="1"/>
    <n v="921"/>
    <x v="16"/>
    <x v="2"/>
    <n v="24600000"/>
    <n v="2016"/>
    <n v="8"/>
    <n v="2"/>
    <n v="44938712"/>
  </r>
  <r>
    <x v="690"/>
    <s v="Ryan Trahan"/>
    <n v="13100000"/>
    <n v="2182651464"/>
    <x v="0"/>
    <n v="33"/>
    <x v="1"/>
    <x v="1"/>
    <n v="12"/>
    <n v="2022"/>
    <n v="6"/>
    <n v="27"/>
    <n v="328239523"/>
  </r>
  <r>
    <x v="691"/>
    <s v="Ryan's World"/>
    <n v="35200000"/>
    <n v="55299840198"/>
    <x v="0"/>
    <n v="2453"/>
    <x v="1"/>
    <x v="1"/>
    <n v="11500000"/>
    <n v="2015"/>
    <n v="3"/>
    <n v="17"/>
    <n v="328239523"/>
  </r>
  <r>
    <x v="692"/>
    <s v="Saad Lamjarred | ï¿½ï¿½ï¿½ï¿½ï¿½ï¿"/>
    <n v="14500000"/>
    <n v="4315486422"/>
    <x v="3"/>
    <n v="176"/>
    <x v="47"/>
    <x v="6"/>
    <n v="1800000"/>
    <n v="2012"/>
    <n v="12"/>
    <n v="22"/>
    <n v="36910560"/>
  </r>
  <r>
    <x v="693"/>
    <s v="SAAIHALILINTAR"/>
    <n v="12400000"/>
    <n v="1113066203"/>
    <x v="0"/>
    <n v="409"/>
    <x v="13"/>
    <x v="3"/>
    <n v="38700"/>
    <n v="2012"/>
    <n v="4"/>
    <n v="28"/>
    <n v="270203917"/>
  </r>
  <r>
    <x v="694"/>
    <s v="sagar kalra (Shorts)"/>
    <n v="16000000"/>
    <n v="6543629679"/>
    <x v="2"/>
    <n v="453"/>
    <x v="0"/>
    <x v="0"/>
    <n v="3600000"/>
    <n v="2017"/>
    <n v="6"/>
    <n v="30"/>
    <s v="N/A"/>
  </r>
  <r>
    <x v="695"/>
    <s v="Sagawa /ï¿½ï¿½ï¿½"/>
    <n v="22000000"/>
    <n v="18347969186"/>
    <x v="0"/>
    <n v="6274"/>
    <x v="36"/>
    <x v="3"/>
    <n v="34100000"/>
    <n v="2021"/>
    <n v="2"/>
    <n v="13"/>
    <n v="126226568"/>
  </r>
  <r>
    <x v="696"/>
    <s v="salman Noman"/>
    <n v="16700000"/>
    <n v="10393037902"/>
    <x v="0"/>
    <n v="3"/>
    <x v="0"/>
    <x v="0"/>
    <n v="0.34"/>
    <n v="2022"/>
    <n v="5"/>
    <n v="14"/>
    <s v="N/A"/>
  </r>
  <r>
    <x v="697"/>
    <s v="SAM SMITH"/>
    <n v="16300000"/>
    <n v="10170264839"/>
    <x v="3"/>
    <n v="230"/>
    <x v="6"/>
    <x v="4"/>
    <n v="4100000"/>
    <n v="2012"/>
    <n v="9"/>
    <n v="14"/>
    <n v="66834405"/>
  </r>
  <r>
    <x v="698"/>
    <s v="Sandeepmaheshwari"/>
    <n v="27800000"/>
    <n v="2303069221"/>
    <x v="2"/>
    <n v="0"/>
    <x v="40"/>
    <x v="3"/>
    <n v="0"/>
    <n v="2008"/>
    <n v="1"/>
    <n v="2"/>
    <n v="5703569"/>
  </r>
  <r>
    <x v="699"/>
    <s v="Sandra Cires Art"/>
    <n v="16400000"/>
    <n v="3955426159"/>
    <x v="5"/>
    <n v="1091"/>
    <x v="1"/>
    <x v="1"/>
    <n v="865300"/>
    <n v="2011"/>
    <n v="9"/>
    <n v="27"/>
    <n v="328239523"/>
  </r>
  <r>
    <x v="700"/>
    <s v="Sanjoy Das Official"/>
    <n v="13500000"/>
    <n v="3912334359"/>
    <x v="0"/>
    <n v="1793"/>
    <x v="8"/>
    <x v="3"/>
    <n v="8600000"/>
    <n v="2015"/>
    <n v="4"/>
    <n v="29"/>
    <n v="1366417754"/>
  </r>
  <r>
    <x v="701"/>
    <s v="Saregama Music"/>
    <n v="35500000"/>
    <n v="15657673422"/>
    <x v="0"/>
    <n v="7566"/>
    <x v="8"/>
    <x v="3"/>
    <n v="25600000"/>
    <n v="2013"/>
    <n v="1"/>
    <n v="4"/>
    <n v="1366417754"/>
  </r>
  <r>
    <x v="702"/>
    <s v="Saturday Night Live"/>
    <n v="13600000"/>
    <n v="14717282742"/>
    <x v="0"/>
    <n v="8335"/>
    <x v="1"/>
    <x v="1"/>
    <n v="2700000"/>
    <n v="2013"/>
    <n v="7"/>
    <n v="23"/>
    <n v="328239523"/>
  </r>
  <r>
    <x v="703"/>
    <s v="SCTV"/>
    <n v="19700000"/>
    <n v="9808676159"/>
    <x v="0"/>
    <n v="267"/>
    <x v="6"/>
    <x v="4"/>
    <n v="16"/>
    <n v="2006"/>
    <n v="3"/>
    <n v="25"/>
    <n v="66834405"/>
  </r>
  <r>
    <x v="704"/>
    <s v="Sebastiï¿½ï¿½ï¿½"/>
    <n v="18000000"/>
    <n v="10463166404"/>
    <x v="4"/>
    <n v="237"/>
    <x v="1"/>
    <x v="1"/>
    <n v="5300000"/>
    <n v="2013"/>
    <n v="3"/>
    <n v="30"/>
    <n v="328239523"/>
  </r>
  <r>
    <x v="705"/>
    <s v="Selena Gomez"/>
    <n v="33600000"/>
    <n v="13013567335"/>
    <x v="8"/>
    <n v="188"/>
    <x v="1"/>
    <x v="1"/>
    <n v="5600000"/>
    <n v="2008"/>
    <n v="2"/>
    <n v="8"/>
    <n v="328239523"/>
  </r>
  <r>
    <x v="706"/>
    <s v="SelenaGomezVEVO"/>
    <n v="14400000"/>
    <n v="11423792969"/>
    <x v="3"/>
    <n v="186"/>
    <x v="1"/>
    <x v="1"/>
    <n v="4300000"/>
    <n v="2009"/>
    <n v="11"/>
    <n v="24"/>
    <n v="328239523"/>
  </r>
  <r>
    <x v="707"/>
    <s v="Sesame Street"/>
    <n v="23300000"/>
    <n v="22471357411"/>
    <x v="0"/>
    <n v="3657"/>
    <x v="1"/>
    <x v="1"/>
    <n v="6000000"/>
    <n v="2006"/>
    <n v="1"/>
    <n v="16"/>
    <n v="328239523"/>
  </r>
  <r>
    <x v="708"/>
    <s v="SET India"/>
    <n v="159000000"/>
    <n v="148000000000"/>
    <x v="14"/>
    <n v="116536"/>
    <x v="8"/>
    <x v="3"/>
    <n v="87500000"/>
    <n v="2006"/>
    <n v="9"/>
    <n v="20"/>
    <n v="1366417754"/>
  </r>
  <r>
    <x v="709"/>
    <s v="SEVENGERS"/>
    <n v="14200000"/>
    <n v="10238593147"/>
    <x v="1"/>
    <n v="872"/>
    <x v="8"/>
    <x v="3"/>
    <n v="17700000"/>
    <n v="2018"/>
    <n v="6"/>
    <n v="4"/>
    <n v="1366417754"/>
  </r>
  <r>
    <x v="710"/>
    <s v="Shakira"/>
    <n v="43500000"/>
    <n v="27568757295"/>
    <x v="2"/>
    <n v="326"/>
    <x v="17"/>
    <x v="2"/>
    <n v="17000000"/>
    <n v="2005"/>
    <n v="10"/>
    <n v="16"/>
    <n v="50339443"/>
  </r>
  <r>
    <x v="711"/>
    <s v="shakiraVEVO"/>
    <n v="18400000"/>
    <n v="25367126292"/>
    <x v="3"/>
    <n v="197"/>
    <x v="1"/>
    <x v="1"/>
    <n v="12800000"/>
    <n v="2009"/>
    <n v="9"/>
    <n v="2"/>
    <n v="328239523"/>
  </r>
  <r>
    <x v="712"/>
    <s v="shane"/>
    <n v="19200000"/>
    <n v="4329121104"/>
    <x v="2"/>
    <n v="570"/>
    <x v="1"/>
    <x v="1"/>
    <n v="131100"/>
    <n v="2005"/>
    <n v="9"/>
    <n v="22"/>
    <n v="328239523"/>
  </r>
  <r>
    <x v="713"/>
    <s v="Shawn Mendes"/>
    <n v="30000000"/>
    <n v="12831200855"/>
    <x v="3"/>
    <n v="133"/>
    <x v="20"/>
    <x v="1"/>
    <n v="4300000"/>
    <n v="2011"/>
    <n v="1"/>
    <n v="19"/>
    <n v="36991981"/>
  </r>
  <r>
    <x v="714"/>
    <s v="Shemaroo"/>
    <n v="47400000"/>
    <n v="22519705183"/>
    <x v="0"/>
    <n v="11451"/>
    <x v="8"/>
    <x v="3"/>
    <n v="11200000"/>
    <n v="2007"/>
    <n v="9"/>
    <n v="1"/>
    <n v="1366417754"/>
  </r>
  <r>
    <x v="715"/>
    <s v="Shemaroo Comedy"/>
    <n v="18600000"/>
    <n v="6047584292"/>
    <x v="0"/>
    <n v="4487"/>
    <x v="8"/>
    <x v="3"/>
    <n v="4900000"/>
    <n v="2007"/>
    <n v="1"/>
    <n v="31"/>
    <n v="1366417754"/>
  </r>
  <r>
    <x v="716"/>
    <s v="Shemaroo Filmi Gaane"/>
    <n v="65600000"/>
    <n v="28648024439"/>
    <x v="3"/>
    <n v="8502"/>
    <x v="8"/>
    <x v="3"/>
    <n v="12200000"/>
    <n v="2010"/>
    <n v="6"/>
    <n v="11"/>
    <n v="1366417754"/>
  </r>
  <r>
    <x v="717"/>
    <s v="Shemaroo Movies"/>
    <n v="28200000"/>
    <n v="7600740993"/>
    <x v="0"/>
    <n v="3009"/>
    <x v="8"/>
    <x v="3"/>
    <n v="8900000"/>
    <n v="2011"/>
    <n v="3"/>
    <n v="1"/>
    <n v="1366417754"/>
  </r>
  <r>
    <x v="718"/>
    <s v="shfa show India"/>
    <n v="24200000"/>
    <n v="15724160183"/>
    <x v="12"/>
    <n v="469"/>
    <x v="15"/>
    <x v="3"/>
    <n v="7300000"/>
    <n v="2019"/>
    <n v="4"/>
    <n v="1"/>
    <n v="9770529"/>
  </r>
  <r>
    <x v="719"/>
    <s v="shfa2 - ï¿½ï¿½"/>
    <n v="39700000"/>
    <n v="23884824160"/>
    <x v="2"/>
    <n v="1596"/>
    <x v="15"/>
    <x v="3"/>
    <n v="11900000"/>
    <n v="2017"/>
    <n v="11"/>
    <n v="6"/>
    <n v="9770529"/>
  </r>
  <r>
    <x v="720"/>
    <s v="shorts break"/>
    <n v="29000000"/>
    <n v="19466238065"/>
    <x v="1"/>
    <n v="42"/>
    <x v="0"/>
    <x v="0"/>
    <n v="2900"/>
    <n v="2021"/>
    <n v="1"/>
    <n v="28"/>
    <s v="N/A"/>
  </r>
  <r>
    <x v="721"/>
    <s v="Sia"/>
    <n v="22600000"/>
    <n v="13405849040"/>
    <x v="3"/>
    <n v="171"/>
    <x v="1"/>
    <x v="1"/>
    <n v="4600000"/>
    <n v="2007"/>
    <n v="11"/>
    <n v="19"/>
    <n v="328239523"/>
  </r>
  <r>
    <x v="722"/>
    <s v="Sidemen"/>
    <n v="18800000"/>
    <n v="5257834105"/>
    <x v="0"/>
    <n v="312"/>
    <x v="6"/>
    <x v="4"/>
    <n v="3800000"/>
    <n v="2015"/>
    <n v="6"/>
    <n v="14"/>
    <n v="66834405"/>
  </r>
  <r>
    <x v="723"/>
    <s v="Sidhu Moose Wala"/>
    <n v="21400000"/>
    <n v="6264261757"/>
    <x v="3"/>
    <n v="114"/>
    <x v="8"/>
    <x v="3"/>
    <n v="7700000"/>
    <n v="2017"/>
    <n v="10"/>
    <n v="30"/>
    <n v="1366417754"/>
  </r>
  <r>
    <x v="724"/>
    <s v="SiS"/>
    <n v="14200000"/>
    <n v="6973932553"/>
    <x v="0"/>
    <n v="60"/>
    <x v="5"/>
    <x v="4"/>
    <n v="5"/>
    <n v="2016"/>
    <n v="8"/>
    <n v="3"/>
    <n v="44385155"/>
  </r>
  <r>
    <x v="725"/>
    <s v="Skrillex"/>
    <n v="20100000"/>
    <n v="6618524158"/>
    <x v="3"/>
    <n v="241"/>
    <x v="1"/>
    <x v="1"/>
    <n v="1200000"/>
    <n v="2010"/>
    <n v="4"/>
    <n v="6"/>
    <n v="328239523"/>
  </r>
  <r>
    <x v="726"/>
    <s v="SlivkiShow"/>
    <n v="20400000"/>
    <n v="4707412332"/>
    <x v="0"/>
    <n v="462"/>
    <x v="5"/>
    <x v="4"/>
    <n v="1400000"/>
    <n v="2012"/>
    <n v="12"/>
    <n v="11"/>
    <n v="44385155"/>
  </r>
  <r>
    <x v="727"/>
    <s v="SMILE Family"/>
    <n v="22300000"/>
    <n v="8663830163"/>
    <x v="2"/>
    <n v="34"/>
    <x v="26"/>
    <x v="4"/>
    <n v="35"/>
    <n v="2019"/>
    <n v="11"/>
    <n v="3"/>
    <n v="67059887"/>
  </r>
  <r>
    <x v="728"/>
    <s v="Smile Family Spanish"/>
    <n v="18600000"/>
    <n v="7008250496"/>
    <x v="12"/>
    <n v="457"/>
    <x v="1"/>
    <x v="1"/>
    <n v="2100000"/>
    <n v="2019"/>
    <n v="6"/>
    <n v="19"/>
    <n v="328239523"/>
  </r>
  <r>
    <x v="729"/>
    <s v="Smosh"/>
    <n v="26100000"/>
    <n v="10435474336"/>
    <x v="1"/>
    <n v="1619"/>
    <x v="1"/>
    <x v="1"/>
    <n v="3300000"/>
    <n v="2005"/>
    <n v="11"/>
    <n v="19"/>
    <n v="328239523"/>
  </r>
  <r>
    <x v="730"/>
    <s v="SMTOWN"/>
    <n v="31900000"/>
    <n v="27330239663"/>
    <x v="3"/>
    <n v="4158"/>
    <x v="0"/>
    <x v="0"/>
    <n v="11200000"/>
    <n v="2006"/>
    <n v="3"/>
    <n v="18"/>
    <s v="N/A"/>
  </r>
  <r>
    <x v="731"/>
    <s v="Sonotek"/>
    <n v="19200000"/>
    <n v="7590582024"/>
    <x v="0"/>
    <n v="8285"/>
    <x v="8"/>
    <x v="3"/>
    <n v="1400000"/>
    <n v="2011"/>
    <n v="1"/>
    <n v="11"/>
    <n v="1366417754"/>
  </r>
  <r>
    <x v="732"/>
    <s v="Sonotek Bhakti"/>
    <n v="13200000"/>
    <n v="3789736218"/>
    <x v="0"/>
    <n v="8019"/>
    <x v="8"/>
    <x v="3"/>
    <n v="1200000"/>
    <n v="2010"/>
    <n v="12"/>
    <n v="27"/>
    <n v="1366417754"/>
  </r>
  <r>
    <x v="733"/>
    <s v="Sony AATH"/>
    <n v="19600000"/>
    <n v="13930021471"/>
    <x v="14"/>
    <n v="18661"/>
    <x v="1"/>
    <x v="1"/>
    <n v="13200000"/>
    <n v="2013"/>
    <n v="11"/>
    <n v="13"/>
    <n v="328239523"/>
  </r>
  <r>
    <x v="734"/>
    <s v="Sony LIV"/>
    <n v="15200000"/>
    <n v="7151683497"/>
    <x v="0"/>
    <n v="11099"/>
    <x v="8"/>
    <x v="3"/>
    <n v="10100000"/>
    <n v="2014"/>
    <n v="5"/>
    <n v="2"/>
    <n v="1366417754"/>
  </r>
  <r>
    <x v="735"/>
    <s v="Sony Music India"/>
    <n v="57200000"/>
    <n v="28837144516"/>
    <x v="3"/>
    <n v="3882"/>
    <x v="8"/>
    <x v="3"/>
    <n v="12400000"/>
    <n v="2009"/>
    <n v="9"/>
    <n v="2"/>
    <n v="1366417754"/>
  </r>
  <r>
    <x v="736"/>
    <s v="Sony Music South"/>
    <n v="15000000"/>
    <n v="9978734160"/>
    <x v="3"/>
    <n v="2726"/>
    <x v="8"/>
    <x v="3"/>
    <n v="11600000"/>
    <n v="2014"/>
    <n v="8"/>
    <n v="6"/>
    <n v="1366417754"/>
  </r>
  <r>
    <x v="737"/>
    <s v="Sony PAL"/>
    <n v="38200000"/>
    <n v="28519339489"/>
    <x v="14"/>
    <n v="24089"/>
    <x v="8"/>
    <x v="3"/>
    <n v="20000000"/>
    <n v="2014"/>
    <n v="5"/>
    <n v="9"/>
    <n v="1366417754"/>
  </r>
  <r>
    <x v="738"/>
    <s v="Sony SAB"/>
    <n v="83000000"/>
    <n v="101000000000"/>
    <x v="14"/>
    <n v="71270"/>
    <x v="8"/>
    <x v="3"/>
    <n v="79600000"/>
    <n v="2007"/>
    <n v="8"/>
    <n v="4"/>
    <n v="1366417754"/>
  </r>
  <r>
    <x v="739"/>
    <s v="SonyMusicIndiaVEVO"/>
    <n v="46600000"/>
    <n v="27286058807"/>
    <x v="3"/>
    <n v="3444"/>
    <x v="1"/>
    <x v="1"/>
    <n v="15100000"/>
    <n v="2009"/>
    <n v="9"/>
    <n v="2"/>
    <n v="328239523"/>
  </r>
  <r>
    <x v="740"/>
    <s v="SonyMusicSouthVEVO"/>
    <n v="18000000"/>
    <n v="17921124985"/>
    <x v="3"/>
    <n v="5692"/>
    <x v="1"/>
    <x v="1"/>
    <n v="12400000"/>
    <n v="2014"/>
    <n v="7"/>
    <n v="14"/>
    <n v="328239523"/>
  </r>
  <r>
    <x v="741"/>
    <s v="Sourav Joshi Vlogs"/>
    <n v="21700000"/>
    <n v="9392093496"/>
    <x v="2"/>
    <n v="1390"/>
    <x v="0"/>
    <x v="0"/>
    <n v="12700000"/>
    <n v="2019"/>
    <n v="2"/>
    <n v="19"/>
    <s v="N/A"/>
  </r>
  <r>
    <x v="742"/>
    <s v="Speed Records"/>
    <n v="42500000"/>
    <n v="26820902622"/>
    <x v="3"/>
    <n v="10938"/>
    <x v="8"/>
    <x v="3"/>
    <n v="7700000"/>
    <n v="2012"/>
    <n v="11"/>
    <n v="22"/>
    <n v="1366417754"/>
  </r>
  <r>
    <x v="743"/>
    <s v="Spider Slack"/>
    <n v="24000000"/>
    <n v="13943030228"/>
    <x v="1"/>
    <n v="901"/>
    <x v="7"/>
    <x v="2"/>
    <n v="36500000"/>
    <n v="2020"/>
    <n v="5"/>
    <n v="18"/>
    <n v="212559417"/>
  </r>
  <r>
    <x v="744"/>
    <s v="Spinnin' Records"/>
    <n v="30100000"/>
    <n v="19607009165"/>
    <x v="3"/>
    <n v="11501"/>
    <x v="45"/>
    <x v="4"/>
    <n v="4800000"/>
    <n v="2007"/>
    <n v="7"/>
    <n v="12"/>
    <n v="17332850"/>
  </r>
  <r>
    <x v="745"/>
    <s v="sports"/>
    <n v="75000000"/>
    <n v="0"/>
    <x v="12"/>
    <n v="3"/>
    <x v="1"/>
    <x v="1"/>
    <n v="0.77"/>
    <n v="2006"/>
    <n v="1"/>
    <n v="30"/>
    <n v="328239523"/>
  </r>
  <r>
    <x v="746"/>
    <s v="SQUEEZIE"/>
    <n v="18100000"/>
    <n v="9983065083"/>
    <x v="6"/>
    <n v="1521"/>
    <x v="26"/>
    <x v="4"/>
    <n v="2300000"/>
    <n v="2011"/>
    <n v="1"/>
    <n v="9"/>
    <n v="67059887"/>
  </r>
  <r>
    <x v="747"/>
    <s v="SriBalajiMovies"/>
    <n v="16600000"/>
    <n v="9439857193"/>
    <x v="0"/>
    <n v="20102"/>
    <x v="8"/>
    <x v="3"/>
    <n v="7400000"/>
    <n v="2011"/>
    <n v="9"/>
    <n v="29"/>
    <n v="1366417754"/>
  </r>
  <r>
    <x v="748"/>
    <s v="SRK Edie soon"/>
    <n v="13000000"/>
    <n v="5057163256"/>
    <x v="0"/>
    <n v="8"/>
    <x v="8"/>
    <x v="3"/>
    <n v="0.1"/>
    <n v="2021"/>
    <n v="3"/>
    <n v="18"/>
    <n v="1366417754"/>
  </r>
  <r>
    <x v="749"/>
    <s v="SRK MUSIC"/>
    <n v="15200000"/>
    <n v="6391679636"/>
    <x v="3"/>
    <n v="5056"/>
    <x v="8"/>
    <x v="3"/>
    <n v="2800000"/>
    <n v="2012"/>
    <n v="3"/>
    <n v="16"/>
    <n v="1366417754"/>
  </r>
  <r>
    <x v="750"/>
    <s v="SSSniperWolf"/>
    <n v="33700000"/>
    <n v="23492684419"/>
    <x v="6"/>
    <n v="3366"/>
    <x v="1"/>
    <x v="1"/>
    <n v="10100000"/>
    <n v="2013"/>
    <n v="1"/>
    <n v="20"/>
    <n v="328239523"/>
  </r>
  <r>
    <x v="751"/>
    <s v="SSundee"/>
    <n v="22500000"/>
    <n v="13835173331"/>
    <x v="6"/>
    <n v="3315"/>
    <x v="1"/>
    <x v="1"/>
    <n v="8400000"/>
    <n v="2009"/>
    <n v="11"/>
    <n v="28"/>
    <n v="328239523"/>
  </r>
  <r>
    <x v="752"/>
    <s v="StarPlus"/>
    <n v="32000000"/>
    <n v="26800674545"/>
    <x v="0"/>
    <n v="44892"/>
    <x v="8"/>
    <x v="3"/>
    <n v="80000000"/>
    <n v="2006"/>
    <n v="5"/>
    <n v="19"/>
    <n v="1366417754"/>
  </r>
  <r>
    <x v="753"/>
    <s v="Stokes Twins"/>
    <n v="21800000"/>
    <n v="4469711607"/>
    <x v="2"/>
    <n v="257"/>
    <x v="1"/>
    <x v="1"/>
    <n v="9500000"/>
    <n v="2008"/>
    <n v="4"/>
    <n v="11"/>
    <n v="328239523"/>
  </r>
  <r>
    <x v="754"/>
    <s v="straykids"/>
    <n v="13300000"/>
    <n v="3364230487"/>
    <x v="2"/>
    <n v="3"/>
    <x v="0"/>
    <x v="0"/>
    <n v="0.1"/>
    <n v="2007"/>
    <n v="3"/>
    <n v="17"/>
    <s v="N/A"/>
  </r>
  <r>
    <x v="755"/>
    <s v="Stubborn Facts"/>
    <n v="17300000"/>
    <n v="902225615"/>
    <x v="8"/>
    <n v="287"/>
    <x v="8"/>
    <x v="3"/>
    <n v="40200"/>
    <n v="2016"/>
    <n v="9"/>
    <n v="5"/>
    <n v="1366417754"/>
  </r>
  <r>
    <x v="756"/>
    <s v="StudyIQ IAS"/>
    <n v="14700000"/>
    <n v="4029253667"/>
    <x v="10"/>
    <n v="43564"/>
    <x v="8"/>
    <x v="3"/>
    <n v="3600000"/>
    <n v="2015"/>
    <n v="6"/>
    <n v="22"/>
    <n v="1366417754"/>
  </r>
  <r>
    <x v="757"/>
    <s v="Sun TV"/>
    <n v="22600000"/>
    <n v="20847038152"/>
    <x v="2"/>
    <n v="60964"/>
    <x v="8"/>
    <x v="3"/>
    <n v="47100000"/>
    <n v="2016"/>
    <n v="2"/>
    <n v="26"/>
    <n v="1366417754"/>
  </r>
  <r>
    <x v="758"/>
    <s v="Super JoJo - Nursery Rhymes &amp; Kids Songs"/>
    <n v="24100000"/>
    <n v="329774870"/>
    <x v="12"/>
    <n v="36"/>
    <x v="1"/>
    <x v="1"/>
    <n v="15800000"/>
    <n v="2019"/>
    <n v="5"/>
    <n v="31"/>
    <n v="328239523"/>
  </r>
  <r>
    <x v="759"/>
    <s v="Super Polina"/>
    <n v="14300000"/>
    <n v="4776507159"/>
    <x v="2"/>
    <n v="576"/>
    <x v="1"/>
    <x v="1"/>
    <n v="19900"/>
    <n v="2014"/>
    <n v="7"/>
    <n v="8"/>
    <n v="328239523"/>
  </r>
  <r>
    <x v="760"/>
    <s v="Super Senya"/>
    <n v="15500000"/>
    <n v="5070970714"/>
    <x v="0"/>
    <n v="0"/>
    <x v="0"/>
    <x v="0"/>
    <n v="0"/>
    <n v="2017"/>
    <n v="7"/>
    <n v="27"/>
    <s v="N/A"/>
  </r>
  <r>
    <x v="761"/>
    <s v="Super Simple Songs - Kids Songs"/>
    <n v="39200000"/>
    <n v="44900897958"/>
    <x v="10"/>
    <n v="744"/>
    <x v="20"/>
    <x v="1"/>
    <n v="26900000"/>
    <n v="2006"/>
    <n v="9"/>
    <n v="8"/>
    <n v="36991981"/>
  </r>
  <r>
    <x v="762"/>
    <s v="SUPER SLICK SLIME SAM"/>
    <n v="19000000"/>
    <n v="7229175322"/>
    <x v="5"/>
    <n v="903"/>
    <x v="2"/>
    <x v="2"/>
    <n v="5900000"/>
    <n v="2018"/>
    <n v="1"/>
    <n v="23"/>
    <n v="126014024"/>
  </r>
  <r>
    <x v="763"/>
    <s v="Supercar Blondie"/>
    <n v="14100000"/>
    <n v="5405563355"/>
    <x v="16"/>
    <n v="855"/>
    <x v="15"/>
    <x v="3"/>
    <n v="17000000"/>
    <n v="2007"/>
    <n v="9"/>
    <n v="12"/>
    <n v="9770529"/>
  </r>
  <r>
    <x v="764"/>
    <s v="Susy Mouriz"/>
    <n v="13000000"/>
    <n v="6270909026"/>
    <x v="0"/>
    <n v="1299"/>
    <x v="2"/>
    <x v="2"/>
    <n v="17700000"/>
    <n v="2017"/>
    <n v="3"/>
    <n v="18"/>
    <n v="126014024"/>
  </r>
  <r>
    <x v="765"/>
    <s v="T- Series Apna Punjab"/>
    <n v="34600000"/>
    <n v="21306315429"/>
    <x v="3"/>
    <n v="0"/>
    <x v="0"/>
    <x v="0"/>
    <n v="0"/>
    <n v="2020"/>
    <n v="7"/>
    <n v="9"/>
    <s v="N/A"/>
  </r>
  <r>
    <x v="766"/>
    <s v="T- SERIES BHAKTI SAGAR"/>
    <n v="61000000"/>
    <n v="29533230328"/>
    <x v="3"/>
    <n v="13"/>
    <x v="8"/>
    <x v="3"/>
    <n v="0.48"/>
    <n v="2018"/>
    <n v="8"/>
    <n v="3"/>
    <n v="1366417754"/>
  </r>
  <r>
    <x v="767"/>
    <s v="T3ddy"/>
    <n v="16200000"/>
    <n v="2990185467"/>
    <x v="1"/>
    <n v="1930"/>
    <x v="7"/>
    <x v="2"/>
    <n v="1600000"/>
    <n v="2012"/>
    <n v="1"/>
    <n v="16"/>
    <n v="212559417"/>
  </r>
  <r>
    <x v="768"/>
    <s v="Taarak Mehta Ka Ooltah Chashmah"/>
    <n v="17300000"/>
    <n v="11371738047"/>
    <x v="0"/>
    <n v="4778"/>
    <x v="8"/>
    <x v="3"/>
    <n v="15900000"/>
    <n v="2014"/>
    <n v="8"/>
    <n v="4"/>
    <n v="1366417754"/>
  </r>
  <r>
    <x v="769"/>
    <s v="tabii Urdu"/>
    <n v="19600000"/>
    <n v="8779729549"/>
    <x v="0"/>
    <n v="1306"/>
    <x v="22"/>
    <x v="4"/>
    <n v="5300000"/>
    <n v="2020"/>
    <n v="4"/>
    <n v="17"/>
    <n v="83429615"/>
  </r>
  <r>
    <x v="770"/>
    <s v="Talking Angela"/>
    <n v="12800000"/>
    <n v="3632438963"/>
    <x v="0"/>
    <n v="233"/>
    <x v="6"/>
    <x v="4"/>
    <n v="1300000"/>
    <n v="2014"/>
    <n v="9"/>
    <n v="2"/>
    <n v="66834405"/>
  </r>
  <r>
    <x v="771"/>
    <s v="Talking Tom &amp; Friends"/>
    <n v="15500000"/>
    <n v="6396049701"/>
    <x v="0"/>
    <n v="417"/>
    <x v="1"/>
    <x v="1"/>
    <n v="1300000"/>
    <n v="2010"/>
    <n v="10"/>
    <n v="14"/>
    <n v="328239523"/>
  </r>
  <r>
    <x v="772"/>
    <s v="TalkingTom"/>
    <n v="30200000"/>
    <n v="15199330166"/>
    <x v="1"/>
    <n v="2"/>
    <x v="1"/>
    <x v="1"/>
    <n v="0"/>
    <n v="2008"/>
    <n v="6"/>
    <n v="27"/>
    <n v="328239523"/>
  </r>
  <r>
    <x v="773"/>
    <s v="tanboy kun"/>
    <n v="17700000"/>
    <n v="3647267655"/>
    <x v="2"/>
    <n v="739"/>
    <x v="13"/>
    <x v="3"/>
    <n v="2300000"/>
    <n v="2016"/>
    <n v="10"/>
    <n v="27"/>
    <n v="270203917"/>
  </r>
  <r>
    <x v="774"/>
    <s v="Tasty"/>
    <n v="21100000"/>
    <n v="5783557209"/>
    <x v="5"/>
    <n v="4728"/>
    <x v="1"/>
    <x v="1"/>
    <n v="1200000"/>
    <n v="2016"/>
    <n v="1"/>
    <n v="22"/>
    <n v="328239523"/>
  </r>
  <r>
    <x v="775"/>
    <s v="Taylor Swift"/>
    <n v="52900000"/>
    <n v="29884657286"/>
    <x v="3"/>
    <n v="216"/>
    <x v="1"/>
    <x v="1"/>
    <n v="25400000"/>
    <n v="2006"/>
    <n v="9"/>
    <n v="20"/>
    <n v="328239523"/>
  </r>
  <r>
    <x v="776"/>
    <s v="TaylorSwiftVEVO"/>
    <n v="25600000"/>
    <n v="25592378292"/>
    <x v="3"/>
    <n v="287"/>
    <x v="1"/>
    <x v="1"/>
    <n v="15300000"/>
    <n v="2009"/>
    <n v="5"/>
    <n v="12"/>
    <n v="328239523"/>
  </r>
  <r>
    <x v="777"/>
    <s v="TazerCraft"/>
    <n v="14900000"/>
    <n v="5956193599"/>
    <x v="6"/>
    <n v="4175"/>
    <x v="7"/>
    <x v="2"/>
    <n v="1900000"/>
    <n v="2011"/>
    <n v="7"/>
    <n v="13"/>
    <n v="212559417"/>
  </r>
  <r>
    <x v="778"/>
    <s v="Team Films Bhojpuri"/>
    <n v="15700000"/>
    <n v="6626563508"/>
    <x v="3"/>
    <n v="19703"/>
    <x v="8"/>
    <x v="3"/>
    <n v="1500000"/>
    <n v="2014"/>
    <n v="7"/>
    <n v="18"/>
    <n v="1366417754"/>
  </r>
  <r>
    <x v="779"/>
    <s v="Technical Guruji"/>
    <n v="23000000"/>
    <n v="3378047383"/>
    <x v="9"/>
    <n v="5041"/>
    <x v="8"/>
    <x v="3"/>
    <n v="1100000"/>
    <n v="2015"/>
    <n v="10"/>
    <n v="19"/>
    <n v="1366417754"/>
  </r>
  <r>
    <x v="780"/>
    <s v="Technoblade"/>
    <n v="16300000"/>
    <n v="1656452554"/>
    <x v="6"/>
    <n v="989"/>
    <x v="1"/>
    <x v="1"/>
    <n v="861300"/>
    <n v="2013"/>
    <n v="10"/>
    <n v="28"/>
    <n v="328239523"/>
  </r>
  <r>
    <x v="781"/>
    <s v="TechnoGamerz"/>
    <n v="34400000"/>
    <n v="9690499664"/>
    <x v="6"/>
    <n v="1"/>
    <x v="0"/>
    <x v="0"/>
    <n v="4"/>
    <n v="2010"/>
    <n v="5"/>
    <n v="19"/>
    <s v="N/A"/>
  </r>
  <r>
    <x v="782"/>
    <s v="Technology Gyan"/>
    <n v="13200000"/>
    <n v="1138262456"/>
    <x v="9"/>
    <n v="1022"/>
    <x v="8"/>
    <x v="3"/>
    <n v="888900"/>
    <n v="2015"/>
    <n v="11"/>
    <n v="17"/>
    <n v="1366417754"/>
  </r>
  <r>
    <x v="783"/>
    <s v="TED"/>
    <n v="23100000"/>
    <n v="2551113422"/>
    <x v="2"/>
    <n v="4445"/>
    <x v="1"/>
    <x v="1"/>
    <n v="635800"/>
    <n v="2006"/>
    <n v="12"/>
    <n v="6"/>
    <n v="328239523"/>
  </r>
  <r>
    <x v="784"/>
    <s v="TED-Ed"/>
    <n v="18800000"/>
    <n v="3654621568"/>
    <x v="10"/>
    <n v="2072"/>
    <x v="1"/>
    <x v="1"/>
    <n v="1400000"/>
    <n v="2011"/>
    <n v="3"/>
    <n v="1"/>
    <n v="328239523"/>
  </r>
  <r>
    <x v="785"/>
    <s v="TEDx Talks"/>
    <n v="38600000"/>
    <n v="7339333120"/>
    <x v="13"/>
    <n v="200933"/>
    <x v="1"/>
    <x v="1"/>
    <n v="2200000"/>
    <n v="2009"/>
    <n v="6"/>
    <n v="23"/>
    <n v="328239523"/>
  </r>
  <r>
    <x v="786"/>
    <s v="Tekashi 6ix9ine"/>
    <n v="21500000"/>
    <n v="5890180734"/>
    <x v="2"/>
    <n v="51"/>
    <x v="1"/>
    <x v="1"/>
    <n v="5400000"/>
    <n v="2018"/>
    <n v="4"/>
    <n v="6"/>
    <n v="328239523"/>
  </r>
  <r>
    <x v="787"/>
    <s v="Telemundo"/>
    <n v="14500000"/>
    <n v="8582696157"/>
    <x v="0"/>
    <n v="19201"/>
    <x v="1"/>
    <x v="1"/>
    <n v="2300000"/>
    <n v="2007"/>
    <n v="1"/>
    <n v="3"/>
    <n v="328239523"/>
  </r>
  <r>
    <x v="788"/>
    <s v="TG MAYANK YT"/>
    <n v="18800000"/>
    <n v="7762077012"/>
    <x v="12"/>
    <n v="2"/>
    <x v="0"/>
    <x v="0"/>
    <n v="0"/>
    <n v="2021"/>
    <n v="12"/>
    <n v="21"/>
    <s v="N/A"/>
  </r>
  <r>
    <x v="789"/>
    <s v="Thairath Online"/>
    <n v="16200000"/>
    <n v="14563841315"/>
    <x v="4"/>
    <n v="244899"/>
    <x v="14"/>
    <x v="3"/>
    <n v="10800000"/>
    <n v="2010"/>
    <n v="9"/>
    <n v="27"/>
    <n v="69625582"/>
  </r>
  <r>
    <x v="790"/>
    <s v="That Little Puff"/>
    <n v="23700000"/>
    <n v="20289689389"/>
    <x v="11"/>
    <n v="769"/>
    <x v="1"/>
    <x v="1"/>
    <n v="36200000"/>
    <n v="2020"/>
    <n v="8"/>
    <n v="29"/>
    <n v="328239523"/>
  </r>
  <r>
    <x v="791"/>
    <s v="The ACE Family"/>
    <n v="18500000"/>
    <n v="4558380251"/>
    <x v="2"/>
    <n v="712"/>
    <x v="0"/>
    <x v="0"/>
    <n v="136100"/>
    <n v="2016"/>
    <n v="1"/>
    <n v="10"/>
    <s v="N/A"/>
  </r>
  <r>
    <x v="792"/>
    <s v="THE BROWN SIBLINGS"/>
    <n v="15000000"/>
    <n v="8658553456"/>
    <x v="0"/>
    <n v="965"/>
    <x v="8"/>
    <x v="3"/>
    <n v="4900000"/>
    <n v="2016"/>
    <n v="10"/>
    <n v="9"/>
    <n v="1366417754"/>
  </r>
  <r>
    <x v="793"/>
    <s v="The Chainsmokers"/>
    <n v="22600000"/>
    <n v="14231943358"/>
    <x v="3"/>
    <n v="180"/>
    <x v="1"/>
    <x v="1"/>
    <n v="3900000"/>
    <n v="2012"/>
    <n v="9"/>
    <n v="22"/>
    <n v="328239523"/>
  </r>
  <r>
    <x v="794"/>
    <s v="The Infographics Show"/>
    <n v="13200000"/>
    <n v="5263540904"/>
    <x v="10"/>
    <n v="4279"/>
    <x v="1"/>
    <x v="1"/>
    <n v="2500000"/>
    <n v="2011"/>
    <n v="2"/>
    <n v="26"/>
    <n v="328239523"/>
  </r>
  <r>
    <x v="795"/>
    <s v="The LaBrant Fam"/>
    <n v="13000000"/>
    <n v="4637474071"/>
    <x v="1"/>
    <n v="612"/>
    <x v="1"/>
    <x v="1"/>
    <n v="0"/>
    <n v="2012"/>
    <n v="8"/>
    <n v="24"/>
    <n v="328239523"/>
  </r>
  <r>
    <x v="796"/>
    <s v="The Lallantop"/>
    <n v="25200000"/>
    <n v="10409352249"/>
    <x v="4"/>
    <n v="51129"/>
    <x v="8"/>
    <x v="3"/>
    <n v="13100000"/>
    <n v="2015"/>
    <n v="3"/>
    <n v="23"/>
    <n v="1366417754"/>
  </r>
  <r>
    <x v="797"/>
    <s v="The Late Late Show with James Corden"/>
    <n v="28400000"/>
    <n v="9956764048"/>
    <x v="0"/>
    <n v="5809"/>
    <x v="1"/>
    <x v="1"/>
    <n v="1300000"/>
    <n v="2006"/>
    <n v="11"/>
    <n v="21"/>
    <n v="328239523"/>
  </r>
  <r>
    <x v="798"/>
    <s v="The MriDul"/>
    <n v="15200000"/>
    <n v="4503880875"/>
    <x v="1"/>
    <n v="106"/>
    <x v="8"/>
    <x v="3"/>
    <n v="4700000"/>
    <n v="2015"/>
    <n v="3"/>
    <n v="14"/>
    <n v="1366417754"/>
  </r>
  <r>
    <x v="799"/>
    <s v="The Royalty Family"/>
    <n v="21300000"/>
    <n v="6269945014"/>
    <x v="2"/>
    <n v="733"/>
    <x v="1"/>
    <x v="1"/>
    <n v="7700000"/>
    <n v="2017"/>
    <n v="4"/>
    <n v="13"/>
    <n v="328239523"/>
  </r>
  <r>
    <x v="800"/>
    <s v="The Shiny Peanut"/>
    <n v="12900000"/>
    <n v="2848466522"/>
    <x v="10"/>
    <n v="2337"/>
    <x v="13"/>
    <x v="3"/>
    <n v="40200"/>
    <n v="2016"/>
    <n v="10"/>
    <n v="26"/>
    <n v="270203917"/>
  </r>
  <r>
    <x v="801"/>
    <s v="The Slow Mo Guys"/>
    <n v="14700000"/>
    <n v="2465473772"/>
    <x v="0"/>
    <n v="317"/>
    <x v="1"/>
    <x v="1"/>
    <n v="911000"/>
    <n v="2010"/>
    <n v="8"/>
    <n v="15"/>
    <n v="328239523"/>
  </r>
  <r>
    <x v="802"/>
    <s v="The Tonight Show Starring Jimmy Fallon"/>
    <n v="31200000"/>
    <n v="17111726160"/>
    <x v="1"/>
    <n v="8976"/>
    <x v="1"/>
    <x v="1"/>
    <n v="0"/>
    <n v="2006"/>
    <n v="1"/>
    <n v="8"/>
    <n v="328239523"/>
  </r>
  <r>
    <x v="803"/>
    <s v="The Vishal bhatt"/>
    <n v="13700000"/>
    <n v="9596430464"/>
    <x v="1"/>
    <n v="1040"/>
    <x v="8"/>
    <x v="3"/>
    <n v="18200000"/>
    <n v="2021"/>
    <n v="8"/>
    <n v="15"/>
    <n v="1366417754"/>
  </r>
  <r>
    <x v="804"/>
    <s v="The Weeknd"/>
    <n v="32600000"/>
    <n v="23379969006"/>
    <x v="3"/>
    <n v="169"/>
    <x v="20"/>
    <x v="1"/>
    <n v="17900000"/>
    <n v="2011"/>
    <n v="2"/>
    <n v="25"/>
    <n v="36991981"/>
  </r>
  <r>
    <x v="805"/>
    <s v="The World Adventures ï¿½ï¿½ï¿½ï¿½ï¿½ï¿½"/>
    <n v="13400000"/>
    <n v="2139769210"/>
    <x v="2"/>
    <n v="1028"/>
    <x v="8"/>
    <x v="3"/>
    <n v="50100"/>
    <n v="2016"/>
    <n v="9"/>
    <n v="9"/>
    <n v="1366417754"/>
  </r>
  <r>
    <x v="806"/>
    <s v="TheBrianMaps"/>
    <n v="17100000"/>
    <n v="4448334716"/>
    <x v="1"/>
    <n v="498"/>
    <x v="23"/>
    <x v="3"/>
    <n v="1800000"/>
    <n v="2012"/>
    <n v="6"/>
    <n v="4"/>
    <n v="144373535"/>
  </r>
  <r>
    <x v="807"/>
    <s v="TheDonato"/>
    <n v="31200000"/>
    <n v="6187804950"/>
    <x v="0"/>
    <n v="3027"/>
    <x v="16"/>
    <x v="2"/>
    <n v="9200000"/>
    <n v="2015"/>
    <n v="2"/>
    <n v="17"/>
    <n v="44938712"/>
  </r>
  <r>
    <x v="808"/>
    <s v="TheEllenShow"/>
    <n v="38200000"/>
    <n v="22756581750"/>
    <x v="0"/>
    <n v="15672"/>
    <x v="1"/>
    <x v="1"/>
    <n v="1000000"/>
    <n v="2006"/>
    <n v="11"/>
    <n v="21"/>
    <n v="328239523"/>
  </r>
  <r>
    <x v="809"/>
    <s v="TheGrefg"/>
    <n v="18000000"/>
    <n v="6404852037"/>
    <x v="6"/>
    <n v="3566"/>
    <x v="11"/>
    <x v="4"/>
    <n v="2100000"/>
    <n v="2012"/>
    <n v="1"/>
    <n v="30"/>
    <n v="47076781"/>
  </r>
  <r>
    <x v="810"/>
    <s v="TheOdd1sOut"/>
    <n v="19100000"/>
    <n v="4566120190"/>
    <x v="1"/>
    <n v="139"/>
    <x v="1"/>
    <x v="1"/>
    <n v="1500000"/>
    <n v="2014"/>
    <n v="8"/>
    <n v="30"/>
    <n v="328239523"/>
  </r>
  <r>
    <x v="811"/>
    <s v="theRadBrad"/>
    <n v="13300000"/>
    <n v="6050102764"/>
    <x v="6"/>
    <n v="8195"/>
    <x v="1"/>
    <x v="1"/>
    <n v="753300"/>
    <n v="2006"/>
    <n v="11"/>
    <n v="27"/>
    <n v="328239523"/>
  </r>
  <r>
    <x v="812"/>
    <s v="Therichest"/>
    <n v="15000000"/>
    <n v="2730879024"/>
    <x v="10"/>
    <n v="0"/>
    <x v="1"/>
    <x v="1"/>
    <n v="0"/>
    <n v="2006"/>
    <n v="5"/>
    <n v="25"/>
    <n v="328239523"/>
  </r>
  <r>
    <x v="813"/>
    <s v="TheWillyrex"/>
    <n v="18400000"/>
    <n v="7038827526"/>
    <x v="1"/>
    <n v="6943"/>
    <x v="11"/>
    <x v="4"/>
    <n v="528200"/>
    <n v="2011"/>
    <n v="1"/>
    <n v="26"/>
    <n v="47076781"/>
  </r>
  <r>
    <x v="814"/>
    <s v="Think Music India"/>
    <n v="13800000"/>
    <n v="11039343563"/>
    <x v="3"/>
    <n v="4978"/>
    <x v="8"/>
    <x v="3"/>
    <n v="10400000"/>
    <n v="2009"/>
    <n v="8"/>
    <n v="15"/>
    <n v="1366417754"/>
  </r>
  <r>
    <x v="815"/>
    <s v="Ti Ti"/>
    <n v="24000000"/>
    <n v="5652938599"/>
    <x v="8"/>
    <n v="3"/>
    <x v="0"/>
    <x v="0"/>
    <n v="0.14000000000000001"/>
    <n v="2018"/>
    <n v="4"/>
    <n v="30"/>
    <s v="N/A"/>
  </r>
  <r>
    <x v="816"/>
    <s v="Tilak"/>
    <n v="23400000"/>
    <n v="9465863821"/>
    <x v="8"/>
    <n v="6672"/>
    <x v="8"/>
    <x v="3"/>
    <n v="17600000"/>
    <n v="2020"/>
    <n v="10"/>
    <n v="10"/>
    <n v="1366417754"/>
  </r>
  <r>
    <x v="817"/>
    <s v="Timba Vk"/>
    <n v="12400000"/>
    <n v="2840137980"/>
    <x v="6"/>
    <n v="1024"/>
    <x v="11"/>
    <x v="4"/>
    <n v="1200000"/>
    <n v="2012"/>
    <n v="6"/>
    <n v="16"/>
    <n v="47076781"/>
  </r>
  <r>
    <x v="818"/>
    <s v="TIME NEWS"/>
    <n v="19800000"/>
    <n v="12293479945"/>
    <x v="4"/>
    <n v="9930"/>
    <x v="1"/>
    <x v="1"/>
    <n v="779"/>
    <n v="2013"/>
    <n v="11"/>
    <n v="16"/>
    <n v="328239523"/>
  </r>
  <r>
    <x v="819"/>
    <s v="Tips Official"/>
    <n v="59300000"/>
    <n v="33431802698"/>
    <x v="3"/>
    <n v="4741"/>
    <x v="8"/>
    <x v="3"/>
    <n v="20300000"/>
    <n v="2007"/>
    <n v="5"/>
    <n v="22"/>
    <n v="1366417754"/>
  </r>
  <r>
    <x v="820"/>
    <s v="TKoR"/>
    <n v="12400000"/>
    <n v="3392022527"/>
    <x v="10"/>
    <n v="0"/>
    <x v="0"/>
    <x v="0"/>
    <n v="0"/>
    <n v="2006"/>
    <n v="8"/>
    <n v="16"/>
    <s v="N/A"/>
  </r>
  <r>
    <x v="821"/>
    <s v="tlnovelas"/>
    <n v="21500000"/>
    <n v="15013096899"/>
    <x v="4"/>
    <n v="158"/>
    <x v="2"/>
    <x v="2"/>
    <n v="742"/>
    <n v="2014"/>
    <n v="1"/>
    <n v="2"/>
    <n v="126014024"/>
  </r>
  <r>
    <x v="822"/>
    <s v="Tom Duggan"/>
    <n v="13400000"/>
    <n v="4306212515"/>
    <x v="2"/>
    <n v="96"/>
    <x v="1"/>
    <x v="1"/>
    <n v="0.14000000000000001"/>
    <n v="2006"/>
    <n v="1"/>
    <n v="17"/>
    <n v="328239523"/>
  </r>
  <r>
    <x v="823"/>
    <s v="TommyInnit"/>
    <n v="14200000"/>
    <n v="2084791147"/>
    <x v="6"/>
    <n v="342"/>
    <x v="6"/>
    <x v="4"/>
    <n v="2600000"/>
    <n v="2015"/>
    <n v="12"/>
    <n v="24"/>
    <n v="66834405"/>
  </r>
  <r>
    <x v="824"/>
    <s v="Top Viral Talent"/>
    <n v="12900000"/>
    <n v="3643698504"/>
    <x v="0"/>
    <n v="1598"/>
    <x v="1"/>
    <x v="1"/>
    <n v="1400000"/>
    <n v="2014"/>
    <n v="1"/>
    <n v="2"/>
    <n v="328239523"/>
  </r>
  <r>
    <x v="825"/>
    <s v="Topper Guild"/>
    <n v="21900000"/>
    <n v="15552070846"/>
    <x v="1"/>
    <n v="816"/>
    <x v="1"/>
    <x v="1"/>
    <n v="33000000"/>
    <n v="2014"/>
    <n v="7"/>
    <n v="9"/>
    <n v="328239523"/>
  </r>
  <r>
    <x v="826"/>
    <s v="totalgaming"/>
    <n v="35400000"/>
    <n v="5556364230"/>
    <x v="6"/>
    <n v="1"/>
    <x v="0"/>
    <x v="0"/>
    <n v="3"/>
    <n v="2006"/>
    <n v="7"/>
    <n v="15"/>
    <s v="N/A"/>
  </r>
  <r>
    <x v="827"/>
    <s v="Totoy kids - Espaï¿½ï"/>
    <n v="16000000"/>
    <n v="5997599089"/>
    <x v="8"/>
    <n v="344"/>
    <x v="2"/>
    <x v="2"/>
    <n v="5400000"/>
    <n v="2017"/>
    <n v="9"/>
    <n v="7"/>
    <n v="126014024"/>
  </r>
  <r>
    <x v="828"/>
    <s v="Totoy kids - Portuguï¿½"/>
    <n v="20400000"/>
    <n v="1796227417"/>
    <x v="8"/>
    <n v="206"/>
    <x v="7"/>
    <x v="2"/>
    <n v="1900000"/>
    <n v="2014"/>
    <n v="12"/>
    <n v="2"/>
    <n v="212559417"/>
  </r>
  <r>
    <x v="829"/>
    <s v="toycantando"/>
    <n v="27700000"/>
    <n v="15777682516"/>
    <x v="3"/>
    <n v="619"/>
    <x v="17"/>
    <x v="2"/>
    <n v="8300000"/>
    <n v="2009"/>
    <n v="7"/>
    <n v="7"/>
    <n v="50339443"/>
  </r>
  <r>
    <x v="830"/>
    <s v="toyorbabytv"/>
    <n v="22900000"/>
    <n v="16298342829"/>
    <x v="3"/>
    <n v="1159"/>
    <x v="39"/>
    <x v="3"/>
    <n v="8100000"/>
    <n v="2012"/>
    <n v="11"/>
    <n v="1"/>
    <n v="10101694"/>
  </r>
  <r>
    <x v="831"/>
    <s v="ToyPudding TV[ï¿½ï¿½ï¿½ï¿½ï"/>
    <n v="27100000"/>
    <n v="15916882228"/>
    <x v="0"/>
    <n v="2"/>
    <x v="0"/>
    <x v="0"/>
    <n v="0.67"/>
    <n v="2017"/>
    <n v="6"/>
    <n v="7"/>
    <s v="N/A"/>
  </r>
  <r>
    <x v="832"/>
    <s v="Toys and colors"/>
    <n v="40300000"/>
    <n v="47005053156"/>
    <x v="0"/>
    <n v="4"/>
    <x v="0"/>
    <x v="0"/>
    <n v="0.24"/>
    <n v="2018"/>
    <n v="6"/>
    <n v="14"/>
    <s v="N/A"/>
  </r>
  <r>
    <x v="833"/>
    <s v="Trakin Tech"/>
    <n v="13300000"/>
    <n v="2262690743"/>
    <x v="9"/>
    <n v="3640"/>
    <x v="8"/>
    <x v="3"/>
    <n v="2100000"/>
    <n v="2011"/>
    <n v="11"/>
    <n v="2"/>
    <n v="1366417754"/>
  </r>
  <r>
    <x v="834"/>
    <s v="TRANS TV Official"/>
    <n v="17100000"/>
    <n v="9710962528"/>
    <x v="0"/>
    <n v="148225"/>
    <x v="13"/>
    <x v="3"/>
    <n v="2200000"/>
    <n v="2014"/>
    <n v="9"/>
    <n v="2"/>
    <n v="270203917"/>
  </r>
  <r>
    <x v="835"/>
    <s v="TRANS7 OFFICIAL"/>
    <n v="25000000"/>
    <n v="14169516119"/>
    <x v="0"/>
    <n v="89179"/>
    <x v="13"/>
    <x v="3"/>
    <n v="5900000"/>
    <n v="2014"/>
    <n v="9"/>
    <n v="4"/>
    <n v="270203917"/>
  </r>
  <r>
    <x v="836"/>
    <s v="Trap Nation"/>
    <n v="30400000"/>
    <n v="14037426379"/>
    <x v="3"/>
    <n v="2725"/>
    <x v="1"/>
    <x v="1"/>
    <n v="2200000"/>
    <n v="2012"/>
    <n v="9"/>
    <n v="23"/>
    <n v="328239523"/>
  </r>
  <r>
    <x v="837"/>
    <s v="TrapCity"/>
    <n v="14100000"/>
    <n v="5129529846"/>
    <x v="3"/>
    <n v="3"/>
    <x v="24"/>
    <x v="5"/>
    <n v="7"/>
    <n v="2015"/>
    <n v="11"/>
    <n v="4"/>
    <n v="25766605"/>
  </r>
  <r>
    <x v="838"/>
    <s v="Travis Scott"/>
    <n v="16700000"/>
    <n v="7979736581"/>
    <x v="3"/>
    <n v="13"/>
    <x v="1"/>
    <x v="1"/>
    <n v="1800"/>
    <n v="2010"/>
    <n v="9"/>
    <n v="1"/>
    <n v="328239523"/>
  </r>
  <r>
    <x v="839"/>
    <s v="Triggered Insaan"/>
    <n v="18800000"/>
    <n v="3276891538"/>
    <x v="1"/>
    <n v="304"/>
    <x v="8"/>
    <x v="3"/>
    <n v="5200000"/>
    <n v="2014"/>
    <n v="7"/>
    <n v="17"/>
    <n v="1366417754"/>
  </r>
  <r>
    <x v="840"/>
    <s v="Troom Troom"/>
    <n v="23800000"/>
    <n v="10414479943"/>
    <x v="5"/>
    <n v="2425"/>
    <x v="1"/>
    <x v="1"/>
    <n v="4700000"/>
    <n v="2015"/>
    <n v="9"/>
    <n v="12"/>
    <n v="328239523"/>
  </r>
  <r>
    <x v="841"/>
    <s v="Troom Troom Es"/>
    <n v="19700000"/>
    <n v="7452667615"/>
    <x v="2"/>
    <n v="2912"/>
    <x v="0"/>
    <x v="0"/>
    <n v="1400000"/>
    <n v="2016"/>
    <n v="2"/>
    <n v="5"/>
    <s v="N/A"/>
  </r>
  <r>
    <x v="842"/>
    <s v="Troom Troom India"/>
    <n v="12800000"/>
    <n v="6804072897"/>
    <x v="5"/>
    <n v="2385"/>
    <x v="0"/>
    <x v="0"/>
    <n v="829000"/>
    <n v="2015"/>
    <n v="4"/>
    <n v="19"/>
    <s v="N/A"/>
  </r>
  <r>
    <x v="843"/>
    <s v="TROOM TROOM INDONESIA"/>
    <n v="12500000"/>
    <n v="5379684248"/>
    <x v="2"/>
    <n v="8"/>
    <x v="0"/>
    <x v="0"/>
    <n v="0.05"/>
    <n v="2020"/>
    <n v="7"/>
    <n v="29"/>
    <s v="N/A"/>
  </r>
  <r>
    <x v="844"/>
    <s v="Troom Troom PT"/>
    <n v="12500000"/>
    <n v="4384177908"/>
    <x v="5"/>
    <n v="2738"/>
    <x v="0"/>
    <x v="0"/>
    <n v="648100"/>
    <n v="2015"/>
    <n v="4"/>
    <n v="19"/>
    <s v="N/A"/>
  </r>
  <r>
    <x v="845"/>
    <s v="T-Series"/>
    <n v="245000000"/>
    <n v="228000000000"/>
    <x v="3"/>
    <n v="20082"/>
    <x v="8"/>
    <x v="3"/>
    <n v="108400000"/>
    <n v="2006"/>
    <n v="3"/>
    <n v="13"/>
    <n v="1366417754"/>
  </r>
  <r>
    <x v="846"/>
    <s v="T-Series Bollywood Classics"/>
    <n v="35400000"/>
    <n v="22637783517"/>
    <x v="3"/>
    <n v="2010"/>
    <x v="8"/>
    <x v="3"/>
    <n v="15900000"/>
    <n v="2012"/>
    <n v="4"/>
    <n v="2"/>
    <n v="1366417754"/>
  </r>
  <r>
    <x v="847"/>
    <s v="T-Series Hamaar Bhojpuri"/>
    <n v="15200000"/>
    <n v="7564652648"/>
    <x v="0"/>
    <n v="9862"/>
    <x v="8"/>
    <x v="3"/>
    <n v="5100000"/>
    <n v="2011"/>
    <n v="11"/>
    <n v="1"/>
    <n v="1366417754"/>
  </r>
  <r>
    <x v="848"/>
    <s v="T-Series Regional"/>
    <n v="13900000"/>
    <n v="5217553897"/>
    <x v="0"/>
    <n v="15075"/>
    <x v="8"/>
    <x v="3"/>
    <n v="1600000"/>
    <n v="2011"/>
    <n v="2"/>
    <n v="14"/>
    <n v="1366417754"/>
  </r>
  <r>
    <x v="849"/>
    <s v="Tsuriki Show"/>
    <n v="23000000"/>
    <n v="31494513067"/>
    <x v="0"/>
    <n v="2905"/>
    <x v="21"/>
    <x v="4"/>
    <n v="36300000"/>
    <n v="2019"/>
    <n v="7"/>
    <n v="10"/>
    <n v="83132799"/>
  </r>
  <r>
    <x v="850"/>
    <s v="Tu COSMOPOLIS"/>
    <n v="16700000"/>
    <n v="5089284369"/>
    <x v="2"/>
    <n v="8741"/>
    <x v="2"/>
    <x v="2"/>
    <n v="774700"/>
    <n v="2014"/>
    <n v="8"/>
    <n v="28"/>
    <n v="126014024"/>
  </r>
  <r>
    <x v="851"/>
    <s v="Turma da Mï¿½ï¿½"/>
    <n v="19000000"/>
    <n v="13824277846"/>
    <x v="8"/>
    <n v="1154"/>
    <x v="7"/>
    <x v="2"/>
    <n v="3700000"/>
    <n v="2012"/>
    <n v="7"/>
    <n v="30"/>
    <n v="212559417"/>
  </r>
  <r>
    <x v="852"/>
    <s v="tuzelity SHUFFLE"/>
    <n v="20700000"/>
    <n v="8658941531"/>
    <x v="2"/>
    <n v="889"/>
    <x v="23"/>
    <x v="3"/>
    <n v="26500000"/>
    <n v="2015"/>
    <n v="10"/>
    <n v="26"/>
    <n v="144373535"/>
  </r>
  <r>
    <x v="853"/>
    <s v="TV Ana Emilia"/>
    <n v="14000000"/>
    <n v="4674164601"/>
    <x v="2"/>
    <n v="651"/>
    <x v="2"/>
    <x v="2"/>
    <n v="1300000"/>
    <n v="2014"/>
    <n v="12"/>
    <n v="30"/>
    <n v="126014024"/>
  </r>
  <r>
    <x v="854"/>
    <s v="TV9 Bharatvarsh"/>
    <n v="14500000"/>
    <n v="10303519926"/>
    <x v="2"/>
    <n v="293516"/>
    <x v="8"/>
    <x v="3"/>
    <n v="20100000"/>
    <n v="2018"/>
    <n v="11"/>
    <n v="19"/>
    <n v="1366417754"/>
  </r>
  <r>
    <x v="855"/>
    <s v="twenty one pilots"/>
    <n v="13100000"/>
    <n v="5264039679"/>
    <x v="3"/>
    <n v="194"/>
    <x v="1"/>
    <x v="1"/>
    <n v="2400000"/>
    <n v="2009"/>
    <n v="9"/>
    <n v="5"/>
    <n v="328239523"/>
  </r>
  <r>
    <x v="856"/>
    <s v="TWICE"/>
    <n v="16100000"/>
    <n v="5055576881"/>
    <x v="3"/>
    <n v="1123"/>
    <x v="0"/>
    <x v="0"/>
    <n v="4700000"/>
    <n v="2016"/>
    <n v="3"/>
    <n v="27"/>
    <s v="N/A"/>
  </r>
  <r>
    <x v="857"/>
    <s v="Typical Gamer"/>
    <n v="13500000"/>
    <n v="4301581610"/>
    <x v="6"/>
    <n v="4312"/>
    <x v="20"/>
    <x v="1"/>
    <n v="1600000"/>
    <n v="2008"/>
    <n v="8"/>
    <n v="24"/>
    <n v="36991981"/>
  </r>
  <r>
    <x v="858"/>
    <s v="UFC - Ultimate Fighting Championship"/>
    <n v="16400000"/>
    <n v="7135820721"/>
    <x v="15"/>
    <n v="14662"/>
    <x v="1"/>
    <x v="1"/>
    <n v="6400000"/>
    <n v="2006"/>
    <n v="3"/>
    <n v="4"/>
    <n v="328239523"/>
  </r>
  <r>
    <x v="859"/>
    <s v="Ultra Bollywood"/>
    <n v="36600000"/>
    <n v="15653786446"/>
    <x v="17"/>
    <n v="9168"/>
    <x v="8"/>
    <x v="3"/>
    <n v="0"/>
    <n v="2009"/>
    <n v="10"/>
    <n v="21"/>
    <n v="1366417754"/>
  </r>
  <r>
    <x v="860"/>
    <s v="Ultra Movie Parlour"/>
    <n v="22900000"/>
    <n v="5320485069"/>
    <x v="7"/>
    <n v="1670"/>
    <x v="8"/>
    <x v="3"/>
    <n v="0"/>
    <n v="2011"/>
    <n v="5"/>
    <n v="17"/>
    <n v="1366417754"/>
  </r>
  <r>
    <x v="861"/>
    <s v="Ultra Records"/>
    <n v="29600000"/>
    <n v="17208027242"/>
    <x v="3"/>
    <n v="4903"/>
    <x v="1"/>
    <x v="1"/>
    <n v="3900000"/>
    <n v="2006"/>
    <n v="10"/>
    <n v="24"/>
    <n v="328239523"/>
  </r>
  <r>
    <x v="862"/>
    <s v="Unbox Therapy"/>
    <n v="19300000"/>
    <n v="4508184467"/>
    <x v="9"/>
    <n v="2175"/>
    <x v="0"/>
    <x v="0"/>
    <n v="802500"/>
    <n v="2010"/>
    <n v="12"/>
    <n v="21"/>
    <s v="N/A"/>
  </r>
  <r>
    <x v="863"/>
    <s v="unknown boy varun"/>
    <n v="23100000"/>
    <n v="9299371231"/>
    <x v="3"/>
    <n v="456"/>
    <x v="8"/>
    <x v="3"/>
    <n v="14600000"/>
    <n v="2016"/>
    <n v="9"/>
    <n v="27"/>
    <n v="1366417754"/>
  </r>
  <r>
    <x v="864"/>
    <s v="Unspeakable"/>
    <n v="15900000"/>
    <n v="9052367553"/>
    <x v="6"/>
    <n v="796"/>
    <x v="1"/>
    <x v="1"/>
    <n v="7900000"/>
    <n v="2016"/>
    <n v="5"/>
    <n v="1"/>
    <n v="328239523"/>
  </r>
  <r>
    <x v="865"/>
    <s v="Valentina Pontes ofc"/>
    <n v="23400000"/>
    <n v="7926899136"/>
    <x v="8"/>
    <n v="1291"/>
    <x v="7"/>
    <x v="2"/>
    <n v="1400000"/>
    <n v="2014"/>
    <n v="4"/>
    <n v="14"/>
    <n v="212559417"/>
  </r>
  <r>
    <x v="866"/>
    <s v="Vania Mania Kids"/>
    <n v="22700000"/>
    <n v="10115316784"/>
    <x v="2"/>
    <n v="985"/>
    <x v="1"/>
    <x v="1"/>
    <n v="7500000"/>
    <n v="2015"/>
    <n v="9"/>
    <n v="9"/>
    <n v="328239523"/>
  </r>
  <r>
    <x v="867"/>
    <s v="VanossGaming"/>
    <n v="25800000"/>
    <n v="15541421838"/>
    <x v="6"/>
    <n v="1762"/>
    <x v="20"/>
    <x v="1"/>
    <n v="2600000"/>
    <n v="2011"/>
    <n v="9"/>
    <n v="15"/>
    <n v="36991981"/>
  </r>
  <r>
    <x v="868"/>
    <s v="VEGETTA777"/>
    <n v="33800000"/>
    <n v="15432929204"/>
    <x v="6"/>
    <n v="7606"/>
    <x v="11"/>
    <x v="4"/>
    <n v="1900000"/>
    <n v="2008"/>
    <n v="3"/>
    <n v="2"/>
    <n v="47076781"/>
  </r>
  <r>
    <x v="869"/>
    <s v="Venus Entertainment"/>
    <n v="23800000"/>
    <n v="5663125358"/>
    <x v="0"/>
    <n v="70"/>
    <x v="0"/>
    <x v="0"/>
    <n v="1500"/>
    <n v="2016"/>
    <n v="5"/>
    <n v="17"/>
    <s v="N/A"/>
  </r>
  <r>
    <x v="870"/>
    <s v="Veritasium"/>
    <n v="13900000"/>
    <n v="2165885634"/>
    <x v="10"/>
    <n v="369"/>
    <x v="1"/>
    <x v="1"/>
    <n v="2100000"/>
    <n v="2010"/>
    <n v="7"/>
    <n v="21"/>
    <n v="328239523"/>
  </r>
  <r>
    <x v="871"/>
    <s v="Vevo"/>
    <n v="20000000"/>
    <n v="559765455"/>
    <x v="3"/>
    <n v="1527"/>
    <x v="1"/>
    <x v="1"/>
    <n v="63900"/>
    <n v="2006"/>
    <n v="4"/>
    <n v="14"/>
    <n v="328239523"/>
  </r>
  <r>
    <x v="872"/>
    <s v="VexTrex"/>
    <n v="13300000"/>
    <n v="7923901253"/>
    <x v="0"/>
    <n v="2411"/>
    <x v="5"/>
    <x v="4"/>
    <n v="0"/>
    <n v="2014"/>
    <n v="9"/>
    <n v="8"/>
    <n v="44385155"/>
  </r>
  <r>
    <x v="873"/>
    <s v="Vibhu 96"/>
    <n v="13400000"/>
    <n v="20563378"/>
    <x v="12"/>
    <n v="256"/>
    <x v="8"/>
    <x v="3"/>
    <n v="972700"/>
    <n v="2022"/>
    <n v="6"/>
    <n v="5"/>
    <n v="1366417754"/>
  </r>
  <r>
    <x v="874"/>
    <s v="VICE"/>
    <n v="16900000"/>
    <n v="4609753237"/>
    <x v="0"/>
    <n v="3900"/>
    <x v="1"/>
    <x v="1"/>
    <n v="1700000"/>
    <n v="2005"/>
    <n v="12"/>
    <n v="16"/>
    <n v="328239523"/>
  </r>
  <r>
    <x v="875"/>
    <s v="Vijay Kumar Viner Vlogs"/>
    <n v="13500000"/>
    <n v="7958771872"/>
    <x v="0"/>
    <n v="1357"/>
    <x v="8"/>
    <x v="3"/>
    <n v="5300000"/>
    <n v="2019"/>
    <n v="3"/>
    <n v="22"/>
    <n v="1366417754"/>
  </r>
  <r>
    <x v="876"/>
    <s v="Vijay Television"/>
    <n v="20400000"/>
    <n v="29406206620"/>
    <x v="0"/>
    <n v="51515"/>
    <x v="8"/>
    <x v="3"/>
    <n v="43600000"/>
    <n v="2007"/>
    <n v="2"/>
    <n v="1"/>
    <n v="1366417754"/>
  </r>
  <r>
    <x v="877"/>
    <s v="Village Cooking Channel"/>
    <n v="21600000"/>
    <n v="5863377051"/>
    <x v="5"/>
    <n v="219"/>
    <x v="8"/>
    <x v="3"/>
    <n v="9300000"/>
    <n v="2018"/>
    <n v="4"/>
    <n v="25"/>
    <n v="1366417754"/>
  </r>
  <r>
    <x v="878"/>
    <s v="Vilmei"/>
    <n v="13200000"/>
    <n v="4205664894"/>
    <x v="12"/>
    <n v="1324"/>
    <x v="13"/>
    <x v="3"/>
    <n v="12700000"/>
    <n v="2013"/>
    <n v="9"/>
    <n v="25"/>
    <n v="270203917"/>
  </r>
  <r>
    <x v="879"/>
    <s v="ViralHog"/>
    <n v="14000000"/>
    <n v="18917687143"/>
    <x v="2"/>
    <n v="41117"/>
    <x v="1"/>
    <x v="1"/>
    <n v="65500000"/>
    <n v="2014"/>
    <n v="8"/>
    <n v="22"/>
    <n v="328239523"/>
  </r>
  <r>
    <x v="880"/>
    <s v="Vlad and Niki"/>
    <n v="98900000"/>
    <n v="77180169894"/>
    <x v="0"/>
    <n v="574"/>
    <x v="1"/>
    <x v="1"/>
    <n v="27900000"/>
    <n v="2018"/>
    <n v="4"/>
    <n v="23"/>
    <n v="328239523"/>
  </r>
  <r>
    <x v="881"/>
    <s v="Vlad and Niki ARA"/>
    <n v="16100000"/>
    <n v="7399296005"/>
    <x v="12"/>
    <n v="510"/>
    <x v="1"/>
    <x v="1"/>
    <n v="1500000"/>
    <n v="2019"/>
    <n v="5"/>
    <n v="24"/>
    <n v="328239523"/>
  </r>
  <r>
    <x v="882"/>
    <s v="Vlad and Niki Arabic"/>
    <n v="22500000"/>
    <n v="10613701948"/>
    <x v="12"/>
    <n v="526"/>
    <x v="1"/>
    <x v="1"/>
    <n v="3100000"/>
    <n v="2018"/>
    <n v="11"/>
    <n v="9"/>
    <n v="328239523"/>
  </r>
  <r>
    <x v="883"/>
    <s v="Vlad and Niki ESP"/>
    <n v="22000000"/>
    <n v="8594440895"/>
    <x v="12"/>
    <n v="515"/>
    <x v="1"/>
    <x v="1"/>
    <n v="8800000"/>
    <n v="2018"/>
    <n v="10"/>
    <n v="11"/>
    <n v="328239523"/>
  </r>
  <r>
    <x v="884"/>
    <s v="Vlad and Niki IDN"/>
    <n v="21000000"/>
    <n v="9789121606"/>
    <x v="12"/>
    <n v="498"/>
    <x v="1"/>
    <x v="1"/>
    <n v="6400000"/>
    <n v="2018"/>
    <n v="11"/>
    <n v="9"/>
    <n v="328239523"/>
  </r>
  <r>
    <x v="885"/>
    <s v="Vlad and Niki PRT"/>
    <n v="14400000"/>
    <n v="6543282459"/>
    <x v="12"/>
    <n v="516"/>
    <x v="1"/>
    <x v="1"/>
    <n v="1900000"/>
    <n v="2018"/>
    <n v="11"/>
    <n v="3"/>
    <n v="328239523"/>
  </r>
  <r>
    <x v="886"/>
    <s v="Vlad vï¿½ï¿½ï"/>
    <n v="37900000"/>
    <n v="23510152352"/>
    <x v="12"/>
    <n v="515"/>
    <x v="1"/>
    <x v="1"/>
    <n v="11700000"/>
    <n v="2018"/>
    <n v="7"/>
    <n v="20"/>
    <n v="328239523"/>
  </r>
  <r>
    <x v="887"/>
    <s v="Vlad y Niki Show"/>
    <n v="13400000"/>
    <n v="4622628957"/>
    <x v="12"/>
    <n v="477"/>
    <x v="1"/>
    <x v="1"/>
    <n v="4400000"/>
    <n v="2018"/>
    <n v="11"/>
    <n v="8"/>
    <n v="328239523"/>
  </r>
  <r>
    <x v="888"/>
    <s v="Vocï¿½ï¿½ï¿½"/>
    <n v="44700000"/>
    <n v="7828610828"/>
    <x v="0"/>
    <n v="1558"/>
    <x v="7"/>
    <x v="2"/>
    <n v="2300000"/>
    <n v="2013"/>
    <n v="9"/>
    <n v="1"/>
    <n v="212559417"/>
  </r>
  <r>
    <x v="889"/>
    <s v="Vogue"/>
    <n v="13300000"/>
    <n v="4177184071"/>
    <x v="0"/>
    <n v="3166"/>
    <x v="1"/>
    <x v="1"/>
    <n v="2200000"/>
    <n v="2008"/>
    <n v="6"/>
    <n v="29"/>
    <n v="328239523"/>
  </r>
  <r>
    <x v="890"/>
    <s v="Volga Video"/>
    <n v="15700000"/>
    <n v="9787697838"/>
    <x v="8"/>
    <n v="16874"/>
    <x v="8"/>
    <x v="3"/>
    <n v="2500000"/>
    <n v="2012"/>
    <n v="3"/>
    <n v="23"/>
    <n v="1366417754"/>
  </r>
  <r>
    <x v="891"/>
    <s v="Voot Kids"/>
    <n v="45500000"/>
    <n v="21388725229"/>
    <x v="0"/>
    <n v="4660"/>
    <x v="8"/>
    <x v="3"/>
    <n v="11200000"/>
    <n v="2016"/>
    <n v="11"/>
    <n v="23"/>
    <n v="1366417754"/>
  </r>
  <r>
    <x v="892"/>
    <s v="Vsauce"/>
    <n v="19300000"/>
    <n v="2897907132"/>
    <x v="9"/>
    <n v="462"/>
    <x v="0"/>
    <x v="0"/>
    <n v="3300000"/>
    <n v="2007"/>
    <n v="7"/>
    <n v="30"/>
    <s v="N/A"/>
  </r>
  <r>
    <x v="893"/>
    <s v="W2S"/>
    <n v="16300000"/>
    <n v="4768370464"/>
    <x v="6"/>
    <n v="652"/>
    <x v="6"/>
    <x v="4"/>
    <n v="147800"/>
    <n v="2012"/>
    <n v="7"/>
    <n v="26"/>
    <n v="66834405"/>
  </r>
  <r>
    <x v="894"/>
    <s v="WatchLOUD"/>
    <n v="12400000"/>
    <n v="2394143260"/>
    <x v="6"/>
    <n v="690"/>
    <x v="1"/>
    <x v="1"/>
    <n v="1300"/>
    <n v="2006"/>
    <n v="1"/>
    <n v="4"/>
    <n v="328239523"/>
  </r>
  <r>
    <x v="895"/>
    <s v="WatchMojo.com"/>
    <n v="25100000"/>
    <n v="16357064198"/>
    <x v="3"/>
    <n v="24837"/>
    <x v="20"/>
    <x v="1"/>
    <n v="2400000"/>
    <n v="2007"/>
    <n v="1"/>
    <n v="25"/>
    <n v="36991981"/>
  </r>
  <r>
    <x v="896"/>
    <s v="Wave Music"/>
    <n v="58000000"/>
    <n v="40602020243"/>
    <x v="3"/>
    <n v="19487"/>
    <x v="8"/>
    <x v="3"/>
    <n v="11100000"/>
    <n v="2014"/>
    <n v="10"/>
    <n v="29"/>
    <n v="1366417754"/>
  </r>
  <r>
    <x v="897"/>
    <s v="Wave Music Bhakti"/>
    <n v="12500000"/>
    <n v="5146004207"/>
    <x v="3"/>
    <n v="19899"/>
    <x v="8"/>
    <x v="3"/>
    <n v="531800"/>
    <n v="2011"/>
    <n v="4"/>
    <n v="19"/>
    <n v="1366417754"/>
  </r>
  <r>
    <x v="898"/>
    <s v="Wave Music Bhojpuri"/>
    <n v="23100000"/>
    <n v="12889240875"/>
    <x v="3"/>
    <n v="22578"/>
    <x v="8"/>
    <x v="3"/>
    <n v="2500000"/>
    <n v="2014"/>
    <n v="8"/>
    <n v="10"/>
    <n v="1366417754"/>
  </r>
  <r>
    <x v="899"/>
    <s v="WB Kids"/>
    <n v="25200000"/>
    <n v="11081602368"/>
    <x v="2"/>
    <n v="2025"/>
    <x v="1"/>
    <x v="1"/>
    <n v="6700000"/>
    <n v="2015"/>
    <n v="3"/>
    <n v="31"/>
    <n v="328239523"/>
  </r>
  <r>
    <x v="900"/>
    <s v="Wengie"/>
    <n v="13500000"/>
    <n v="1900272833"/>
    <x v="5"/>
    <n v="462"/>
    <x v="1"/>
    <x v="1"/>
    <n v="64100"/>
    <n v="2010"/>
    <n v="9"/>
    <n v="9"/>
    <n v="328239523"/>
  </r>
  <r>
    <x v="901"/>
    <s v="werever2morro"/>
    <n v="16600000"/>
    <n v="2798273962"/>
    <x v="0"/>
    <n v="0"/>
    <x v="2"/>
    <x v="2"/>
    <n v="0"/>
    <n v="2010"/>
    <n v="12"/>
    <n v="7"/>
    <n v="126014024"/>
  </r>
  <r>
    <x v="902"/>
    <s v="Wesley Safadï¿½"/>
    <n v="13700000"/>
    <n v="8134379376"/>
    <x v="3"/>
    <n v="438"/>
    <x v="7"/>
    <x v="2"/>
    <n v="3100000"/>
    <n v="2009"/>
    <n v="6"/>
    <n v="21"/>
    <n v="212559417"/>
  </r>
  <r>
    <x v="903"/>
    <s v="whinderssonnunes"/>
    <n v="44200000"/>
    <n v="4274709210"/>
    <x v="1"/>
    <n v="558"/>
    <x v="7"/>
    <x v="2"/>
    <n v="1300000"/>
    <n v="2013"/>
    <n v="1"/>
    <n v="21"/>
    <n v="212559417"/>
  </r>
  <r>
    <x v="904"/>
    <s v="White Hill Music"/>
    <n v="23000000"/>
    <n v="10939966484"/>
    <x v="0"/>
    <n v="5718"/>
    <x v="8"/>
    <x v="3"/>
    <n v="4500000"/>
    <n v="2014"/>
    <n v="3"/>
    <n v="23"/>
    <n v="1366417754"/>
  </r>
  <r>
    <x v="905"/>
    <s v="WiederDude"/>
    <n v="13100000"/>
    <n v="2733682792"/>
    <x v="12"/>
    <n v="289"/>
    <x v="1"/>
    <x v="1"/>
    <n v="2700000"/>
    <n v="2016"/>
    <n v="6"/>
    <n v="12"/>
    <n v="328239523"/>
  </r>
  <r>
    <x v="906"/>
    <s v="wifistudy by Unacademy"/>
    <n v="16000000"/>
    <n v="3018032423"/>
    <x v="10"/>
    <n v="52144"/>
    <x v="8"/>
    <x v="3"/>
    <n v="685800"/>
    <n v="2014"/>
    <n v="7"/>
    <n v="26"/>
    <n v="1366417754"/>
  </r>
  <r>
    <x v="907"/>
    <s v="Willie Salim"/>
    <n v="18500000"/>
    <n v="4051072188"/>
    <x v="2"/>
    <n v="679"/>
    <x v="13"/>
    <x v="3"/>
    <n v="9500000"/>
    <n v="2014"/>
    <n v="1"/>
    <n v="6"/>
    <n v="270203917"/>
  </r>
  <r>
    <x v="908"/>
    <s v="Willyrex"/>
    <n v="17200000"/>
    <n v="5024088947"/>
    <x v="6"/>
    <n v="7550"/>
    <x v="11"/>
    <x v="4"/>
    <n v="739500"/>
    <n v="2009"/>
    <n v="8"/>
    <n v="9"/>
    <n v="47076781"/>
  </r>
  <r>
    <x v="909"/>
    <s v="Wish 107.5"/>
    <n v="14200000"/>
    <n v="6048517979"/>
    <x v="3"/>
    <n v="1823"/>
    <x v="10"/>
    <x v="3"/>
    <n v="3000000"/>
    <n v="2014"/>
    <n v="7"/>
    <n v="13"/>
    <n v="108116615"/>
  </r>
  <r>
    <x v="910"/>
    <s v="With Kids[ï¿½ï¿½ï¿½ï¿½ï"/>
    <n v="16700000"/>
    <n v="8826138204"/>
    <x v="0"/>
    <n v="920"/>
    <x v="1"/>
    <x v="1"/>
    <n v="2200000"/>
    <n v="2012"/>
    <n v="7"/>
    <n v="6"/>
    <n v="328239523"/>
  </r>
  <r>
    <x v="911"/>
    <s v="Wiz Khalifa"/>
    <n v="27500000"/>
    <n v="13379395501"/>
    <x v="3"/>
    <n v="682"/>
    <x v="1"/>
    <x v="1"/>
    <n v="4300000"/>
    <n v="2008"/>
    <n v="5"/>
    <n v="9"/>
    <n v="328239523"/>
  </r>
  <r>
    <x v="912"/>
    <s v="Wolfoo Channel"/>
    <n v="13000000"/>
    <n v="301547793"/>
    <x v="12"/>
    <n v="22"/>
    <x v="18"/>
    <x v="3"/>
    <n v="28"/>
    <n v="2021"/>
    <n v="8"/>
    <n v="11"/>
    <n v="216565318"/>
  </r>
  <r>
    <x v="913"/>
    <s v="Wolfoo Family"/>
    <n v="12500000"/>
    <n v="161254021"/>
    <x v="12"/>
    <n v="61"/>
    <x v="1"/>
    <x v="1"/>
    <n v="0"/>
    <n v="2019"/>
    <n v="10"/>
    <n v="21"/>
    <n v="328239523"/>
  </r>
  <r>
    <x v="914"/>
    <s v="Woody &amp; Kleiny"/>
    <n v="13500000"/>
    <n v="11717217293"/>
    <x v="1"/>
    <n v="975"/>
    <x v="6"/>
    <x v="4"/>
    <n v="23800000"/>
    <n v="2013"/>
    <n v="3"/>
    <n v="30"/>
    <n v="66834405"/>
  </r>
  <r>
    <x v="915"/>
    <s v="WorkpointOfficial"/>
    <n v="39000000"/>
    <n v="36131228583"/>
    <x v="0"/>
    <n v="72580"/>
    <x v="14"/>
    <x v="3"/>
    <n v="6300000"/>
    <n v="2012"/>
    <n v="11"/>
    <n v="5"/>
    <n v="69625582"/>
  </r>
  <r>
    <x v="916"/>
    <s v="WORLDSTARHIPHOP"/>
    <n v="26500000"/>
    <n v="20358117330"/>
    <x v="3"/>
    <n v="6873"/>
    <x v="1"/>
    <x v="1"/>
    <n v="4300000"/>
    <n v="2008"/>
    <n v="11"/>
    <n v="8"/>
    <n v="328239523"/>
  </r>
  <r>
    <x v="917"/>
    <s v="Worldwide Records Bhojpuri"/>
    <n v="31700000"/>
    <n v="16476978876"/>
    <x v="3"/>
    <n v="6518"/>
    <x v="8"/>
    <x v="3"/>
    <n v="5400000"/>
    <n v="2012"/>
    <n v="3"/>
    <n v="15"/>
    <n v="1366417754"/>
  </r>
  <r>
    <x v="918"/>
    <s v="Wow Kidz Action"/>
    <n v="19000000"/>
    <n v="8281724393"/>
    <x v="8"/>
    <n v="1525"/>
    <x v="8"/>
    <x v="3"/>
    <n v="5100000"/>
    <n v="2017"/>
    <n v="11"/>
    <n v="8"/>
    <n v="1366417754"/>
  </r>
  <r>
    <x v="919"/>
    <s v="wowkidz"/>
    <n v="32200000"/>
    <n v="16613441479"/>
    <x v="8"/>
    <n v="2"/>
    <x v="0"/>
    <x v="0"/>
    <n v="0.05"/>
    <n v="2006"/>
    <n v="12"/>
    <n v="16"/>
    <s v="N/A"/>
  </r>
  <r>
    <x v="920"/>
    <s v="WWE"/>
    <n v="96000000"/>
    <n v="77428473662"/>
    <x v="15"/>
    <n v="70127"/>
    <x v="1"/>
    <x v="1"/>
    <n v="34300000"/>
    <n v="2007"/>
    <n v="5"/>
    <n v="11"/>
    <n v="328239523"/>
  </r>
  <r>
    <x v="921"/>
    <s v="XO TEAM Family"/>
    <n v="16200000"/>
    <n v="14784781923"/>
    <x v="2"/>
    <n v="189"/>
    <x v="1"/>
    <x v="1"/>
    <n v="1800"/>
    <n v="2020"/>
    <n v="9"/>
    <n v="12"/>
    <n v="328239523"/>
  </r>
  <r>
    <x v="922"/>
    <s v="XpressTV"/>
    <n v="15000000"/>
    <n v="4008801873"/>
    <x v="0"/>
    <n v="724"/>
    <x v="2"/>
    <x v="2"/>
    <n v="1600000"/>
    <n v="2014"/>
    <n v="11"/>
    <n v="17"/>
    <n v="126014024"/>
  </r>
  <r>
    <x v="923"/>
    <s v="XXXTENTACION"/>
    <n v="39200000"/>
    <n v="10507474316"/>
    <x v="3"/>
    <n v="133"/>
    <x v="1"/>
    <x v="1"/>
    <n v="2800000"/>
    <n v="2015"/>
    <n v="6"/>
    <n v="23"/>
    <n v="328239523"/>
  </r>
  <r>
    <x v="924"/>
    <s v="Yair17"/>
    <n v="12500000"/>
    <n v="1402042328"/>
    <x v="6"/>
    <n v="1109"/>
    <x v="2"/>
    <x v="2"/>
    <n v="425700"/>
    <n v="2014"/>
    <n v="1"/>
    <n v="22"/>
    <n v="126014024"/>
  </r>
  <r>
    <x v="925"/>
    <s v="Yoeslan"/>
    <n v="20700000"/>
    <n v="17963202261"/>
    <x v="0"/>
    <n v="619"/>
    <x v="1"/>
    <x v="1"/>
    <n v="42000000"/>
    <n v="2020"/>
    <n v="9"/>
    <n v="26"/>
    <n v="328239523"/>
  </r>
  <r>
    <x v="926"/>
    <s v="YOLO"/>
    <n v="21400000"/>
    <n v="1573058816"/>
    <x v="1"/>
    <n v="0"/>
    <x v="21"/>
    <x v="4"/>
    <n v="0"/>
    <n v="2013"/>
    <n v="6"/>
    <n v="11"/>
    <n v="83132799"/>
  </r>
  <r>
    <x v="927"/>
    <s v="YOLO AVENTURAS"/>
    <n v="31200000"/>
    <n v="9673649438"/>
    <x v="2"/>
    <n v="65"/>
    <x v="48"/>
    <x v="2"/>
    <n v="172"/>
    <n v="2018"/>
    <n v="12"/>
    <n v="16"/>
    <n v="28515829"/>
  </r>
  <r>
    <x v="928"/>
    <s v="Younes Zarou"/>
    <n v="16600000"/>
    <n v="15278668857"/>
    <x v="0"/>
    <n v="2200"/>
    <x v="21"/>
    <x v="4"/>
    <n v="29600000"/>
    <n v="2021"/>
    <n v="5"/>
    <n v="6"/>
    <n v="83132799"/>
  </r>
  <r>
    <x v="929"/>
    <s v="YoungBoy Never Broke Again"/>
    <n v="12700000"/>
    <n v="13174393401"/>
    <x v="0"/>
    <n v="142"/>
    <x v="1"/>
    <x v="1"/>
    <n v="8200000"/>
    <n v="2015"/>
    <n v="1"/>
    <n v="4"/>
    <n v="328239523"/>
  </r>
  <r>
    <x v="930"/>
    <s v="YouTube"/>
    <n v="36300000"/>
    <n v="3010784935"/>
    <x v="4"/>
    <n v="744"/>
    <x v="1"/>
    <x v="1"/>
    <n v="1000000"/>
    <n v="1970"/>
    <n v="1"/>
    <n v="1"/>
    <n v="328239523"/>
  </r>
  <r>
    <x v="931"/>
    <s v="youtubemovies"/>
    <n v="170000000"/>
    <n v="0"/>
    <x v="8"/>
    <n v="1"/>
    <x v="1"/>
    <x v="1"/>
    <n v="0.57999999999999996"/>
    <n v="2006"/>
    <n v="3"/>
    <n v="5"/>
    <n v="328239523"/>
  </r>
  <r>
    <x v="932"/>
    <s v="YRF"/>
    <n v="54600000"/>
    <n v="35302243691"/>
    <x v="8"/>
    <n v="3707"/>
    <x v="8"/>
    <x v="3"/>
    <n v="24600000"/>
    <n v="2006"/>
    <n v="6"/>
    <n v="7"/>
    <n v="1366417754"/>
  </r>
  <r>
    <x v="933"/>
    <s v="Yudist Ardhana"/>
    <n v="14100000"/>
    <n v="6036496916"/>
    <x v="0"/>
    <n v="2854"/>
    <x v="13"/>
    <x v="3"/>
    <n v="8500000"/>
    <n v="2016"/>
    <n v="1"/>
    <n v="6"/>
    <n v="270203917"/>
  </r>
  <r>
    <x v="934"/>
    <s v="Yuya"/>
    <n v="24800000"/>
    <n v="2588501115"/>
    <x v="5"/>
    <n v="672"/>
    <x v="2"/>
    <x v="2"/>
    <n v="16100"/>
    <n v="2009"/>
    <n v="9"/>
    <n v="20"/>
    <n v="126014024"/>
  </r>
  <r>
    <x v="935"/>
    <s v="ýýý Kids Diana Show"/>
    <n v="112000000"/>
    <n v="93247040539"/>
    <x v="2"/>
    <n v="1111"/>
    <x v="1"/>
    <x v="1"/>
    <n v="35100000"/>
    <n v="2015"/>
    <n v="5"/>
    <n v="12"/>
    <n v="328239523"/>
  </r>
  <r>
    <x v="936"/>
    <s v="Zach Choi ASMR"/>
    <n v="21900000"/>
    <n v="5918314128"/>
    <x v="2"/>
    <n v="946"/>
    <x v="1"/>
    <x v="1"/>
    <n v="11200000"/>
    <n v="2014"/>
    <n v="7"/>
    <n v="5"/>
    <n v="328239523"/>
  </r>
  <r>
    <x v="937"/>
    <s v="Zach King"/>
    <n v="20700000"/>
    <n v="5410164682"/>
    <x v="0"/>
    <n v="6"/>
    <x v="0"/>
    <x v="0"/>
    <n v="6"/>
    <n v="2013"/>
    <n v="6"/>
    <n v="5"/>
    <s v="N/A"/>
  </r>
  <r>
    <x v="938"/>
    <s v="ZAMZAM ELECTRONICS TRADING"/>
    <n v="21700000"/>
    <n v="8507818877"/>
    <x v="12"/>
    <n v="15126"/>
    <x v="15"/>
    <x v="3"/>
    <n v="76700000"/>
    <n v="2020"/>
    <n v="12"/>
    <n v="19"/>
    <n v="9770529"/>
  </r>
  <r>
    <x v="939"/>
    <s v="zayn"/>
    <n v="15400000"/>
    <n v="4909687948"/>
    <x v="3"/>
    <n v="21"/>
    <x v="1"/>
    <x v="1"/>
    <n v="1800000"/>
    <n v="2016"/>
    <n v="1"/>
    <n v="26"/>
    <n v="328239523"/>
  </r>
  <r>
    <x v="940"/>
    <s v="zbing z."/>
    <n v="17600000"/>
    <n v="9269174070"/>
    <x v="6"/>
    <n v="3151"/>
    <x v="14"/>
    <x v="3"/>
    <n v="2600000"/>
    <n v="2014"/>
    <n v="3"/>
    <n v="12"/>
    <n v="69625582"/>
  </r>
  <r>
    <x v="941"/>
    <s v="Zee Bangla"/>
    <n v="14200000"/>
    <n v="11428794827"/>
    <x v="0"/>
    <n v="132398"/>
    <x v="8"/>
    <x v="3"/>
    <n v="2900000"/>
    <n v="2008"/>
    <n v="2"/>
    <n v="26"/>
    <n v="1366417754"/>
  </r>
  <r>
    <x v="942"/>
    <s v="Zee Kids"/>
    <n v="12400000"/>
    <n v="7683670251"/>
    <x v="8"/>
    <n v="1212"/>
    <x v="8"/>
    <x v="3"/>
    <n v="4600000"/>
    <n v="2012"/>
    <n v="7"/>
    <n v="6"/>
    <n v="1366417754"/>
  </r>
  <r>
    <x v="943"/>
    <s v="Zee Music Classic"/>
    <n v="15700000"/>
    <n v="5558051295"/>
    <x v="3"/>
    <n v="1640"/>
    <x v="8"/>
    <x v="3"/>
    <n v="4100000"/>
    <n v="2014"/>
    <n v="5"/>
    <n v="20"/>
    <n v="1366417754"/>
  </r>
  <r>
    <x v="944"/>
    <s v="Zee Music Company"/>
    <n v="96700000"/>
    <n v="57856289381"/>
    <x v="3"/>
    <n v="8548"/>
    <x v="8"/>
    <x v="3"/>
    <n v="38600000"/>
    <n v="2014"/>
    <n v="3"/>
    <n v="12"/>
    <n v="1366417754"/>
  </r>
  <r>
    <x v="945"/>
    <s v="Zee News"/>
    <n v="30500000"/>
    <n v="16709857823"/>
    <x v="4"/>
    <n v="180092"/>
    <x v="8"/>
    <x v="3"/>
    <n v="22200000"/>
    <n v="2007"/>
    <n v="6"/>
    <n v="19"/>
    <n v="1366417754"/>
  </r>
  <r>
    <x v="946"/>
    <s v="Zee Tamil"/>
    <n v="12500000"/>
    <n v="11552190002"/>
    <x v="0"/>
    <n v="102699"/>
    <x v="8"/>
    <x v="3"/>
    <n v="16800000"/>
    <n v="2008"/>
    <n v="8"/>
    <n v="26"/>
    <n v="1366417754"/>
  </r>
  <r>
    <x v="947"/>
    <s v="Zee TV"/>
    <n v="70500000"/>
    <n v="73139054467"/>
    <x v="0"/>
    <n v="129204"/>
    <x v="8"/>
    <x v="3"/>
    <n v="81900000"/>
    <n v="2005"/>
    <n v="12"/>
    <n v="11"/>
    <n v="1366417754"/>
  </r>
  <r>
    <x v="948"/>
    <s v="ZEE5"/>
    <n v="14400000"/>
    <n v="18515587421"/>
    <x v="0"/>
    <n v="101401"/>
    <x v="8"/>
    <x v="3"/>
    <n v="7200000"/>
    <n v="2018"/>
    <n v="2"/>
    <n v="13"/>
    <n v="1366417754"/>
  </r>
  <r>
    <x v="949"/>
    <s v="zeetelugu"/>
    <n v="14000000"/>
    <n v="12597067132"/>
    <x v="0"/>
    <n v="3"/>
    <x v="8"/>
    <x v="3"/>
    <n v="0.34"/>
    <n v="2007"/>
    <n v="1"/>
    <n v="31"/>
    <n v="1366417754"/>
  </r>
  <r>
    <x v="950"/>
    <s v="Zeinab Harake"/>
    <n v="13600000"/>
    <n v="896891351"/>
    <x v="12"/>
    <n v="273"/>
    <x v="10"/>
    <x v="3"/>
    <n v="580200"/>
    <n v="2017"/>
    <n v="10"/>
    <n v="19"/>
    <n v="108116615"/>
  </r>
  <r>
    <x v="951"/>
    <s v="zhc"/>
    <n v="25500000"/>
    <n v="2726917087"/>
    <x v="8"/>
    <n v="5"/>
    <x v="0"/>
    <x v="0"/>
    <n v="0.96"/>
    <n v="2006"/>
    <n v="1"/>
    <n v="24"/>
    <s v="N/A"/>
  </r>
  <r>
    <x v="952"/>
    <s v="Zhong"/>
    <n v="29200000"/>
    <n v="14727238483"/>
    <x v="0"/>
    <n v="1513"/>
    <x v="1"/>
    <x v="1"/>
    <n v="0"/>
    <n v="2015"/>
    <n v="1"/>
    <n v="19"/>
    <n v="328239523"/>
  </r>
  <r>
    <x v="953"/>
    <s v="Zï¿½ï¿½ï¿½ï¿½ï¿½ï¿½ï"/>
    <n v="15000000"/>
    <n v="11506702632"/>
    <x v="3"/>
    <n v="340"/>
    <x v="7"/>
    <x v="2"/>
    <n v="8800000"/>
    <n v="2012"/>
    <n v="4"/>
    <n v="3"/>
    <n v="212559417"/>
  </r>
  <r>
    <x v="954"/>
    <s v="Zig &amp; Sharko"/>
    <n v="14400000"/>
    <n v="9023952946"/>
    <x v="8"/>
    <n v="978"/>
    <x v="0"/>
    <x v="0"/>
    <n v="3000000"/>
    <n v="2015"/>
    <n v="5"/>
    <n v="6"/>
    <s v="N/A"/>
  </r>
  <r>
    <x v="955"/>
    <s v="zuni and family"/>
    <n v="17900000"/>
    <n v="6746269458"/>
    <x v="2"/>
    <n v="2"/>
    <x v="0"/>
    <x v="0"/>
    <n v="0.19"/>
    <n v="2020"/>
    <n v="7"/>
    <n v="15"/>
    <s v="N/A"/>
  </r>
  <r>
    <x v="956"/>
    <s v="ZutiGang"/>
    <n v="14900000"/>
    <n v="15913320995"/>
    <x v="2"/>
    <n v="1363"/>
    <x v="0"/>
    <x v="0"/>
    <n v="16600000"/>
    <n v="2021"/>
    <n v="3"/>
    <n v="5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3754F-26B1-4720-A5D8-09051F7BD3E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(Row Labels)" colHeaderCaption="Column Labels (Content Type)">
  <location ref="A11:U20" firstHeaderRow="1" firstDataRow="2" firstDataCol="1"/>
  <pivotFields count="13">
    <pivotField showAll="0"/>
    <pivotField showAll="0"/>
    <pivotField showAll="0"/>
    <pivotField showAll="0"/>
    <pivotField axis="axisCol" dataField="1" showAll="0">
      <items count="20">
        <item x="16"/>
        <item x="1"/>
        <item x="10"/>
        <item x="0"/>
        <item x="8"/>
        <item x="6"/>
        <item x="5"/>
        <item x="7"/>
        <item x="3"/>
        <item x="12"/>
        <item x="4"/>
        <item x="13"/>
        <item x="2"/>
        <item x="11"/>
        <item x="9"/>
        <item x="14"/>
        <item x="15"/>
        <item x="17"/>
        <item x="18"/>
        <item t="default"/>
      </items>
    </pivotField>
    <pivotField showAll="0"/>
    <pivotField showAll="0"/>
    <pivotField axis="axisRow" showAll="0">
      <items count="8">
        <item x="6"/>
        <item x="3"/>
        <item x="5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Count of Category" fld="4" subtotal="count" baseField="0" baseItem="0"/>
  </dataFields>
  <formats count="1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4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7" type="button" dataOnly="0" labelOnly="1" outline="0" axis="axisRow" fieldPosition="0"/>
    </format>
    <format dxfId="6">
      <pivotArea dataOnly="0" labelOnly="1" fieldPosition="0">
        <references count="1">
          <reference field="7" count="0"/>
        </references>
      </pivotArea>
    </format>
    <format dxfId="7">
      <pivotArea dataOnly="0" labelOnly="1" grandRow="1" outline="0" fieldPosition="0"/>
    </format>
    <format dxfId="8">
      <pivotArea dataOnly="0" labelOnly="1" fieldPosition="0">
        <references count="1">
          <reference field="4" count="0"/>
        </references>
      </pivotArea>
    </format>
    <format dxfId="9">
      <pivotArea dataOnly="0" labelOnly="1" grandCol="1" outline="0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M958" totalsRowShown="0" headerRowDxfId="35">
  <sortState xmlns:xlrd2="http://schemas.microsoft.com/office/spreadsheetml/2017/richdata2" ref="A2:M958">
    <sortCondition ref="B1:B958"/>
  </sortState>
  <tableColumns count="13">
    <tableColumn id="1" xr3:uid="{00000000-0010-0000-0000-000001000000}" name="Index No"/>
    <tableColumn id="2" xr3:uid="{00000000-0010-0000-0000-000002000000}" name="Channels"/>
    <tableColumn id="3" xr3:uid="{00000000-0010-0000-0000-000003000000}" name="Subscribers"/>
    <tableColumn id="4" xr3:uid="{00000000-0010-0000-0000-000004000000}" name="Video views"/>
    <tableColumn id="5" xr3:uid="{00000000-0010-0000-0000-000005000000}" name="Category"/>
    <tableColumn id="6" xr3:uid="{00000000-0010-0000-0000-000006000000}" name="Uploads"/>
    <tableColumn id="7" xr3:uid="{00000000-0010-0000-0000-000007000000}" name="Country"/>
    <tableColumn id="15" xr3:uid="{6C3C6D23-ACB8-4ED6-A4AD-239ADE22FC51}" name="Continents"/>
    <tableColumn id="8" xr3:uid="{00000000-0010-0000-0000-000008000000}" name="highest_yearly_earnings"/>
    <tableColumn id="9" xr3:uid="{00000000-0010-0000-0000-000009000000}" name="created_year"/>
    <tableColumn id="10" xr3:uid="{00000000-0010-0000-0000-00000A000000}" name="created_month"/>
    <tableColumn id="11" xr3:uid="{00000000-0010-0000-0000-00000B000000}" name="created_date"/>
    <tableColumn id="13" xr3:uid="{00000000-0010-0000-0000-00000D000000}" name="Population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1E27A3-FE71-454A-89D2-D8E4111ADC55}" name="Table1" displayName="Table1" ref="A2:G1048576" totalsRowShown="0" headerRowDxfId="34">
  <tableColumns count="7">
    <tableColumn id="1" xr3:uid="{564D674D-8D4C-4526-B839-20599BB7831F}" name="Continents"/>
    <tableColumn id="2" xr3:uid="{1CE1E252-63FF-4393-97D5-4991A2E69136}" name="Asia"/>
    <tableColumn id="3" xr3:uid="{D4B204F5-0E6B-40E3-883B-BF9E19007FD4}" name="Europe"/>
    <tableColumn id="4" xr3:uid="{8AE11A21-D243-4957-97A9-C85F3668B468}" name="Africa"/>
    <tableColumn id="5" xr3:uid="{613DEF31-8C2C-4765-833C-A1E2ACBF9142}" name="Australia"/>
    <tableColumn id="6" xr3:uid="{D0D23C10-E1CA-4AFC-87A1-5559B16C193D}" name="North America "/>
    <tableColumn id="7" xr3:uid="{62B97E06-7DFD-4C58-BA76-3D3CF67C2CB1}" name="South America"/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C62F00-EFD7-439E-A55A-8A82421577CD}" name="Table3" displayName="Table3" ref="I2:AA959" totalsRowShown="0" headerRowDxfId="33" dataDxfId="31" headerRowBorderDxfId="32" tableBorderDxfId="30" totalsRowBorderDxfId="29">
  <tableColumns count="19">
    <tableColumn id="1" xr3:uid="{8D80DAB7-CEAB-4942-9258-DB66186608A2}" name="Category" dataDxfId="28"/>
    <tableColumn id="2" xr3:uid="{09BDFBC0-0FD4-48A1-9AF8-F3DA2F7F7CB1}" name="Music" dataDxfId="27">
      <calculatedColumnFormula>IF(I3="Music",1,0)</calculatedColumnFormula>
    </tableColumn>
    <tableColumn id="3" xr3:uid="{EBED5654-566D-4AA3-8701-21DB6F318F7A}" name="Film &amp; Animation" dataDxfId="26">
      <calculatedColumnFormula>IF(I3="Film &amp; Animation",1,0)</calculatedColumnFormula>
    </tableColumn>
    <tableColumn id="4" xr3:uid="{C161E1C7-FC1B-4D43-9380-5446C38754B1}" name="Entertainment" dataDxfId="25">
      <calculatedColumnFormula>IF(I3="Entertainment",1,0)</calculatedColumnFormula>
    </tableColumn>
    <tableColumn id="5" xr3:uid="{39E75679-446E-4D0A-9821-2D3D157162F4}" name="Nonprofits &amp; Activism" dataDxfId="24">
      <calculatedColumnFormula>IF(I3="Nonprofits &amp; Activism",1,0)</calculatedColumnFormula>
    </tableColumn>
    <tableColumn id="6" xr3:uid="{FD48F79E-0F54-42B5-8ABA-B2C3E784C05A}" name="Education" dataDxfId="23">
      <calculatedColumnFormula>IF(I3="Education",1,0)</calculatedColumnFormula>
    </tableColumn>
    <tableColumn id="7" xr3:uid="{208A3CFB-7515-4A48-B720-D33E3B85D5D6}" name="Shows" dataDxfId="22">
      <calculatedColumnFormula>IF(I3="Shows",1,0)</calculatedColumnFormula>
    </tableColumn>
    <tableColumn id="8" xr3:uid="{8FD965AB-FE6A-43E8-BB33-5D7BB239BFB1}" name="People &amp; Blogs" dataDxfId="21">
      <calculatedColumnFormula>IF(I3="People &amp; Blogs",1,0)</calculatedColumnFormula>
    </tableColumn>
    <tableColumn id="9" xr3:uid="{54C1D8F9-60C8-449A-962B-920E15339DFC}" name="Gaming" dataDxfId="20">
      <calculatedColumnFormula>IF(I3="Gaming",1,0)</calculatedColumnFormula>
    </tableColumn>
    <tableColumn id="10" xr3:uid="{595E6898-8D5A-418F-9467-AD79EB7EBE54}" name="Sports" dataDxfId="19">
      <calculatedColumnFormula>IF(I3="Sports",1,0)</calculatedColumnFormula>
    </tableColumn>
    <tableColumn id="11" xr3:uid="{D148E4A6-0A09-4E2A-95AC-047E7794D49E}" name="Howto &amp; Style" dataDxfId="18">
      <calculatedColumnFormula>IF(I3="Howto &amp; Style",1,0)</calculatedColumnFormula>
    </tableColumn>
    <tableColumn id="12" xr3:uid="{6F433AC4-1A75-427E-99D9-CAE6A00EAE96}" name="News &amp; Politics" dataDxfId="17">
      <calculatedColumnFormula>IF(I3="News &amp; Politics",1,0)</calculatedColumnFormula>
    </tableColumn>
    <tableColumn id="13" xr3:uid="{92A284F9-18E7-4F52-ABE4-5CF373FC561C}" name="Comedy" dataDxfId="16">
      <calculatedColumnFormula>IF(I3="Comedy",1,0)</calculatedColumnFormula>
    </tableColumn>
    <tableColumn id="14" xr3:uid="{846FF829-9A81-4802-B705-9FDA9FC4CB6B}" name="Trailers" dataDxfId="15">
      <calculatedColumnFormula>IF(I3="Trailers",1,0)</calculatedColumnFormula>
    </tableColumn>
    <tableColumn id="15" xr3:uid="{06F8AF2D-BB6A-4623-9EEB-0C7512FD5C8B}" name="Movies" dataDxfId="14">
      <calculatedColumnFormula>IF(I3="Movies",1,0)</calculatedColumnFormula>
    </tableColumn>
    <tableColumn id="16" xr3:uid="{22A312AB-876C-415E-9D71-6FC307F26E5D}" name="Autos &amp; Vehicles" dataDxfId="13">
      <calculatedColumnFormula>IF(I3="Autos &amp; Vehicles",1,0)</calculatedColumnFormula>
    </tableColumn>
    <tableColumn id="17" xr3:uid="{0D384E9F-06CF-4FBA-B23F-7A9370986957}" name="Pets &amp; Animals" dataDxfId="12">
      <calculatedColumnFormula>IF(I3="Pets &amp; Animals",1,0)</calculatedColumnFormula>
    </tableColumn>
    <tableColumn id="18" xr3:uid="{0F6C6D96-E889-46AA-A8C2-895D644DC1C3}" name="Science &amp; Technology" dataDxfId="11">
      <calculatedColumnFormula>IF(I3="Science &amp; Technology",1,0)</calculatedColumnFormula>
    </tableColumn>
    <tableColumn id="19" xr3:uid="{5D4F21DD-B0C9-4DE0-BA12-381233BB91BC}" name="Travel &amp; Events" dataDxfId="10">
      <calculatedColumnFormula>IF(I3="Travel &amp; Events",1,0)</calculatedColumnFormula>
    </tableColumn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6"/>
  <sheetViews>
    <sheetView workbookViewId="0">
      <selection activeCell="D7" sqref="D7"/>
    </sheetView>
  </sheetViews>
  <sheetFormatPr defaultRowHeight="14.4" x14ac:dyDescent="0.3"/>
  <sheetData>
    <row r="1" spans="1:28" x14ac:dyDescent="0.3">
      <c r="A1" t="s">
        <v>949</v>
      </c>
      <c r="B1" t="s">
        <v>950</v>
      </c>
      <c r="C1" t="s">
        <v>951</v>
      </c>
      <c r="D1" t="s">
        <v>952</v>
      </c>
      <c r="E1" t="s">
        <v>953</v>
      </c>
      <c r="F1" t="s">
        <v>954</v>
      </c>
      <c r="G1" t="s">
        <v>955</v>
      </c>
      <c r="H1" t="s">
        <v>956</v>
      </c>
      <c r="I1" t="s">
        <v>957</v>
      </c>
      <c r="J1" t="s">
        <v>958</v>
      </c>
      <c r="K1" t="s">
        <v>959</v>
      </c>
      <c r="L1" t="s">
        <v>960</v>
      </c>
      <c r="M1" t="s">
        <v>961</v>
      </c>
      <c r="N1" t="s">
        <v>962</v>
      </c>
      <c r="O1" t="s">
        <v>963</v>
      </c>
      <c r="P1" t="s">
        <v>964</v>
      </c>
      <c r="Q1" t="s">
        <v>965</v>
      </c>
      <c r="R1" t="s">
        <v>966</v>
      </c>
      <c r="S1" t="s">
        <v>967</v>
      </c>
      <c r="T1" t="s">
        <v>968</v>
      </c>
      <c r="U1" t="s">
        <v>969</v>
      </c>
      <c r="V1" t="s">
        <v>970</v>
      </c>
      <c r="W1" t="s">
        <v>971</v>
      </c>
      <c r="X1" t="s">
        <v>972</v>
      </c>
      <c r="Y1" t="s">
        <v>973</v>
      </c>
      <c r="Z1" t="s">
        <v>974</v>
      </c>
      <c r="AA1" t="s">
        <v>975</v>
      </c>
      <c r="AB1" t="s">
        <v>976</v>
      </c>
    </row>
    <row r="2" spans="1:28" x14ac:dyDescent="0.3">
      <c r="A2">
        <v>1</v>
      </c>
      <c r="B2" t="s">
        <v>1</v>
      </c>
      <c r="C2">
        <v>245000000</v>
      </c>
      <c r="D2" s="1">
        <v>228000000000</v>
      </c>
      <c r="E2" t="s">
        <v>977</v>
      </c>
      <c r="F2" t="s">
        <v>1</v>
      </c>
      <c r="G2">
        <v>20082</v>
      </c>
      <c r="H2" t="s">
        <v>978</v>
      </c>
      <c r="I2" t="s">
        <v>979</v>
      </c>
      <c r="J2" t="s">
        <v>977</v>
      </c>
      <c r="K2">
        <v>1</v>
      </c>
      <c r="L2">
        <v>1</v>
      </c>
      <c r="M2">
        <v>1</v>
      </c>
      <c r="N2">
        <v>2258000000</v>
      </c>
      <c r="O2">
        <v>564600</v>
      </c>
      <c r="P2">
        <v>9000000</v>
      </c>
      <c r="Q2">
        <v>6800000</v>
      </c>
      <c r="R2">
        <v>108400000</v>
      </c>
      <c r="S2">
        <v>2000000</v>
      </c>
      <c r="T2">
        <v>2006</v>
      </c>
      <c r="U2" t="s">
        <v>980</v>
      </c>
      <c r="V2">
        <v>13</v>
      </c>
      <c r="W2">
        <v>28.1</v>
      </c>
      <c r="X2">
        <v>1366417754</v>
      </c>
      <c r="Y2">
        <v>5.36</v>
      </c>
      <c r="Z2">
        <v>471031528</v>
      </c>
      <c r="AA2">
        <v>20.593684</v>
      </c>
      <c r="AB2">
        <v>78.962879999999998</v>
      </c>
    </row>
    <row r="3" spans="1:28" x14ac:dyDescent="0.3">
      <c r="A3">
        <v>2</v>
      </c>
      <c r="B3" t="s">
        <v>981</v>
      </c>
      <c r="C3">
        <v>170000000</v>
      </c>
      <c r="D3">
        <v>0</v>
      </c>
      <c r="E3" t="s">
        <v>982</v>
      </c>
      <c r="F3" t="s">
        <v>983</v>
      </c>
      <c r="G3">
        <v>1</v>
      </c>
      <c r="H3" t="s">
        <v>984</v>
      </c>
      <c r="I3" t="s">
        <v>985</v>
      </c>
      <c r="J3" t="s">
        <v>986</v>
      </c>
      <c r="K3">
        <v>4055159</v>
      </c>
      <c r="L3">
        <v>7670</v>
      </c>
      <c r="M3">
        <v>7423</v>
      </c>
      <c r="N3">
        <v>12</v>
      </c>
      <c r="O3">
        <v>0</v>
      </c>
      <c r="P3">
        <v>0.05</v>
      </c>
      <c r="Q3">
        <v>0.04</v>
      </c>
      <c r="R3">
        <v>0.57999999999999996</v>
      </c>
      <c r="S3" t="s">
        <v>987</v>
      </c>
      <c r="T3">
        <v>2006</v>
      </c>
      <c r="U3" t="s">
        <v>980</v>
      </c>
      <c r="V3">
        <v>5</v>
      </c>
      <c r="W3">
        <v>88.2</v>
      </c>
      <c r="X3">
        <v>328239523</v>
      </c>
      <c r="Y3">
        <v>14.7</v>
      </c>
      <c r="Z3">
        <v>270663028</v>
      </c>
      <c r="AA3">
        <v>37.090240000000001</v>
      </c>
      <c r="AB3">
        <v>-95.712890999999999</v>
      </c>
    </row>
    <row r="4" spans="1:28" x14ac:dyDescent="0.3">
      <c r="A4">
        <v>3</v>
      </c>
      <c r="B4" t="s">
        <v>13</v>
      </c>
      <c r="C4">
        <v>166000000</v>
      </c>
      <c r="D4">
        <v>28368841870</v>
      </c>
      <c r="E4" t="s">
        <v>988</v>
      </c>
      <c r="F4" t="s">
        <v>13</v>
      </c>
      <c r="G4">
        <v>741</v>
      </c>
      <c r="H4" t="s">
        <v>984</v>
      </c>
      <c r="I4" t="s">
        <v>985</v>
      </c>
      <c r="J4" t="s">
        <v>988</v>
      </c>
      <c r="K4">
        <v>48</v>
      </c>
      <c r="L4">
        <v>1</v>
      </c>
      <c r="M4">
        <v>1</v>
      </c>
      <c r="N4">
        <v>1348000000</v>
      </c>
      <c r="O4">
        <v>337000</v>
      </c>
      <c r="P4">
        <v>5400000</v>
      </c>
      <c r="Q4">
        <v>4000000</v>
      </c>
      <c r="R4">
        <v>64700000</v>
      </c>
      <c r="S4">
        <v>8000000</v>
      </c>
      <c r="T4">
        <v>2012</v>
      </c>
      <c r="U4" t="s">
        <v>989</v>
      </c>
      <c r="V4">
        <v>20</v>
      </c>
      <c r="W4">
        <v>88.2</v>
      </c>
      <c r="X4">
        <v>328239523</v>
      </c>
      <c r="Y4">
        <v>14.7</v>
      </c>
      <c r="Z4">
        <v>270663028</v>
      </c>
      <c r="AA4">
        <v>37.090240000000001</v>
      </c>
      <c r="AB4">
        <v>-95.712890999999999</v>
      </c>
    </row>
    <row r="5" spans="1:28" x14ac:dyDescent="0.3">
      <c r="A5">
        <v>4</v>
      </c>
      <c r="B5" t="s">
        <v>3</v>
      </c>
      <c r="C5">
        <v>162000000</v>
      </c>
      <c r="D5" s="1">
        <v>164000000000</v>
      </c>
      <c r="E5" t="s">
        <v>990</v>
      </c>
      <c r="F5" t="s">
        <v>3</v>
      </c>
      <c r="G5">
        <v>966</v>
      </c>
      <c r="H5" t="s">
        <v>984</v>
      </c>
      <c r="I5" t="s">
        <v>985</v>
      </c>
      <c r="J5" t="s">
        <v>990</v>
      </c>
      <c r="K5">
        <v>2</v>
      </c>
      <c r="L5">
        <v>2</v>
      </c>
      <c r="M5">
        <v>1</v>
      </c>
      <c r="N5">
        <v>1975000000</v>
      </c>
      <c r="O5">
        <v>493800</v>
      </c>
      <c r="P5">
        <v>7900000</v>
      </c>
      <c r="Q5">
        <v>5900000</v>
      </c>
      <c r="R5">
        <v>94800000</v>
      </c>
      <c r="S5">
        <v>1000000</v>
      </c>
      <c r="T5">
        <v>2006</v>
      </c>
      <c r="U5" t="s">
        <v>991</v>
      </c>
      <c r="V5">
        <v>1</v>
      </c>
      <c r="W5">
        <v>88.2</v>
      </c>
      <c r="X5">
        <v>328239523</v>
      </c>
      <c r="Y5">
        <v>14.7</v>
      </c>
      <c r="Z5">
        <v>270663028</v>
      </c>
      <c r="AA5">
        <v>37.090240000000001</v>
      </c>
      <c r="AB5">
        <v>-95.712890999999999</v>
      </c>
    </row>
    <row r="6" spans="1:28" x14ac:dyDescent="0.3">
      <c r="A6">
        <v>5</v>
      </c>
      <c r="B6" t="s">
        <v>4</v>
      </c>
      <c r="C6">
        <v>159000000</v>
      </c>
      <c r="D6" s="1">
        <v>148000000000</v>
      </c>
      <c r="E6" t="s">
        <v>992</v>
      </c>
      <c r="F6" t="s">
        <v>4</v>
      </c>
      <c r="G6">
        <v>116536</v>
      </c>
      <c r="H6" t="s">
        <v>978</v>
      </c>
      <c r="I6" t="s">
        <v>979</v>
      </c>
      <c r="J6" t="s">
        <v>988</v>
      </c>
      <c r="K6">
        <v>3</v>
      </c>
      <c r="L6">
        <v>2</v>
      </c>
      <c r="M6">
        <v>2</v>
      </c>
      <c r="N6">
        <v>1824000000</v>
      </c>
      <c r="O6">
        <v>455900</v>
      </c>
      <c r="P6">
        <v>7300000</v>
      </c>
      <c r="Q6">
        <v>5500000</v>
      </c>
      <c r="R6">
        <v>87500000</v>
      </c>
      <c r="S6">
        <v>1000000</v>
      </c>
      <c r="T6">
        <v>2006</v>
      </c>
      <c r="U6" t="s">
        <v>991</v>
      </c>
      <c r="V6">
        <v>20</v>
      </c>
      <c r="W6">
        <v>28.1</v>
      </c>
      <c r="X6">
        <v>1366417754</v>
      </c>
      <c r="Y6">
        <v>5.36</v>
      </c>
      <c r="Z6">
        <v>471031528</v>
      </c>
      <c r="AA6">
        <v>20.593684</v>
      </c>
      <c r="AB6">
        <v>78.962879999999998</v>
      </c>
    </row>
    <row r="7" spans="1:28" x14ac:dyDescent="0.3">
      <c r="A7">
        <v>6</v>
      </c>
      <c r="B7" t="s">
        <v>977</v>
      </c>
      <c r="C7">
        <v>119000000</v>
      </c>
      <c r="D7">
        <v>0</v>
      </c>
      <c r="E7" t="s">
        <v>987</v>
      </c>
      <c r="F7" t="s">
        <v>977</v>
      </c>
      <c r="G7">
        <v>0</v>
      </c>
      <c r="H7" t="s">
        <v>987</v>
      </c>
      <c r="I7" t="s">
        <v>987</v>
      </c>
      <c r="J7" t="s">
        <v>977</v>
      </c>
      <c r="K7">
        <v>4057944</v>
      </c>
      <c r="L7" t="s">
        <v>987</v>
      </c>
      <c r="M7" t="s">
        <v>987</v>
      </c>
      <c r="N7" t="s">
        <v>987</v>
      </c>
      <c r="O7">
        <v>0</v>
      </c>
      <c r="P7">
        <v>0</v>
      </c>
      <c r="Q7">
        <v>0</v>
      </c>
      <c r="R7">
        <v>0</v>
      </c>
      <c r="S7" t="s">
        <v>987</v>
      </c>
      <c r="T7">
        <v>2013</v>
      </c>
      <c r="U7" t="s">
        <v>991</v>
      </c>
      <c r="V7">
        <v>24</v>
      </c>
      <c r="W7" t="s">
        <v>987</v>
      </c>
      <c r="X7" t="s">
        <v>987</v>
      </c>
      <c r="Y7" t="s">
        <v>987</v>
      </c>
      <c r="Z7" t="s">
        <v>987</v>
      </c>
      <c r="AA7" t="s">
        <v>987</v>
      </c>
      <c r="AB7" t="s">
        <v>987</v>
      </c>
    </row>
    <row r="8" spans="1:28" x14ac:dyDescent="0.3">
      <c r="A8">
        <v>7</v>
      </c>
      <c r="B8" t="s">
        <v>993</v>
      </c>
      <c r="C8">
        <v>112000000</v>
      </c>
      <c r="D8">
        <v>93247040539</v>
      </c>
      <c r="E8" t="s">
        <v>994</v>
      </c>
      <c r="F8" t="s">
        <v>993</v>
      </c>
      <c r="G8">
        <v>1111</v>
      </c>
      <c r="H8" t="s">
        <v>984</v>
      </c>
      <c r="I8" t="s">
        <v>985</v>
      </c>
      <c r="J8" t="s">
        <v>988</v>
      </c>
      <c r="K8">
        <v>5</v>
      </c>
      <c r="L8">
        <v>3</v>
      </c>
      <c r="M8">
        <v>3</v>
      </c>
      <c r="N8">
        <v>731674000</v>
      </c>
      <c r="O8">
        <v>182900</v>
      </c>
      <c r="P8">
        <v>2900000</v>
      </c>
      <c r="Q8">
        <v>2200000</v>
      </c>
      <c r="R8">
        <v>35100000</v>
      </c>
      <c r="S8" t="s">
        <v>987</v>
      </c>
      <c r="T8">
        <v>2015</v>
      </c>
      <c r="U8" t="s">
        <v>995</v>
      </c>
      <c r="V8">
        <v>12</v>
      </c>
      <c r="W8">
        <v>88.2</v>
      </c>
      <c r="X8">
        <v>328239523</v>
      </c>
      <c r="Y8">
        <v>14.7</v>
      </c>
      <c r="Z8">
        <v>270663028</v>
      </c>
      <c r="AA8">
        <v>37.090240000000001</v>
      </c>
      <c r="AB8">
        <v>-95.712890999999999</v>
      </c>
    </row>
    <row r="9" spans="1:28" x14ac:dyDescent="0.3">
      <c r="A9">
        <v>8</v>
      </c>
      <c r="B9" t="s">
        <v>551</v>
      </c>
      <c r="C9">
        <v>111000000</v>
      </c>
      <c r="D9">
        <v>29058044447</v>
      </c>
      <c r="E9" t="s">
        <v>996</v>
      </c>
      <c r="F9" t="s">
        <v>551</v>
      </c>
      <c r="G9">
        <v>4716</v>
      </c>
      <c r="H9" t="s">
        <v>997</v>
      </c>
      <c r="I9" t="s">
        <v>998</v>
      </c>
      <c r="J9" t="s">
        <v>988</v>
      </c>
      <c r="K9">
        <v>44</v>
      </c>
      <c r="L9">
        <v>1</v>
      </c>
      <c r="M9">
        <v>4</v>
      </c>
      <c r="N9">
        <v>39184000</v>
      </c>
      <c r="O9">
        <v>9800</v>
      </c>
      <c r="P9">
        <v>156700</v>
      </c>
      <c r="Q9">
        <v>117600</v>
      </c>
      <c r="R9">
        <v>1900000</v>
      </c>
      <c r="S9" t="s">
        <v>987</v>
      </c>
      <c r="T9">
        <v>2010</v>
      </c>
      <c r="U9" t="s">
        <v>999</v>
      </c>
      <c r="V9">
        <v>29</v>
      </c>
      <c r="W9">
        <v>63.2</v>
      </c>
      <c r="X9">
        <v>126226568</v>
      </c>
      <c r="Y9">
        <v>2.29</v>
      </c>
      <c r="Z9">
        <v>115782416</v>
      </c>
      <c r="AA9">
        <v>36.204824000000002</v>
      </c>
      <c r="AB9">
        <v>138.25292400000001</v>
      </c>
    </row>
    <row r="10" spans="1:28" x14ac:dyDescent="0.3">
      <c r="A10">
        <v>9</v>
      </c>
      <c r="B10" t="s">
        <v>504</v>
      </c>
      <c r="C10">
        <v>106000000</v>
      </c>
      <c r="D10">
        <v>90479060027</v>
      </c>
      <c r="E10" t="s">
        <v>994</v>
      </c>
      <c r="F10" t="s">
        <v>502</v>
      </c>
      <c r="G10">
        <v>493</v>
      </c>
      <c r="H10" t="s">
        <v>1000</v>
      </c>
      <c r="I10" t="s">
        <v>1001</v>
      </c>
      <c r="J10" t="s">
        <v>1002</v>
      </c>
      <c r="K10">
        <v>630</v>
      </c>
      <c r="L10">
        <v>5</v>
      </c>
      <c r="M10">
        <v>25</v>
      </c>
      <c r="N10">
        <v>48947000</v>
      </c>
      <c r="O10">
        <v>12200</v>
      </c>
      <c r="P10">
        <v>195800</v>
      </c>
      <c r="Q10">
        <v>146800</v>
      </c>
      <c r="R10">
        <v>2300000</v>
      </c>
      <c r="S10">
        <v>100000</v>
      </c>
      <c r="T10">
        <v>2016</v>
      </c>
      <c r="U10" t="s">
        <v>1003</v>
      </c>
      <c r="V10">
        <v>14</v>
      </c>
      <c r="W10">
        <v>81.900000000000006</v>
      </c>
      <c r="X10">
        <v>144373535</v>
      </c>
      <c r="Y10">
        <v>4.59</v>
      </c>
      <c r="Z10">
        <v>107683889</v>
      </c>
      <c r="AA10">
        <v>61.524009999999997</v>
      </c>
      <c r="AB10">
        <v>105.31875599999999</v>
      </c>
    </row>
    <row r="11" spans="1:28" x14ac:dyDescent="0.3">
      <c r="A11">
        <v>10</v>
      </c>
      <c r="B11" t="s">
        <v>48</v>
      </c>
      <c r="C11">
        <v>98900000</v>
      </c>
      <c r="D11">
        <v>77180169894</v>
      </c>
      <c r="E11" t="s">
        <v>988</v>
      </c>
      <c r="F11" t="s">
        <v>48</v>
      </c>
      <c r="G11">
        <v>574</v>
      </c>
      <c r="H11" t="s">
        <v>984</v>
      </c>
      <c r="I11" t="s">
        <v>985</v>
      </c>
      <c r="J11" t="s">
        <v>988</v>
      </c>
      <c r="K11">
        <v>8</v>
      </c>
      <c r="L11">
        <v>5</v>
      </c>
      <c r="M11">
        <v>6</v>
      </c>
      <c r="N11">
        <v>580574000</v>
      </c>
      <c r="O11">
        <v>145100</v>
      </c>
      <c r="P11">
        <v>2300000</v>
      </c>
      <c r="Q11">
        <v>1700000</v>
      </c>
      <c r="R11">
        <v>27900000</v>
      </c>
      <c r="S11">
        <v>600000</v>
      </c>
      <c r="T11">
        <v>2018</v>
      </c>
      <c r="U11" t="s">
        <v>999</v>
      </c>
      <c r="V11">
        <v>23</v>
      </c>
      <c r="W11">
        <v>88.2</v>
      </c>
      <c r="X11">
        <v>328239523</v>
      </c>
      <c r="Y11">
        <v>14.7</v>
      </c>
      <c r="Z11">
        <v>270663028</v>
      </c>
      <c r="AA11">
        <v>37.090240000000001</v>
      </c>
      <c r="AB11">
        <v>-95.712890999999999</v>
      </c>
    </row>
    <row r="12" spans="1:28" x14ac:dyDescent="0.3">
      <c r="A12">
        <v>11</v>
      </c>
      <c r="B12" t="s">
        <v>30</v>
      </c>
      <c r="C12">
        <v>96700000</v>
      </c>
      <c r="D12">
        <v>57856289381</v>
      </c>
      <c r="E12" t="s">
        <v>977</v>
      </c>
      <c r="F12" t="s">
        <v>30</v>
      </c>
      <c r="G12">
        <v>8548</v>
      </c>
      <c r="H12" t="s">
        <v>978</v>
      </c>
      <c r="I12" t="s">
        <v>979</v>
      </c>
      <c r="J12" t="s">
        <v>977</v>
      </c>
      <c r="K12">
        <v>12</v>
      </c>
      <c r="L12">
        <v>3</v>
      </c>
      <c r="M12">
        <v>2</v>
      </c>
      <c r="N12">
        <v>803613000</v>
      </c>
      <c r="O12">
        <v>200900</v>
      </c>
      <c r="P12">
        <v>3200000</v>
      </c>
      <c r="Q12">
        <v>2400000</v>
      </c>
      <c r="R12">
        <v>38600000</v>
      </c>
      <c r="S12">
        <v>1100000</v>
      </c>
      <c r="T12">
        <v>2014</v>
      </c>
      <c r="U12" t="s">
        <v>980</v>
      </c>
      <c r="V12">
        <v>12</v>
      </c>
      <c r="W12">
        <v>28.1</v>
      </c>
      <c r="X12">
        <v>1366417754</v>
      </c>
      <c r="Y12">
        <v>5.36</v>
      </c>
      <c r="Z12">
        <v>471031528</v>
      </c>
      <c r="AA12">
        <v>20.593684</v>
      </c>
      <c r="AB12">
        <v>78.962879999999998</v>
      </c>
    </row>
    <row r="13" spans="1:28" x14ac:dyDescent="0.3">
      <c r="A13">
        <v>12</v>
      </c>
      <c r="B13" t="s">
        <v>37</v>
      </c>
      <c r="C13">
        <v>96000000</v>
      </c>
      <c r="D13">
        <v>77428473662</v>
      </c>
      <c r="E13" t="s">
        <v>1004</v>
      </c>
      <c r="F13" t="s">
        <v>37</v>
      </c>
      <c r="G13">
        <v>70127</v>
      </c>
      <c r="H13" t="s">
        <v>984</v>
      </c>
      <c r="I13" t="s">
        <v>985</v>
      </c>
      <c r="J13" t="s">
        <v>1004</v>
      </c>
      <c r="K13">
        <v>7</v>
      </c>
      <c r="L13">
        <v>6</v>
      </c>
      <c r="M13">
        <v>1</v>
      </c>
      <c r="N13">
        <v>714614000</v>
      </c>
      <c r="O13">
        <v>178700</v>
      </c>
      <c r="P13">
        <v>2900000</v>
      </c>
      <c r="Q13">
        <v>2100000</v>
      </c>
      <c r="R13">
        <v>34300000</v>
      </c>
      <c r="S13">
        <v>600000</v>
      </c>
      <c r="T13">
        <v>2007</v>
      </c>
      <c r="U13" t="s">
        <v>995</v>
      </c>
      <c r="V13">
        <v>11</v>
      </c>
      <c r="W13">
        <v>88.2</v>
      </c>
      <c r="X13">
        <v>328239523</v>
      </c>
      <c r="Y13">
        <v>14.7</v>
      </c>
      <c r="Z13">
        <v>270663028</v>
      </c>
      <c r="AA13">
        <v>37.090240000000001</v>
      </c>
      <c r="AB13">
        <v>-95.712890999999999</v>
      </c>
    </row>
    <row r="14" spans="1:28" x14ac:dyDescent="0.3">
      <c r="A14">
        <v>13</v>
      </c>
      <c r="B14" t="s">
        <v>996</v>
      </c>
      <c r="C14">
        <v>93600000</v>
      </c>
      <c r="D14">
        <v>0</v>
      </c>
      <c r="E14" t="s">
        <v>987</v>
      </c>
      <c r="F14" t="s">
        <v>996</v>
      </c>
      <c r="G14">
        <v>0</v>
      </c>
      <c r="H14" t="s">
        <v>987</v>
      </c>
      <c r="I14" t="s">
        <v>987</v>
      </c>
      <c r="J14" t="s">
        <v>986</v>
      </c>
      <c r="K14">
        <v>4057944</v>
      </c>
      <c r="L14" t="s">
        <v>987</v>
      </c>
      <c r="M14">
        <v>1</v>
      </c>
      <c r="N14" t="s">
        <v>987</v>
      </c>
      <c r="O14">
        <v>0</v>
      </c>
      <c r="P14">
        <v>0</v>
      </c>
      <c r="Q14">
        <v>0</v>
      </c>
      <c r="R14">
        <v>0</v>
      </c>
      <c r="S14" t="s">
        <v>987</v>
      </c>
      <c r="T14">
        <v>2013</v>
      </c>
      <c r="U14" t="s">
        <v>1005</v>
      </c>
      <c r="V14">
        <v>15</v>
      </c>
      <c r="W14" t="s">
        <v>987</v>
      </c>
      <c r="X14" t="s">
        <v>987</v>
      </c>
      <c r="Y14" t="s">
        <v>987</v>
      </c>
      <c r="Z14" t="s">
        <v>987</v>
      </c>
      <c r="AA14" t="s">
        <v>987</v>
      </c>
      <c r="AB14" t="s">
        <v>987</v>
      </c>
    </row>
    <row r="15" spans="1:28" x14ac:dyDescent="0.3">
      <c r="A15">
        <v>14</v>
      </c>
      <c r="B15" t="s">
        <v>60</v>
      </c>
      <c r="C15">
        <v>89800000</v>
      </c>
      <c r="D15">
        <v>32144597566</v>
      </c>
      <c r="E15" t="s">
        <v>994</v>
      </c>
      <c r="F15" t="s">
        <v>60</v>
      </c>
      <c r="G15">
        <v>543</v>
      </c>
      <c r="H15" t="s">
        <v>1006</v>
      </c>
      <c r="I15" t="s">
        <v>1007</v>
      </c>
      <c r="J15" t="s">
        <v>977</v>
      </c>
      <c r="K15">
        <v>32</v>
      </c>
      <c r="L15">
        <v>1</v>
      </c>
      <c r="M15">
        <v>3</v>
      </c>
      <c r="N15">
        <v>498930000</v>
      </c>
      <c r="O15">
        <v>124700</v>
      </c>
      <c r="P15">
        <v>2000000</v>
      </c>
      <c r="Q15">
        <v>1500000</v>
      </c>
      <c r="R15">
        <v>23900000</v>
      </c>
      <c r="S15">
        <v>700000</v>
      </c>
      <c r="T15">
        <v>2016</v>
      </c>
      <c r="U15" t="s">
        <v>1008</v>
      </c>
      <c r="V15">
        <v>29</v>
      </c>
      <c r="W15">
        <v>94.3</v>
      </c>
      <c r="X15">
        <v>51709098</v>
      </c>
      <c r="Y15">
        <v>4.1500000000000004</v>
      </c>
      <c r="Z15">
        <v>42106719</v>
      </c>
      <c r="AA15">
        <v>35.907756999999997</v>
      </c>
      <c r="AB15">
        <v>127.76692199999999</v>
      </c>
    </row>
    <row r="16" spans="1:28" x14ac:dyDescent="0.3">
      <c r="A16">
        <v>15</v>
      </c>
      <c r="B16" t="s">
        <v>845</v>
      </c>
      <c r="C16">
        <v>86900000</v>
      </c>
      <c r="D16">
        <v>24118230580</v>
      </c>
      <c r="E16" t="s">
        <v>982</v>
      </c>
      <c r="F16" t="s">
        <v>1009</v>
      </c>
      <c r="G16">
        <v>1</v>
      </c>
      <c r="H16" t="s">
        <v>987</v>
      </c>
      <c r="I16" t="s">
        <v>987</v>
      </c>
      <c r="J16" t="s">
        <v>977</v>
      </c>
      <c r="K16">
        <v>4056562</v>
      </c>
      <c r="L16" t="s">
        <v>987</v>
      </c>
      <c r="M16">
        <v>5663</v>
      </c>
      <c r="N16">
        <v>18</v>
      </c>
      <c r="O16">
        <v>0</v>
      </c>
      <c r="P16">
        <v>7.0000000000000007E-2</v>
      </c>
      <c r="Q16">
        <v>0.05</v>
      </c>
      <c r="R16">
        <v>0.86</v>
      </c>
      <c r="S16" t="s">
        <v>987</v>
      </c>
      <c r="T16">
        <v>2006</v>
      </c>
      <c r="U16" t="s">
        <v>1010</v>
      </c>
      <c r="V16">
        <v>15</v>
      </c>
      <c r="W16" t="s">
        <v>987</v>
      </c>
      <c r="X16" t="s">
        <v>987</v>
      </c>
      <c r="Y16" t="s">
        <v>987</v>
      </c>
      <c r="Z16" t="s">
        <v>987</v>
      </c>
      <c r="AA16" t="s">
        <v>987</v>
      </c>
      <c r="AB16" t="s">
        <v>987</v>
      </c>
    </row>
    <row r="17" spans="1:28" x14ac:dyDescent="0.3">
      <c r="A17">
        <v>16</v>
      </c>
      <c r="B17" t="s">
        <v>7</v>
      </c>
      <c r="C17">
        <v>83000000</v>
      </c>
      <c r="D17" s="1">
        <v>101000000000</v>
      </c>
      <c r="E17" t="s">
        <v>992</v>
      </c>
      <c r="F17" t="s">
        <v>7</v>
      </c>
      <c r="G17">
        <v>71270</v>
      </c>
      <c r="H17" t="s">
        <v>978</v>
      </c>
      <c r="I17" t="s">
        <v>979</v>
      </c>
      <c r="J17" t="s">
        <v>988</v>
      </c>
      <c r="K17">
        <v>4</v>
      </c>
      <c r="L17">
        <v>5</v>
      </c>
      <c r="M17">
        <v>7</v>
      </c>
      <c r="N17">
        <v>1657000000</v>
      </c>
      <c r="O17">
        <v>414300</v>
      </c>
      <c r="P17">
        <v>6600000</v>
      </c>
      <c r="Q17">
        <v>5000000</v>
      </c>
      <c r="R17">
        <v>79600000</v>
      </c>
      <c r="S17">
        <v>1100000</v>
      </c>
      <c r="T17">
        <v>2007</v>
      </c>
      <c r="U17" t="s">
        <v>1010</v>
      </c>
      <c r="V17">
        <v>4</v>
      </c>
      <c r="W17">
        <v>28.1</v>
      </c>
      <c r="X17">
        <v>1366417754</v>
      </c>
      <c r="Y17">
        <v>5.36</v>
      </c>
      <c r="Z17">
        <v>471031528</v>
      </c>
      <c r="AA17">
        <v>20.593684</v>
      </c>
      <c r="AB17">
        <v>78.962879999999998</v>
      </c>
    </row>
    <row r="18" spans="1:28" x14ac:dyDescent="0.3">
      <c r="A18">
        <v>17</v>
      </c>
      <c r="B18" t="s">
        <v>880</v>
      </c>
      <c r="C18">
        <v>80100000</v>
      </c>
      <c r="D18">
        <v>26236790209</v>
      </c>
      <c r="E18" t="s">
        <v>1011</v>
      </c>
      <c r="F18" t="s">
        <v>1012</v>
      </c>
      <c r="G18">
        <v>1</v>
      </c>
      <c r="H18" t="s">
        <v>1013</v>
      </c>
      <c r="I18" t="s">
        <v>1014</v>
      </c>
      <c r="J18" t="s">
        <v>988</v>
      </c>
      <c r="K18">
        <v>4057901</v>
      </c>
      <c r="L18">
        <v>4797</v>
      </c>
      <c r="M18">
        <v>6781</v>
      </c>
      <c r="N18">
        <v>1</v>
      </c>
      <c r="O18">
        <v>0</v>
      </c>
      <c r="P18">
        <v>0</v>
      </c>
      <c r="Q18">
        <v>0</v>
      </c>
      <c r="R18">
        <v>0.05</v>
      </c>
      <c r="S18" t="s">
        <v>987</v>
      </c>
      <c r="T18">
        <v>2020</v>
      </c>
      <c r="U18" t="s">
        <v>1015</v>
      </c>
      <c r="V18">
        <v>27</v>
      </c>
      <c r="W18">
        <v>60</v>
      </c>
      <c r="X18">
        <v>66834405</v>
      </c>
      <c r="Y18">
        <v>3.85</v>
      </c>
      <c r="Z18">
        <v>55908316</v>
      </c>
      <c r="AA18">
        <v>55.378050999999999</v>
      </c>
      <c r="AB18">
        <v>-3.4359730000000002</v>
      </c>
    </row>
    <row r="19" spans="1:28" x14ac:dyDescent="0.3">
      <c r="A19">
        <v>18</v>
      </c>
      <c r="B19" t="s">
        <v>225</v>
      </c>
      <c r="C19">
        <v>75600000</v>
      </c>
      <c r="D19">
        <v>20826993957</v>
      </c>
      <c r="E19" t="s">
        <v>977</v>
      </c>
      <c r="F19" t="s">
        <v>225</v>
      </c>
      <c r="G19">
        <v>2281</v>
      </c>
      <c r="H19" t="s">
        <v>1006</v>
      </c>
      <c r="I19" t="s">
        <v>1007</v>
      </c>
      <c r="J19" t="s">
        <v>977</v>
      </c>
      <c r="K19">
        <v>112</v>
      </c>
      <c r="L19">
        <v>2</v>
      </c>
      <c r="M19">
        <v>4</v>
      </c>
      <c r="N19">
        <v>168290000</v>
      </c>
      <c r="O19">
        <v>42100</v>
      </c>
      <c r="P19">
        <v>673200</v>
      </c>
      <c r="Q19">
        <v>504900</v>
      </c>
      <c r="R19">
        <v>8100000</v>
      </c>
      <c r="S19">
        <v>400000</v>
      </c>
      <c r="T19">
        <v>2012</v>
      </c>
      <c r="U19" t="s">
        <v>1005</v>
      </c>
      <c r="V19">
        <v>17</v>
      </c>
      <c r="W19">
        <v>94.3</v>
      </c>
      <c r="X19">
        <v>51709098</v>
      </c>
      <c r="Y19">
        <v>4.1500000000000004</v>
      </c>
      <c r="Z19">
        <v>42106719</v>
      </c>
      <c r="AA19">
        <v>35.907756999999997</v>
      </c>
      <c r="AB19">
        <v>127.76692199999999</v>
      </c>
    </row>
    <row r="20" spans="1:28" x14ac:dyDescent="0.3">
      <c r="A20">
        <v>19</v>
      </c>
      <c r="B20" t="s">
        <v>1004</v>
      </c>
      <c r="C20">
        <v>75000000</v>
      </c>
      <c r="D20">
        <v>0</v>
      </c>
      <c r="E20" t="s">
        <v>987</v>
      </c>
      <c r="F20" t="s">
        <v>1016</v>
      </c>
      <c r="G20">
        <v>3</v>
      </c>
      <c r="H20" t="s">
        <v>984</v>
      </c>
      <c r="I20" t="s">
        <v>985</v>
      </c>
      <c r="J20" t="s">
        <v>988</v>
      </c>
      <c r="K20">
        <v>3898122</v>
      </c>
      <c r="L20">
        <v>6266</v>
      </c>
      <c r="M20">
        <v>5395</v>
      </c>
      <c r="N20">
        <v>16</v>
      </c>
      <c r="O20">
        <v>0</v>
      </c>
      <c r="P20">
        <v>0.06</v>
      </c>
      <c r="Q20">
        <v>0.05</v>
      </c>
      <c r="R20">
        <v>0.77</v>
      </c>
      <c r="S20" t="s">
        <v>987</v>
      </c>
      <c r="T20">
        <v>2006</v>
      </c>
      <c r="U20" t="s">
        <v>1003</v>
      </c>
      <c r="V20">
        <v>30</v>
      </c>
      <c r="W20">
        <v>88.2</v>
      </c>
      <c r="X20">
        <v>328239523</v>
      </c>
      <c r="Y20">
        <v>14.7</v>
      </c>
      <c r="Z20">
        <v>270663028</v>
      </c>
      <c r="AA20">
        <v>37.090240000000001</v>
      </c>
      <c r="AB20">
        <v>-95.712890999999999</v>
      </c>
    </row>
    <row r="21" spans="1:28" x14ac:dyDescent="0.3">
      <c r="A21">
        <v>20</v>
      </c>
      <c r="B21" t="s">
        <v>212</v>
      </c>
      <c r="C21">
        <v>71600000</v>
      </c>
      <c r="D21">
        <v>30608119724</v>
      </c>
      <c r="E21" t="s">
        <v>977</v>
      </c>
      <c r="F21" t="s">
        <v>212</v>
      </c>
      <c r="G21">
        <v>249</v>
      </c>
      <c r="H21" t="s">
        <v>1017</v>
      </c>
      <c r="I21" t="s">
        <v>1018</v>
      </c>
      <c r="J21" t="s">
        <v>977</v>
      </c>
      <c r="K21">
        <v>38</v>
      </c>
      <c r="L21">
        <v>1</v>
      </c>
      <c r="M21">
        <v>6</v>
      </c>
      <c r="N21">
        <v>176326000</v>
      </c>
      <c r="O21">
        <v>44100</v>
      </c>
      <c r="P21">
        <v>705300</v>
      </c>
      <c r="Q21">
        <v>529000</v>
      </c>
      <c r="R21">
        <v>8500000</v>
      </c>
      <c r="S21">
        <v>100000</v>
      </c>
      <c r="T21">
        <v>2007</v>
      </c>
      <c r="U21" t="s">
        <v>1003</v>
      </c>
      <c r="V21">
        <v>15</v>
      </c>
      <c r="W21">
        <v>68.900000000000006</v>
      </c>
      <c r="X21">
        <v>36991981</v>
      </c>
      <c r="Y21">
        <v>5.56</v>
      </c>
      <c r="Z21">
        <v>30628482</v>
      </c>
      <c r="AA21">
        <v>56.130366000000002</v>
      </c>
      <c r="AB21">
        <v>-106.346771</v>
      </c>
    </row>
    <row r="22" spans="1:28" x14ac:dyDescent="0.3">
      <c r="A22">
        <v>21</v>
      </c>
      <c r="B22" t="s">
        <v>47</v>
      </c>
      <c r="C22">
        <v>71300000</v>
      </c>
      <c r="D22">
        <v>28634566938</v>
      </c>
      <c r="E22" t="s">
        <v>977</v>
      </c>
      <c r="F22" t="s">
        <v>47</v>
      </c>
      <c r="G22">
        <v>1337</v>
      </c>
      <c r="H22" t="s">
        <v>1006</v>
      </c>
      <c r="I22" t="s">
        <v>1007</v>
      </c>
      <c r="J22" t="s">
        <v>977</v>
      </c>
      <c r="K22">
        <v>46</v>
      </c>
      <c r="L22">
        <v>3</v>
      </c>
      <c r="M22">
        <v>5</v>
      </c>
      <c r="N22">
        <v>598173000</v>
      </c>
      <c r="O22">
        <v>149500</v>
      </c>
      <c r="P22">
        <v>2400000</v>
      </c>
      <c r="Q22">
        <v>1800000</v>
      </c>
      <c r="R22">
        <v>28700000</v>
      </c>
      <c r="S22">
        <v>900000</v>
      </c>
      <c r="T22">
        <v>2008</v>
      </c>
      <c r="U22" t="s">
        <v>1008</v>
      </c>
      <c r="V22">
        <v>4</v>
      </c>
      <c r="W22">
        <v>94.3</v>
      </c>
      <c r="X22">
        <v>51709098</v>
      </c>
      <c r="Y22">
        <v>4.1500000000000004</v>
      </c>
      <c r="Z22">
        <v>42106719</v>
      </c>
      <c r="AA22">
        <v>35.907756999999997</v>
      </c>
      <c r="AB22">
        <v>127.76692199999999</v>
      </c>
    </row>
    <row r="23" spans="1:28" x14ac:dyDescent="0.3">
      <c r="A23">
        <v>22</v>
      </c>
      <c r="B23" t="s">
        <v>5</v>
      </c>
      <c r="C23">
        <v>70500000</v>
      </c>
      <c r="D23">
        <v>73139054467</v>
      </c>
      <c r="E23" t="s">
        <v>988</v>
      </c>
      <c r="F23" t="s">
        <v>5</v>
      </c>
      <c r="G23">
        <v>129204</v>
      </c>
      <c r="H23" t="s">
        <v>978</v>
      </c>
      <c r="I23" t="s">
        <v>979</v>
      </c>
      <c r="J23" t="s">
        <v>988</v>
      </c>
      <c r="K23">
        <v>9</v>
      </c>
      <c r="L23">
        <v>6</v>
      </c>
      <c r="M23">
        <v>8</v>
      </c>
      <c r="N23">
        <v>1707000000</v>
      </c>
      <c r="O23">
        <v>426800</v>
      </c>
      <c r="P23">
        <v>6800000</v>
      </c>
      <c r="Q23">
        <v>5100000</v>
      </c>
      <c r="R23">
        <v>81900000</v>
      </c>
      <c r="S23">
        <v>900000</v>
      </c>
      <c r="T23">
        <v>2005</v>
      </c>
      <c r="U23" t="s">
        <v>1005</v>
      </c>
      <c r="V23">
        <v>11</v>
      </c>
      <c r="W23">
        <v>28.1</v>
      </c>
      <c r="X23">
        <v>1366417754</v>
      </c>
      <c r="Y23">
        <v>5.36</v>
      </c>
      <c r="Z23">
        <v>471031528</v>
      </c>
      <c r="AA23">
        <v>20.593684</v>
      </c>
      <c r="AB23">
        <v>78.962879999999998</v>
      </c>
    </row>
    <row r="24" spans="1:28" x14ac:dyDescent="0.3">
      <c r="A24">
        <v>23</v>
      </c>
      <c r="B24" t="s">
        <v>65</v>
      </c>
      <c r="C24">
        <v>68200000</v>
      </c>
      <c r="D24">
        <v>38843229963</v>
      </c>
      <c r="E24" t="s">
        <v>990</v>
      </c>
      <c r="F24" t="s">
        <v>65</v>
      </c>
      <c r="G24">
        <v>2865</v>
      </c>
      <c r="H24" t="s">
        <v>984</v>
      </c>
      <c r="I24" t="s">
        <v>985</v>
      </c>
      <c r="J24" t="s">
        <v>990</v>
      </c>
      <c r="K24">
        <v>23</v>
      </c>
      <c r="L24">
        <v>8</v>
      </c>
      <c r="M24">
        <v>2</v>
      </c>
      <c r="N24">
        <v>473387000</v>
      </c>
      <c r="O24">
        <v>118300</v>
      </c>
      <c r="P24">
        <v>1900000</v>
      </c>
      <c r="Q24">
        <v>1400000</v>
      </c>
      <c r="R24">
        <v>22700000</v>
      </c>
      <c r="S24">
        <v>600000</v>
      </c>
      <c r="T24">
        <v>2011</v>
      </c>
      <c r="U24" t="s">
        <v>1005</v>
      </c>
      <c r="V24">
        <v>14</v>
      </c>
      <c r="W24">
        <v>88.2</v>
      </c>
      <c r="X24">
        <v>328239523</v>
      </c>
      <c r="Y24">
        <v>14.7</v>
      </c>
      <c r="Z24">
        <v>270663028</v>
      </c>
      <c r="AA24">
        <v>37.090240000000001</v>
      </c>
      <c r="AB24">
        <v>-95.712890999999999</v>
      </c>
    </row>
    <row r="25" spans="1:28" x14ac:dyDescent="0.3">
      <c r="A25">
        <v>24</v>
      </c>
      <c r="B25" t="s">
        <v>929</v>
      </c>
      <c r="C25">
        <v>66500000</v>
      </c>
      <c r="D25">
        <v>36775585925</v>
      </c>
      <c r="E25" t="s">
        <v>977</v>
      </c>
      <c r="F25" t="s">
        <v>929</v>
      </c>
      <c r="G25">
        <v>2572</v>
      </c>
      <c r="H25" t="s">
        <v>1019</v>
      </c>
      <c r="I25" t="s">
        <v>1020</v>
      </c>
      <c r="J25" t="s">
        <v>977</v>
      </c>
      <c r="K25">
        <v>25</v>
      </c>
      <c r="L25">
        <v>1</v>
      </c>
      <c r="M25">
        <v>7</v>
      </c>
      <c r="N25">
        <v>447223000</v>
      </c>
      <c r="O25">
        <v>0</v>
      </c>
      <c r="P25">
        <v>0</v>
      </c>
      <c r="Q25">
        <v>0</v>
      </c>
      <c r="R25">
        <v>0</v>
      </c>
      <c r="S25" t="s">
        <v>987</v>
      </c>
      <c r="T25">
        <v>2012</v>
      </c>
      <c r="U25" t="s">
        <v>980</v>
      </c>
      <c r="V25">
        <v>21</v>
      </c>
      <c r="W25">
        <v>51.3</v>
      </c>
      <c r="X25">
        <v>212559417</v>
      </c>
      <c r="Y25">
        <v>12.08</v>
      </c>
      <c r="Z25">
        <v>183241641</v>
      </c>
      <c r="AA25">
        <v>-14.235004</v>
      </c>
      <c r="AB25">
        <v>-51.925280000000001</v>
      </c>
    </row>
    <row r="26" spans="1:28" x14ac:dyDescent="0.3">
      <c r="A26">
        <v>25</v>
      </c>
      <c r="B26" t="s">
        <v>78</v>
      </c>
      <c r="C26">
        <v>65900000</v>
      </c>
      <c r="D26">
        <v>45757850229</v>
      </c>
      <c r="E26" t="s">
        <v>990</v>
      </c>
      <c r="F26" t="s">
        <v>78</v>
      </c>
      <c r="G26">
        <v>633</v>
      </c>
      <c r="H26" t="s">
        <v>978</v>
      </c>
      <c r="I26" t="s">
        <v>979</v>
      </c>
      <c r="J26" t="s">
        <v>990</v>
      </c>
      <c r="K26">
        <v>18</v>
      </c>
      <c r="L26">
        <v>7</v>
      </c>
      <c r="M26">
        <v>3</v>
      </c>
      <c r="N26">
        <v>420292000</v>
      </c>
      <c r="O26">
        <v>105100</v>
      </c>
      <c r="P26">
        <v>1700000</v>
      </c>
      <c r="Q26">
        <v>1300000</v>
      </c>
      <c r="R26">
        <v>20200000</v>
      </c>
      <c r="S26">
        <v>500000</v>
      </c>
      <c r="T26">
        <v>2013</v>
      </c>
      <c r="U26" t="s">
        <v>989</v>
      </c>
      <c r="V26">
        <v>9</v>
      </c>
      <c r="W26">
        <v>28.1</v>
      </c>
      <c r="X26">
        <v>1366417754</v>
      </c>
      <c r="Y26">
        <v>5.36</v>
      </c>
      <c r="Z26">
        <v>471031528</v>
      </c>
      <c r="AA26">
        <v>20.593684</v>
      </c>
      <c r="AB26">
        <v>78.962879999999998</v>
      </c>
    </row>
    <row r="27" spans="1:28" x14ac:dyDescent="0.3">
      <c r="A27">
        <v>26</v>
      </c>
      <c r="B27" t="s">
        <v>150</v>
      </c>
      <c r="C27">
        <v>65600000</v>
      </c>
      <c r="D27">
        <v>28648024439</v>
      </c>
      <c r="E27" t="s">
        <v>977</v>
      </c>
      <c r="F27" t="s">
        <v>150</v>
      </c>
      <c r="G27">
        <v>8502</v>
      </c>
      <c r="H27" t="s">
        <v>978</v>
      </c>
      <c r="I27" t="s">
        <v>979</v>
      </c>
      <c r="J27" t="s">
        <v>977</v>
      </c>
      <c r="K27">
        <v>47</v>
      </c>
      <c r="L27">
        <v>8</v>
      </c>
      <c r="M27">
        <v>8</v>
      </c>
      <c r="N27">
        <v>254961000</v>
      </c>
      <c r="O27">
        <v>63700</v>
      </c>
      <c r="P27">
        <v>1000000</v>
      </c>
      <c r="Q27">
        <v>764900</v>
      </c>
      <c r="R27">
        <v>12200000</v>
      </c>
      <c r="S27">
        <v>400000</v>
      </c>
      <c r="T27">
        <v>2010</v>
      </c>
      <c r="U27" t="s">
        <v>1008</v>
      </c>
      <c r="V27">
        <v>11</v>
      </c>
      <c r="W27">
        <v>28.1</v>
      </c>
      <c r="X27">
        <v>1366417754</v>
      </c>
      <c r="Y27">
        <v>5.36</v>
      </c>
      <c r="Z27">
        <v>471031528</v>
      </c>
      <c r="AA27">
        <v>20.593684</v>
      </c>
      <c r="AB27">
        <v>78.962879999999998</v>
      </c>
    </row>
    <row r="28" spans="1:28" x14ac:dyDescent="0.3">
      <c r="A28">
        <v>27</v>
      </c>
      <c r="B28" t="s">
        <v>18</v>
      </c>
      <c r="C28">
        <v>64600000</v>
      </c>
      <c r="D28">
        <v>61510906457</v>
      </c>
      <c r="E28" t="s">
        <v>992</v>
      </c>
      <c r="F28" t="s">
        <v>18</v>
      </c>
      <c r="G28">
        <v>112915</v>
      </c>
      <c r="H28" t="s">
        <v>978</v>
      </c>
      <c r="I28" t="s">
        <v>979</v>
      </c>
      <c r="J28" t="s">
        <v>988</v>
      </c>
      <c r="K28">
        <v>10</v>
      </c>
      <c r="L28">
        <v>9</v>
      </c>
      <c r="M28">
        <v>9</v>
      </c>
      <c r="N28">
        <v>1188000000</v>
      </c>
      <c r="O28">
        <v>296900</v>
      </c>
      <c r="P28">
        <v>4800000</v>
      </c>
      <c r="Q28">
        <v>3600000</v>
      </c>
      <c r="R28">
        <v>57000000</v>
      </c>
      <c r="S28">
        <v>1100000</v>
      </c>
      <c r="T28">
        <v>2008</v>
      </c>
      <c r="U28" t="s">
        <v>1008</v>
      </c>
      <c r="V28">
        <v>13</v>
      </c>
      <c r="W28">
        <v>28.1</v>
      </c>
      <c r="X28">
        <v>1366417754</v>
      </c>
      <c r="Y28">
        <v>5.36</v>
      </c>
      <c r="Z28">
        <v>471031528</v>
      </c>
      <c r="AA28">
        <v>20.593684</v>
      </c>
      <c r="AB28">
        <v>78.962879999999998</v>
      </c>
    </row>
    <row r="29" spans="1:28" x14ac:dyDescent="0.3">
      <c r="A29">
        <v>28</v>
      </c>
      <c r="B29" t="s">
        <v>849</v>
      </c>
      <c r="C29">
        <v>61000000</v>
      </c>
      <c r="D29">
        <v>29533230328</v>
      </c>
      <c r="E29" t="s">
        <v>977</v>
      </c>
      <c r="F29" t="s">
        <v>1021</v>
      </c>
      <c r="G29">
        <v>13</v>
      </c>
      <c r="H29" t="s">
        <v>978</v>
      </c>
      <c r="I29" t="s">
        <v>979</v>
      </c>
      <c r="J29" t="s">
        <v>977</v>
      </c>
      <c r="K29">
        <v>4053938</v>
      </c>
      <c r="L29">
        <v>5803</v>
      </c>
      <c r="M29">
        <v>5744</v>
      </c>
      <c r="N29">
        <v>10</v>
      </c>
      <c r="O29">
        <v>0</v>
      </c>
      <c r="P29">
        <v>0.04</v>
      </c>
      <c r="Q29">
        <v>0.03</v>
      </c>
      <c r="R29">
        <v>0.48</v>
      </c>
      <c r="S29" t="s">
        <v>987</v>
      </c>
      <c r="T29">
        <v>2018</v>
      </c>
      <c r="U29" t="s">
        <v>1010</v>
      </c>
      <c r="V29">
        <v>3</v>
      </c>
      <c r="W29">
        <v>28.1</v>
      </c>
      <c r="X29">
        <v>1366417754</v>
      </c>
      <c r="Y29">
        <v>5.36</v>
      </c>
      <c r="Z29">
        <v>471031528</v>
      </c>
      <c r="AA29">
        <v>20.593684</v>
      </c>
      <c r="AB29">
        <v>78.962879999999998</v>
      </c>
    </row>
    <row r="30" spans="1:28" x14ac:dyDescent="0.3">
      <c r="A30">
        <v>29</v>
      </c>
      <c r="B30" t="s">
        <v>258</v>
      </c>
      <c r="C30">
        <v>59500000</v>
      </c>
      <c r="D30">
        <v>16241549158</v>
      </c>
      <c r="E30" t="s">
        <v>1004</v>
      </c>
      <c r="F30" t="s">
        <v>258</v>
      </c>
      <c r="G30">
        <v>389</v>
      </c>
      <c r="H30" t="s">
        <v>984</v>
      </c>
      <c r="I30" t="s">
        <v>985</v>
      </c>
      <c r="J30" t="s">
        <v>1004</v>
      </c>
      <c r="K30">
        <v>182</v>
      </c>
      <c r="L30">
        <v>9</v>
      </c>
      <c r="M30">
        <v>3</v>
      </c>
      <c r="N30">
        <v>141200000</v>
      </c>
      <c r="O30">
        <v>35300</v>
      </c>
      <c r="P30">
        <v>564800</v>
      </c>
      <c r="Q30">
        <v>423600</v>
      </c>
      <c r="R30">
        <v>6800000</v>
      </c>
      <c r="S30">
        <v>100000</v>
      </c>
      <c r="T30">
        <v>2009</v>
      </c>
      <c r="U30" t="s">
        <v>980</v>
      </c>
      <c r="V30">
        <v>17</v>
      </c>
      <c r="W30">
        <v>88.2</v>
      </c>
      <c r="X30">
        <v>328239523</v>
      </c>
      <c r="Y30">
        <v>14.7</v>
      </c>
      <c r="Z30">
        <v>270663028</v>
      </c>
      <c r="AA30">
        <v>37.090240000000001</v>
      </c>
      <c r="AB30">
        <v>-95.712890999999999</v>
      </c>
    </row>
    <row r="31" spans="1:28" x14ac:dyDescent="0.3">
      <c r="A31">
        <v>30</v>
      </c>
      <c r="B31" t="s">
        <v>303</v>
      </c>
      <c r="C31">
        <v>59500000</v>
      </c>
      <c r="D31">
        <v>59316472754</v>
      </c>
      <c r="E31" t="s">
        <v>982</v>
      </c>
      <c r="F31" t="s">
        <v>303</v>
      </c>
      <c r="G31">
        <v>39113</v>
      </c>
      <c r="H31" t="s">
        <v>984</v>
      </c>
      <c r="I31" t="s">
        <v>985</v>
      </c>
      <c r="J31" t="s">
        <v>1022</v>
      </c>
      <c r="K31">
        <v>11</v>
      </c>
      <c r="L31">
        <v>9</v>
      </c>
      <c r="M31">
        <v>3</v>
      </c>
      <c r="N31">
        <v>114668000</v>
      </c>
      <c r="O31">
        <v>28700</v>
      </c>
      <c r="P31">
        <v>458700</v>
      </c>
      <c r="Q31">
        <v>344000</v>
      </c>
      <c r="R31">
        <v>5500000</v>
      </c>
      <c r="S31">
        <v>100000</v>
      </c>
      <c r="T31">
        <v>2006</v>
      </c>
      <c r="U31" t="s">
        <v>999</v>
      </c>
      <c r="V31">
        <v>28</v>
      </c>
      <c r="W31">
        <v>88.2</v>
      </c>
      <c r="X31">
        <v>328239523</v>
      </c>
      <c r="Y31">
        <v>14.7</v>
      </c>
      <c r="Z31">
        <v>270663028</v>
      </c>
      <c r="AA31">
        <v>37.090240000000001</v>
      </c>
      <c r="AB31">
        <v>-95.712890999999999</v>
      </c>
    </row>
    <row r="32" spans="1:28" x14ac:dyDescent="0.3">
      <c r="A32">
        <v>31</v>
      </c>
      <c r="B32" t="s">
        <v>77</v>
      </c>
      <c r="C32">
        <v>59300000</v>
      </c>
      <c r="D32">
        <v>33431802698</v>
      </c>
      <c r="E32" t="s">
        <v>977</v>
      </c>
      <c r="F32" t="s">
        <v>77</v>
      </c>
      <c r="G32">
        <v>4741</v>
      </c>
      <c r="H32" t="s">
        <v>978</v>
      </c>
      <c r="I32" t="s">
        <v>979</v>
      </c>
      <c r="J32" t="s">
        <v>977</v>
      </c>
      <c r="K32">
        <v>30</v>
      </c>
      <c r="L32">
        <v>11</v>
      </c>
      <c r="M32">
        <v>10</v>
      </c>
      <c r="N32">
        <v>422634000</v>
      </c>
      <c r="O32">
        <v>105700</v>
      </c>
      <c r="P32">
        <v>1700000</v>
      </c>
      <c r="Q32">
        <v>1300000</v>
      </c>
      <c r="R32">
        <v>20300000</v>
      </c>
      <c r="S32">
        <v>600000</v>
      </c>
      <c r="T32">
        <v>2007</v>
      </c>
      <c r="U32" t="s">
        <v>995</v>
      </c>
      <c r="V32">
        <v>22</v>
      </c>
      <c r="W32">
        <v>28.1</v>
      </c>
      <c r="X32">
        <v>1366417754</v>
      </c>
      <c r="Y32">
        <v>5.36</v>
      </c>
      <c r="Z32">
        <v>471031528</v>
      </c>
      <c r="AA32">
        <v>20.593684</v>
      </c>
      <c r="AB32">
        <v>78.962879999999998</v>
      </c>
    </row>
    <row r="33" spans="1:28" x14ac:dyDescent="0.3">
      <c r="A33">
        <v>32</v>
      </c>
      <c r="B33" t="s">
        <v>45</v>
      </c>
      <c r="C33">
        <v>58400000</v>
      </c>
      <c r="D33">
        <v>57271630846</v>
      </c>
      <c r="E33" t="s">
        <v>977</v>
      </c>
      <c r="F33" t="s">
        <v>45</v>
      </c>
      <c r="G33">
        <v>1510</v>
      </c>
      <c r="H33" t="s">
        <v>1023</v>
      </c>
      <c r="I33" t="s">
        <v>1024</v>
      </c>
      <c r="J33" t="s">
        <v>977</v>
      </c>
      <c r="K33">
        <v>13</v>
      </c>
      <c r="L33">
        <v>1</v>
      </c>
      <c r="M33">
        <v>11</v>
      </c>
      <c r="N33">
        <v>611828000</v>
      </c>
      <c r="O33">
        <v>153000</v>
      </c>
      <c r="P33">
        <v>2400000</v>
      </c>
      <c r="Q33">
        <v>1800000</v>
      </c>
      <c r="R33">
        <v>29400000</v>
      </c>
      <c r="S33">
        <v>600000</v>
      </c>
      <c r="T33">
        <v>2011</v>
      </c>
      <c r="U33" t="s">
        <v>1008</v>
      </c>
      <c r="V33">
        <v>2</v>
      </c>
      <c r="W33">
        <v>90</v>
      </c>
      <c r="X33">
        <v>44938712</v>
      </c>
      <c r="Y33">
        <v>9.7899999999999991</v>
      </c>
      <c r="Z33">
        <v>41339571</v>
      </c>
      <c r="AA33">
        <v>-38.416097000000001</v>
      </c>
      <c r="AB33">
        <v>-63.616672000000001</v>
      </c>
    </row>
    <row r="34" spans="1:28" x14ac:dyDescent="0.3">
      <c r="A34">
        <v>33</v>
      </c>
      <c r="B34" t="s">
        <v>165</v>
      </c>
      <c r="C34">
        <v>58000000</v>
      </c>
      <c r="D34">
        <v>40602020243</v>
      </c>
      <c r="E34" t="s">
        <v>977</v>
      </c>
      <c r="F34" t="s">
        <v>165</v>
      </c>
      <c r="G34">
        <v>19487</v>
      </c>
      <c r="H34" t="s">
        <v>978</v>
      </c>
      <c r="I34" t="s">
        <v>979</v>
      </c>
      <c r="J34" t="s">
        <v>977</v>
      </c>
      <c r="K34">
        <v>21</v>
      </c>
      <c r="L34">
        <v>12</v>
      </c>
      <c r="M34">
        <v>12</v>
      </c>
      <c r="N34">
        <v>232025000</v>
      </c>
      <c r="O34">
        <v>58000</v>
      </c>
      <c r="P34">
        <v>928100</v>
      </c>
      <c r="Q34">
        <v>696100</v>
      </c>
      <c r="R34">
        <v>11100000</v>
      </c>
      <c r="S34">
        <v>500000</v>
      </c>
      <c r="T34">
        <v>2014</v>
      </c>
      <c r="U34" t="s">
        <v>1025</v>
      </c>
      <c r="V34">
        <v>29</v>
      </c>
      <c r="W34">
        <v>28.1</v>
      </c>
      <c r="X34">
        <v>1366417754</v>
      </c>
      <c r="Y34">
        <v>5.36</v>
      </c>
      <c r="Z34">
        <v>471031528</v>
      </c>
      <c r="AA34">
        <v>20.593684</v>
      </c>
      <c r="AB34">
        <v>78.962879999999998</v>
      </c>
    </row>
    <row r="35" spans="1:28" x14ac:dyDescent="0.3">
      <c r="A35">
        <v>34</v>
      </c>
      <c r="B35" t="s">
        <v>69</v>
      </c>
      <c r="C35">
        <v>57600000</v>
      </c>
      <c r="D35">
        <v>25307753534</v>
      </c>
      <c r="E35" t="s">
        <v>1026</v>
      </c>
      <c r="F35" t="s">
        <v>69</v>
      </c>
      <c r="G35">
        <v>283775</v>
      </c>
      <c r="H35" t="s">
        <v>978</v>
      </c>
      <c r="I35" t="s">
        <v>979</v>
      </c>
      <c r="J35" t="s">
        <v>1027</v>
      </c>
      <c r="K35">
        <v>71</v>
      </c>
      <c r="L35">
        <v>13</v>
      </c>
      <c r="M35">
        <v>1</v>
      </c>
      <c r="N35">
        <v>461148000</v>
      </c>
      <c r="O35">
        <v>115300</v>
      </c>
      <c r="P35">
        <v>1800000</v>
      </c>
      <c r="Q35">
        <v>1400000</v>
      </c>
      <c r="R35">
        <v>22100000</v>
      </c>
      <c r="S35">
        <v>500000</v>
      </c>
      <c r="T35">
        <v>2009</v>
      </c>
      <c r="U35" t="s">
        <v>1010</v>
      </c>
      <c r="V35">
        <v>27</v>
      </c>
      <c r="W35">
        <v>28.1</v>
      </c>
      <c r="X35">
        <v>1366417754</v>
      </c>
      <c r="Y35">
        <v>5.36</v>
      </c>
      <c r="Z35">
        <v>471031528</v>
      </c>
      <c r="AA35">
        <v>20.593684</v>
      </c>
      <c r="AB35">
        <v>78.962879999999998</v>
      </c>
    </row>
    <row r="36" spans="1:28" x14ac:dyDescent="0.3">
      <c r="A36">
        <v>35</v>
      </c>
      <c r="B36" t="s">
        <v>148</v>
      </c>
      <c r="C36">
        <v>57200000</v>
      </c>
      <c r="D36">
        <v>28837144516</v>
      </c>
      <c r="E36" t="s">
        <v>977</v>
      </c>
      <c r="F36" t="s">
        <v>148</v>
      </c>
      <c r="G36">
        <v>3882</v>
      </c>
      <c r="H36" t="s">
        <v>978</v>
      </c>
      <c r="I36" t="s">
        <v>979</v>
      </c>
      <c r="J36" t="s">
        <v>977</v>
      </c>
      <c r="K36">
        <v>45</v>
      </c>
      <c r="L36">
        <v>14</v>
      </c>
      <c r="M36">
        <v>13</v>
      </c>
      <c r="N36">
        <v>259310000</v>
      </c>
      <c r="O36">
        <v>64800</v>
      </c>
      <c r="P36">
        <v>1000000</v>
      </c>
      <c r="Q36">
        <v>777900</v>
      </c>
      <c r="R36">
        <v>12400000</v>
      </c>
      <c r="S36">
        <v>300000</v>
      </c>
      <c r="T36">
        <v>2009</v>
      </c>
      <c r="U36" t="s">
        <v>991</v>
      </c>
      <c r="V36">
        <v>2</v>
      </c>
      <c r="W36">
        <v>28.1</v>
      </c>
      <c r="X36">
        <v>1366417754</v>
      </c>
      <c r="Y36">
        <v>5.36</v>
      </c>
      <c r="Z36">
        <v>471031528</v>
      </c>
      <c r="AA36">
        <v>20.593684</v>
      </c>
      <c r="AB36">
        <v>78.962879999999998</v>
      </c>
    </row>
    <row r="37" spans="1:28" x14ac:dyDescent="0.3">
      <c r="A37">
        <v>36</v>
      </c>
      <c r="B37" t="s">
        <v>146</v>
      </c>
      <c r="C37">
        <v>56900000</v>
      </c>
      <c r="D37">
        <v>27073872856</v>
      </c>
      <c r="E37" t="s">
        <v>977</v>
      </c>
      <c r="F37" t="s">
        <v>146</v>
      </c>
      <c r="G37">
        <v>156</v>
      </c>
      <c r="H37" t="s">
        <v>984</v>
      </c>
      <c r="I37" t="s">
        <v>985</v>
      </c>
      <c r="J37" t="s">
        <v>977</v>
      </c>
      <c r="K37">
        <v>59</v>
      </c>
      <c r="L37">
        <v>10</v>
      </c>
      <c r="M37">
        <v>14</v>
      </c>
      <c r="N37">
        <v>260193000</v>
      </c>
      <c r="O37">
        <v>65000</v>
      </c>
      <c r="P37">
        <v>1000000</v>
      </c>
      <c r="Q37">
        <v>780600</v>
      </c>
      <c r="R37">
        <v>12500000</v>
      </c>
      <c r="S37">
        <v>300000</v>
      </c>
      <c r="T37">
        <v>2007</v>
      </c>
      <c r="U37" t="s">
        <v>989</v>
      </c>
      <c r="V37">
        <v>9</v>
      </c>
      <c r="W37">
        <v>88.2</v>
      </c>
      <c r="X37">
        <v>328239523</v>
      </c>
      <c r="Y37">
        <v>14.7</v>
      </c>
      <c r="Z37">
        <v>270663028</v>
      </c>
      <c r="AA37">
        <v>37.090240000000001</v>
      </c>
      <c r="AB37">
        <v>-95.712890999999999</v>
      </c>
    </row>
    <row r="38" spans="1:28" x14ac:dyDescent="0.3">
      <c r="A38">
        <v>37</v>
      </c>
      <c r="B38" t="s">
        <v>310</v>
      </c>
      <c r="C38">
        <v>56400000</v>
      </c>
      <c r="D38">
        <v>14696003229</v>
      </c>
      <c r="E38" t="s">
        <v>988</v>
      </c>
      <c r="F38" t="s">
        <v>310</v>
      </c>
      <c r="G38">
        <v>436</v>
      </c>
      <c r="H38" t="s">
        <v>984</v>
      </c>
      <c r="I38" t="s">
        <v>985</v>
      </c>
      <c r="J38" t="s">
        <v>977</v>
      </c>
      <c r="K38">
        <v>233</v>
      </c>
      <c r="L38">
        <v>11</v>
      </c>
      <c r="M38">
        <v>15</v>
      </c>
      <c r="N38">
        <v>112100000</v>
      </c>
      <c r="O38">
        <v>28000</v>
      </c>
      <c r="P38">
        <v>448400</v>
      </c>
      <c r="Q38">
        <v>336300</v>
      </c>
      <c r="R38">
        <v>5400000</v>
      </c>
      <c r="S38">
        <v>100000</v>
      </c>
      <c r="T38">
        <v>2015</v>
      </c>
      <c r="U38" t="s">
        <v>999</v>
      </c>
      <c r="V38">
        <v>6</v>
      </c>
      <c r="W38">
        <v>88.2</v>
      </c>
      <c r="X38">
        <v>328239523</v>
      </c>
      <c r="Y38">
        <v>14.7</v>
      </c>
      <c r="Z38">
        <v>270663028</v>
      </c>
      <c r="AA38">
        <v>37.090240000000001</v>
      </c>
      <c r="AB38">
        <v>-95.712890999999999</v>
      </c>
    </row>
    <row r="39" spans="1:28" x14ac:dyDescent="0.3">
      <c r="A39">
        <v>38</v>
      </c>
      <c r="B39" t="s">
        <v>57</v>
      </c>
      <c r="C39">
        <v>54600000</v>
      </c>
      <c r="D39">
        <v>35302243691</v>
      </c>
      <c r="E39" t="s">
        <v>982</v>
      </c>
      <c r="F39" t="s">
        <v>57</v>
      </c>
      <c r="G39">
        <v>3707</v>
      </c>
      <c r="H39" t="s">
        <v>978</v>
      </c>
      <c r="I39" t="s">
        <v>979</v>
      </c>
      <c r="J39" t="s">
        <v>977</v>
      </c>
      <c r="K39">
        <v>28</v>
      </c>
      <c r="L39">
        <v>15</v>
      </c>
      <c r="M39">
        <v>16</v>
      </c>
      <c r="N39">
        <v>512093000</v>
      </c>
      <c r="O39">
        <v>128000</v>
      </c>
      <c r="P39">
        <v>2000000</v>
      </c>
      <c r="Q39">
        <v>1500000</v>
      </c>
      <c r="R39">
        <v>24600000</v>
      </c>
      <c r="S39">
        <v>500000</v>
      </c>
      <c r="T39">
        <v>2006</v>
      </c>
      <c r="U39" t="s">
        <v>1008</v>
      </c>
      <c r="V39">
        <v>7</v>
      </c>
      <c r="W39">
        <v>28.1</v>
      </c>
      <c r="X39">
        <v>1366417754</v>
      </c>
      <c r="Y39">
        <v>5.36</v>
      </c>
      <c r="Z39">
        <v>471031528</v>
      </c>
      <c r="AA39">
        <v>20.593684</v>
      </c>
      <c r="AB39">
        <v>78.962879999999998</v>
      </c>
    </row>
    <row r="40" spans="1:28" x14ac:dyDescent="0.3">
      <c r="A40">
        <v>39</v>
      </c>
      <c r="B40" t="s">
        <v>826</v>
      </c>
      <c r="C40">
        <v>54000000</v>
      </c>
      <c r="D40">
        <v>32312431239</v>
      </c>
      <c r="E40" t="s">
        <v>977</v>
      </c>
      <c r="F40" t="s">
        <v>1028</v>
      </c>
      <c r="G40">
        <v>11</v>
      </c>
      <c r="H40" t="s">
        <v>987</v>
      </c>
      <c r="I40" t="s">
        <v>987</v>
      </c>
      <c r="J40" t="s">
        <v>987</v>
      </c>
      <c r="K40">
        <v>3800129</v>
      </c>
      <c r="L40" t="s">
        <v>987</v>
      </c>
      <c r="M40" t="s">
        <v>987</v>
      </c>
      <c r="N40">
        <v>159</v>
      </c>
      <c r="O40">
        <v>0.04</v>
      </c>
      <c r="P40">
        <v>0.64</v>
      </c>
      <c r="Q40">
        <v>0.48</v>
      </c>
      <c r="R40">
        <v>8</v>
      </c>
      <c r="S40" t="s">
        <v>987</v>
      </c>
      <c r="T40">
        <v>2016</v>
      </c>
      <c r="U40" t="s">
        <v>1029</v>
      </c>
      <c r="V40">
        <v>29</v>
      </c>
      <c r="W40" t="s">
        <v>987</v>
      </c>
      <c r="X40" t="s">
        <v>987</v>
      </c>
      <c r="Y40" t="s">
        <v>987</v>
      </c>
      <c r="Z40" t="s">
        <v>987</v>
      </c>
      <c r="AA40" t="s">
        <v>987</v>
      </c>
      <c r="AB40" t="s">
        <v>987</v>
      </c>
    </row>
    <row r="41" spans="1:28" x14ac:dyDescent="0.3">
      <c r="A41">
        <v>40</v>
      </c>
      <c r="B41" t="s">
        <v>183</v>
      </c>
      <c r="C41">
        <v>53500000</v>
      </c>
      <c r="D41">
        <v>30367676736</v>
      </c>
      <c r="E41" t="s">
        <v>977</v>
      </c>
      <c r="F41" t="s">
        <v>183</v>
      </c>
      <c r="G41">
        <v>383</v>
      </c>
      <c r="H41" t="s">
        <v>1013</v>
      </c>
      <c r="I41" t="s">
        <v>1014</v>
      </c>
      <c r="J41" t="s">
        <v>977</v>
      </c>
      <c r="K41">
        <v>39</v>
      </c>
      <c r="L41">
        <v>1</v>
      </c>
      <c r="M41">
        <v>18</v>
      </c>
      <c r="N41">
        <v>202720000</v>
      </c>
      <c r="O41">
        <v>50700</v>
      </c>
      <c r="P41">
        <v>810900</v>
      </c>
      <c r="Q41">
        <v>608200</v>
      </c>
      <c r="R41">
        <v>9700000</v>
      </c>
      <c r="S41">
        <v>100000</v>
      </c>
      <c r="T41">
        <v>2006</v>
      </c>
      <c r="U41" t="s">
        <v>1010</v>
      </c>
      <c r="V41">
        <v>8</v>
      </c>
      <c r="W41">
        <v>60</v>
      </c>
      <c r="X41">
        <v>66834405</v>
      </c>
      <c r="Y41">
        <v>3.85</v>
      </c>
      <c r="Z41">
        <v>55908316</v>
      </c>
      <c r="AA41">
        <v>55.378050999999999</v>
      </c>
      <c r="AB41">
        <v>-3.4359730000000002</v>
      </c>
    </row>
    <row r="42" spans="1:28" x14ac:dyDescent="0.3">
      <c r="A42">
        <v>41</v>
      </c>
      <c r="B42" t="s">
        <v>27</v>
      </c>
      <c r="C42">
        <v>53300000</v>
      </c>
      <c r="D42">
        <v>30516172739</v>
      </c>
      <c r="E42" t="s">
        <v>990</v>
      </c>
      <c r="F42" t="s">
        <v>27</v>
      </c>
      <c r="G42">
        <v>577</v>
      </c>
      <c r="H42" t="s">
        <v>978</v>
      </c>
      <c r="I42" t="s">
        <v>979</v>
      </c>
      <c r="J42" t="s">
        <v>990</v>
      </c>
      <c r="K42">
        <v>37</v>
      </c>
      <c r="L42">
        <v>16</v>
      </c>
      <c r="M42">
        <v>4</v>
      </c>
      <c r="N42">
        <v>815949000</v>
      </c>
      <c r="O42">
        <v>204000</v>
      </c>
      <c r="P42">
        <v>3300000</v>
      </c>
      <c r="Q42">
        <v>2400000</v>
      </c>
      <c r="R42">
        <v>39200000</v>
      </c>
      <c r="S42">
        <v>1600000</v>
      </c>
      <c r="T42">
        <v>2014</v>
      </c>
      <c r="U42" t="s">
        <v>1008</v>
      </c>
      <c r="V42">
        <v>6</v>
      </c>
      <c r="W42">
        <v>28.1</v>
      </c>
      <c r="X42">
        <v>1366417754</v>
      </c>
      <c r="Y42">
        <v>5.36</v>
      </c>
      <c r="Z42">
        <v>471031528</v>
      </c>
      <c r="AA42">
        <v>20.593684</v>
      </c>
      <c r="AB42">
        <v>78.962879999999998</v>
      </c>
    </row>
    <row r="43" spans="1:28" x14ac:dyDescent="0.3">
      <c r="A43">
        <v>42</v>
      </c>
      <c r="B43" t="s">
        <v>55</v>
      </c>
      <c r="C43">
        <v>52900000</v>
      </c>
      <c r="D43">
        <v>29884657286</v>
      </c>
      <c r="E43" t="s">
        <v>977</v>
      </c>
      <c r="F43" t="s">
        <v>55</v>
      </c>
      <c r="G43">
        <v>216</v>
      </c>
      <c r="H43" t="s">
        <v>984</v>
      </c>
      <c r="I43" t="s">
        <v>985</v>
      </c>
      <c r="J43" t="s">
        <v>977</v>
      </c>
      <c r="K43">
        <v>40</v>
      </c>
      <c r="L43">
        <v>13</v>
      </c>
      <c r="M43">
        <v>19</v>
      </c>
      <c r="N43">
        <v>528392000</v>
      </c>
      <c r="O43">
        <v>132100</v>
      </c>
      <c r="P43">
        <v>2100000</v>
      </c>
      <c r="Q43">
        <v>1600000</v>
      </c>
      <c r="R43">
        <v>25400000</v>
      </c>
      <c r="S43">
        <v>800000</v>
      </c>
      <c r="T43">
        <v>2006</v>
      </c>
      <c r="U43" t="s">
        <v>991</v>
      </c>
      <c r="V43">
        <v>20</v>
      </c>
      <c r="W43">
        <v>88.2</v>
      </c>
      <c r="X43">
        <v>328239523</v>
      </c>
      <c r="Y43">
        <v>14.7</v>
      </c>
      <c r="Z43">
        <v>270663028</v>
      </c>
      <c r="AA43">
        <v>37.090240000000001</v>
      </c>
      <c r="AB43">
        <v>-95.712890999999999</v>
      </c>
    </row>
    <row r="44" spans="1:28" x14ac:dyDescent="0.3">
      <c r="A44">
        <v>43</v>
      </c>
      <c r="B44" t="s">
        <v>235</v>
      </c>
      <c r="C44">
        <v>52700000</v>
      </c>
      <c r="D44">
        <v>24004842608</v>
      </c>
      <c r="E44" t="s">
        <v>977</v>
      </c>
      <c r="F44" t="s">
        <v>235</v>
      </c>
      <c r="G44">
        <v>147</v>
      </c>
      <c r="H44" t="s">
        <v>984</v>
      </c>
      <c r="I44" t="s">
        <v>985</v>
      </c>
      <c r="J44" t="s">
        <v>977</v>
      </c>
      <c r="K44">
        <v>78</v>
      </c>
      <c r="L44">
        <v>14</v>
      </c>
      <c r="M44">
        <v>20</v>
      </c>
      <c r="N44">
        <v>160216000</v>
      </c>
      <c r="O44">
        <v>40100</v>
      </c>
      <c r="P44">
        <v>640900</v>
      </c>
      <c r="Q44">
        <v>480600</v>
      </c>
      <c r="R44">
        <v>7700000</v>
      </c>
      <c r="S44">
        <v>100000</v>
      </c>
      <c r="T44">
        <v>2007</v>
      </c>
      <c r="U44" t="s">
        <v>1003</v>
      </c>
      <c r="V44">
        <v>22</v>
      </c>
      <c r="W44">
        <v>88.2</v>
      </c>
      <c r="X44">
        <v>328239523</v>
      </c>
      <c r="Y44">
        <v>14.7</v>
      </c>
      <c r="Z44">
        <v>270663028</v>
      </c>
      <c r="AA44">
        <v>37.090240000000001</v>
      </c>
      <c r="AB44">
        <v>-95.712890999999999</v>
      </c>
    </row>
    <row r="45" spans="1:28" x14ac:dyDescent="0.3">
      <c r="A45">
        <v>44</v>
      </c>
      <c r="B45" t="s">
        <v>140</v>
      </c>
      <c r="C45">
        <v>52200000</v>
      </c>
      <c r="D45">
        <v>9877365274</v>
      </c>
      <c r="E45" t="s">
        <v>990</v>
      </c>
      <c r="F45" t="s">
        <v>1030</v>
      </c>
      <c r="G45">
        <v>847</v>
      </c>
      <c r="H45" t="s">
        <v>984</v>
      </c>
      <c r="I45" t="s">
        <v>985</v>
      </c>
      <c r="J45" t="s">
        <v>990</v>
      </c>
      <c r="K45">
        <v>450</v>
      </c>
      <c r="L45">
        <v>15</v>
      </c>
      <c r="M45">
        <v>5</v>
      </c>
      <c r="N45">
        <v>266747000</v>
      </c>
      <c r="O45">
        <v>66700</v>
      </c>
      <c r="P45">
        <v>1100000</v>
      </c>
      <c r="Q45">
        <v>800200</v>
      </c>
      <c r="R45">
        <v>12800000</v>
      </c>
      <c r="S45">
        <v>600000</v>
      </c>
      <c r="T45">
        <v>2013</v>
      </c>
      <c r="U45" t="s">
        <v>1025</v>
      </c>
      <c r="V45">
        <v>25</v>
      </c>
      <c r="W45">
        <v>88.2</v>
      </c>
      <c r="X45">
        <v>328239523</v>
      </c>
      <c r="Y45">
        <v>14.7</v>
      </c>
      <c r="Z45">
        <v>270663028</v>
      </c>
      <c r="AA45">
        <v>37.090240000000001</v>
      </c>
      <c r="AB45">
        <v>-95.712890999999999</v>
      </c>
    </row>
    <row r="46" spans="1:28" x14ac:dyDescent="0.3">
      <c r="A46">
        <v>45</v>
      </c>
      <c r="B46" t="s">
        <v>431</v>
      </c>
      <c r="C46">
        <v>48100000</v>
      </c>
      <c r="D46">
        <v>14631710289</v>
      </c>
      <c r="E46" t="s">
        <v>996</v>
      </c>
      <c r="F46" t="s">
        <v>431</v>
      </c>
      <c r="G46">
        <v>2052</v>
      </c>
      <c r="H46" t="s">
        <v>1031</v>
      </c>
      <c r="I46" t="s">
        <v>1032</v>
      </c>
      <c r="J46" t="s">
        <v>986</v>
      </c>
      <c r="K46">
        <v>237</v>
      </c>
      <c r="L46">
        <v>1</v>
      </c>
      <c r="M46">
        <v>2</v>
      </c>
      <c r="N46">
        <v>66388000</v>
      </c>
      <c r="O46">
        <v>16600</v>
      </c>
      <c r="P46">
        <v>265600</v>
      </c>
      <c r="Q46">
        <v>199200</v>
      </c>
      <c r="R46">
        <v>3200000</v>
      </c>
      <c r="S46">
        <v>200000</v>
      </c>
      <c r="T46">
        <v>2013</v>
      </c>
      <c r="U46" t="s">
        <v>995</v>
      </c>
      <c r="V46">
        <v>19</v>
      </c>
      <c r="W46">
        <v>88.5</v>
      </c>
      <c r="X46">
        <v>18952038</v>
      </c>
      <c r="Y46">
        <v>7.09</v>
      </c>
      <c r="Z46">
        <v>16610135</v>
      </c>
      <c r="AA46">
        <v>-35.675147000000003</v>
      </c>
      <c r="AB46">
        <v>-71.542968999999999</v>
      </c>
    </row>
    <row r="47" spans="1:28" x14ac:dyDescent="0.3">
      <c r="A47">
        <v>46</v>
      </c>
      <c r="B47" t="s">
        <v>252</v>
      </c>
      <c r="C47">
        <v>47900000</v>
      </c>
      <c r="D47">
        <v>13626331061</v>
      </c>
      <c r="E47" t="s">
        <v>977</v>
      </c>
      <c r="F47" t="s">
        <v>252</v>
      </c>
      <c r="G47">
        <v>65</v>
      </c>
      <c r="H47" t="s">
        <v>984</v>
      </c>
      <c r="I47" t="s">
        <v>985</v>
      </c>
      <c r="J47" t="s">
        <v>977</v>
      </c>
      <c r="K47">
        <v>263</v>
      </c>
      <c r="L47">
        <v>16</v>
      </c>
      <c r="M47">
        <v>21</v>
      </c>
      <c r="N47">
        <v>146862000</v>
      </c>
      <c r="O47">
        <v>36700</v>
      </c>
      <c r="P47">
        <v>587400</v>
      </c>
      <c r="Q47">
        <v>440600</v>
      </c>
      <c r="R47">
        <v>7000000</v>
      </c>
      <c r="S47">
        <v>200000</v>
      </c>
      <c r="T47">
        <v>2013</v>
      </c>
      <c r="U47" t="s">
        <v>989</v>
      </c>
      <c r="V47">
        <v>6</v>
      </c>
      <c r="W47">
        <v>88.2</v>
      </c>
      <c r="X47">
        <v>328239523</v>
      </c>
      <c r="Y47">
        <v>14.7</v>
      </c>
      <c r="Z47">
        <v>270663028</v>
      </c>
      <c r="AA47">
        <v>37.090240000000001</v>
      </c>
      <c r="AB47">
        <v>-95.712890999999999</v>
      </c>
    </row>
    <row r="48" spans="1:28" x14ac:dyDescent="0.3">
      <c r="A48">
        <v>47</v>
      </c>
      <c r="B48" t="s">
        <v>122</v>
      </c>
      <c r="C48">
        <v>47500000</v>
      </c>
      <c r="D48">
        <v>30788679536</v>
      </c>
      <c r="E48" t="s">
        <v>988</v>
      </c>
      <c r="F48" t="s">
        <v>122</v>
      </c>
      <c r="G48">
        <v>3322</v>
      </c>
      <c r="H48" t="s">
        <v>1000</v>
      </c>
      <c r="I48" t="s">
        <v>1001</v>
      </c>
      <c r="J48" t="s">
        <v>1022</v>
      </c>
      <c r="K48">
        <v>35</v>
      </c>
      <c r="L48">
        <v>1</v>
      </c>
      <c r="M48">
        <v>4</v>
      </c>
      <c r="N48">
        <v>306540000</v>
      </c>
      <c r="O48">
        <v>76600</v>
      </c>
      <c r="P48">
        <v>1200000</v>
      </c>
      <c r="Q48">
        <v>919600</v>
      </c>
      <c r="R48">
        <v>14700000</v>
      </c>
      <c r="S48">
        <v>700000</v>
      </c>
      <c r="T48">
        <v>2006</v>
      </c>
      <c r="U48" t="s">
        <v>1005</v>
      </c>
      <c r="V48">
        <v>16</v>
      </c>
      <c r="W48">
        <v>81.900000000000006</v>
      </c>
      <c r="X48">
        <v>144373535</v>
      </c>
      <c r="Y48">
        <v>4.59</v>
      </c>
      <c r="Z48">
        <v>107683889</v>
      </c>
      <c r="AA48">
        <v>61.524009999999997</v>
      </c>
      <c r="AB48">
        <v>105.31875599999999</v>
      </c>
    </row>
    <row r="49" spans="1:28" x14ac:dyDescent="0.3">
      <c r="A49">
        <v>48</v>
      </c>
      <c r="B49" t="s">
        <v>164</v>
      </c>
      <c r="C49">
        <v>47400000</v>
      </c>
      <c r="D49">
        <v>22519705183</v>
      </c>
      <c r="E49" t="s">
        <v>988</v>
      </c>
      <c r="F49" t="s">
        <v>164</v>
      </c>
      <c r="G49">
        <v>11451</v>
      </c>
      <c r="H49" t="s">
        <v>978</v>
      </c>
      <c r="I49" t="s">
        <v>979</v>
      </c>
      <c r="J49" t="s">
        <v>988</v>
      </c>
      <c r="K49">
        <v>97</v>
      </c>
      <c r="L49">
        <v>17</v>
      </c>
      <c r="M49">
        <v>10</v>
      </c>
      <c r="N49">
        <v>232744000</v>
      </c>
      <c r="O49">
        <v>58200</v>
      </c>
      <c r="P49">
        <v>931000</v>
      </c>
      <c r="Q49">
        <v>698200</v>
      </c>
      <c r="R49">
        <v>11200000</v>
      </c>
      <c r="S49">
        <v>500000</v>
      </c>
      <c r="T49">
        <v>2007</v>
      </c>
      <c r="U49" t="s">
        <v>991</v>
      </c>
      <c r="V49">
        <v>1</v>
      </c>
      <c r="W49">
        <v>28.1</v>
      </c>
      <c r="X49">
        <v>1366417754</v>
      </c>
      <c r="Y49">
        <v>5.36</v>
      </c>
      <c r="Z49">
        <v>471031528</v>
      </c>
      <c r="AA49">
        <v>20.593684</v>
      </c>
      <c r="AB49">
        <v>78.962879999999998</v>
      </c>
    </row>
    <row r="50" spans="1:28" x14ac:dyDescent="0.3">
      <c r="A50">
        <v>49</v>
      </c>
      <c r="B50" t="s">
        <v>822</v>
      </c>
      <c r="C50">
        <v>46800000</v>
      </c>
      <c r="D50">
        <v>19398045702</v>
      </c>
      <c r="E50" t="s">
        <v>988</v>
      </c>
      <c r="F50" t="s">
        <v>1033</v>
      </c>
      <c r="G50">
        <v>1</v>
      </c>
      <c r="H50" t="s">
        <v>987</v>
      </c>
      <c r="I50" t="s">
        <v>987</v>
      </c>
      <c r="J50" t="s">
        <v>977</v>
      </c>
      <c r="K50">
        <v>4047729</v>
      </c>
      <c r="L50" t="s">
        <v>987</v>
      </c>
      <c r="M50">
        <v>5525</v>
      </c>
      <c r="N50">
        <v>440</v>
      </c>
      <c r="O50">
        <v>0.11</v>
      </c>
      <c r="P50">
        <v>2</v>
      </c>
      <c r="Q50">
        <v>1</v>
      </c>
      <c r="R50">
        <v>21</v>
      </c>
      <c r="S50">
        <v>75</v>
      </c>
      <c r="T50">
        <v>2007</v>
      </c>
      <c r="U50" t="s">
        <v>1015</v>
      </c>
      <c r="V50">
        <v>21</v>
      </c>
      <c r="W50" t="s">
        <v>987</v>
      </c>
      <c r="X50" t="s">
        <v>987</v>
      </c>
      <c r="Y50" t="s">
        <v>987</v>
      </c>
      <c r="Z50" t="s">
        <v>987</v>
      </c>
      <c r="AA50" t="s">
        <v>987</v>
      </c>
      <c r="AB50" t="s">
        <v>987</v>
      </c>
    </row>
    <row r="51" spans="1:28" x14ac:dyDescent="0.3">
      <c r="A51">
        <v>50</v>
      </c>
      <c r="B51" t="s">
        <v>118</v>
      </c>
      <c r="C51">
        <v>46600000</v>
      </c>
      <c r="D51">
        <v>27286058807</v>
      </c>
      <c r="E51" t="s">
        <v>977</v>
      </c>
      <c r="F51" t="s">
        <v>118</v>
      </c>
      <c r="G51">
        <v>3444</v>
      </c>
      <c r="H51" t="s">
        <v>984</v>
      </c>
      <c r="I51" t="s">
        <v>985</v>
      </c>
      <c r="J51" t="s">
        <v>977</v>
      </c>
      <c r="K51">
        <v>55</v>
      </c>
      <c r="L51">
        <v>17</v>
      </c>
      <c r="M51">
        <v>22</v>
      </c>
      <c r="N51">
        <v>314505000</v>
      </c>
      <c r="O51">
        <v>78600</v>
      </c>
      <c r="P51">
        <v>1300000</v>
      </c>
      <c r="Q51">
        <v>943500</v>
      </c>
      <c r="R51">
        <v>15100000</v>
      </c>
      <c r="S51">
        <v>400000</v>
      </c>
      <c r="T51">
        <v>2009</v>
      </c>
      <c r="U51" t="s">
        <v>991</v>
      </c>
      <c r="V51">
        <v>2</v>
      </c>
      <c r="W51">
        <v>88.2</v>
      </c>
      <c r="X51">
        <v>328239523</v>
      </c>
      <c r="Y51">
        <v>14.7</v>
      </c>
      <c r="Z51">
        <v>270663028</v>
      </c>
      <c r="AA51">
        <v>37.090240000000001</v>
      </c>
      <c r="AB51">
        <v>-95.712890999999999</v>
      </c>
    </row>
    <row r="52" spans="1:28" x14ac:dyDescent="0.3">
      <c r="A52">
        <v>51</v>
      </c>
      <c r="B52" t="s">
        <v>831</v>
      </c>
      <c r="C52">
        <v>46300000</v>
      </c>
      <c r="D52">
        <v>22936630813</v>
      </c>
      <c r="E52" t="s">
        <v>996</v>
      </c>
      <c r="F52" t="s">
        <v>1034</v>
      </c>
      <c r="G52">
        <v>1</v>
      </c>
      <c r="H52" t="s">
        <v>1035</v>
      </c>
      <c r="I52" t="s">
        <v>1036</v>
      </c>
      <c r="J52" t="s">
        <v>1002</v>
      </c>
      <c r="K52">
        <v>4053056</v>
      </c>
      <c r="L52">
        <v>99</v>
      </c>
      <c r="M52">
        <v>5359</v>
      </c>
      <c r="N52">
        <v>94</v>
      </c>
      <c r="O52">
        <v>0.02</v>
      </c>
      <c r="P52">
        <v>0.38</v>
      </c>
      <c r="Q52">
        <v>0.28000000000000003</v>
      </c>
      <c r="R52">
        <v>5</v>
      </c>
      <c r="S52">
        <v>10</v>
      </c>
      <c r="T52">
        <v>2006</v>
      </c>
      <c r="U52" t="s">
        <v>980</v>
      </c>
      <c r="V52">
        <v>11</v>
      </c>
      <c r="W52">
        <v>41.4</v>
      </c>
      <c r="X52">
        <v>11333483</v>
      </c>
      <c r="Y52">
        <v>1.64</v>
      </c>
      <c r="Z52">
        <v>8739135</v>
      </c>
      <c r="AA52">
        <v>21.521757000000001</v>
      </c>
      <c r="AB52">
        <v>-77.781166999999996</v>
      </c>
    </row>
    <row r="53" spans="1:28" x14ac:dyDescent="0.3">
      <c r="A53">
        <v>52</v>
      </c>
      <c r="B53" t="s">
        <v>879</v>
      </c>
      <c r="C53">
        <v>46100000</v>
      </c>
      <c r="D53">
        <v>30686342319</v>
      </c>
      <c r="E53" t="s">
        <v>977</v>
      </c>
      <c r="F53" t="s">
        <v>1037</v>
      </c>
      <c r="G53">
        <v>1</v>
      </c>
      <c r="H53" t="s">
        <v>987</v>
      </c>
      <c r="I53" t="s">
        <v>987</v>
      </c>
      <c r="J53" t="s">
        <v>1004</v>
      </c>
      <c r="K53">
        <v>4046070</v>
      </c>
      <c r="L53" t="s">
        <v>987</v>
      </c>
      <c r="M53">
        <v>4501</v>
      </c>
      <c r="N53">
        <v>1</v>
      </c>
      <c r="O53">
        <v>0</v>
      </c>
      <c r="P53">
        <v>0</v>
      </c>
      <c r="Q53">
        <v>0</v>
      </c>
      <c r="R53">
        <v>0.05</v>
      </c>
      <c r="S53" t="s">
        <v>987</v>
      </c>
      <c r="T53">
        <v>2005</v>
      </c>
      <c r="U53" t="s">
        <v>1029</v>
      </c>
      <c r="V53">
        <v>15</v>
      </c>
      <c r="W53" t="s">
        <v>987</v>
      </c>
      <c r="X53" t="s">
        <v>987</v>
      </c>
      <c r="Y53" t="s">
        <v>987</v>
      </c>
      <c r="Z53" t="s">
        <v>987</v>
      </c>
      <c r="AA53" t="s">
        <v>987</v>
      </c>
      <c r="AB53" t="s">
        <v>987</v>
      </c>
    </row>
    <row r="54" spans="1:28" x14ac:dyDescent="0.3">
      <c r="A54">
        <v>53</v>
      </c>
      <c r="B54" t="s">
        <v>1038</v>
      </c>
      <c r="C54">
        <v>46100000</v>
      </c>
      <c r="D54">
        <v>10323391593</v>
      </c>
      <c r="E54" t="s">
        <v>996</v>
      </c>
      <c r="F54" t="s">
        <v>1038</v>
      </c>
      <c r="G54">
        <v>543</v>
      </c>
      <c r="H54" t="s">
        <v>1039</v>
      </c>
      <c r="I54" t="s">
        <v>1040</v>
      </c>
      <c r="J54" t="s">
        <v>986</v>
      </c>
      <c r="K54">
        <v>419</v>
      </c>
      <c r="L54">
        <v>1</v>
      </c>
      <c r="M54">
        <v>3</v>
      </c>
      <c r="N54">
        <v>33842000</v>
      </c>
      <c r="O54">
        <v>8500</v>
      </c>
      <c r="P54">
        <v>135400</v>
      </c>
      <c r="Q54">
        <v>101500</v>
      </c>
      <c r="R54">
        <v>1600000</v>
      </c>
      <c r="S54">
        <v>200000</v>
      </c>
      <c r="T54">
        <v>2011</v>
      </c>
      <c r="U54" t="s">
        <v>995</v>
      </c>
      <c r="V54">
        <v>2</v>
      </c>
      <c r="W54">
        <v>29.4</v>
      </c>
      <c r="X54">
        <v>6453553</v>
      </c>
      <c r="Y54">
        <v>4.1100000000000003</v>
      </c>
      <c r="Z54">
        <v>4694702</v>
      </c>
      <c r="AA54">
        <v>13.794185000000001</v>
      </c>
      <c r="AB54">
        <v>-88.896529999999998</v>
      </c>
    </row>
    <row r="55" spans="1:28" x14ac:dyDescent="0.3">
      <c r="A55">
        <v>54</v>
      </c>
      <c r="B55" t="s">
        <v>163</v>
      </c>
      <c r="C55">
        <v>45500000</v>
      </c>
      <c r="D55">
        <v>21388725229</v>
      </c>
      <c r="E55" t="s">
        <v>988</v>
      </c>
      <c r="F55" t="s">
        <v>163</v>
      </c>
      <c r="G55">
        <v>4660</v>
      </c>
      <c r="H55" t="s">
        <v>978</v>
      </c>
      <c r="I55" t="s">
        <v>979</v>
      </c>
      <c r="J55" t="s">
        <v>988</v>
      </c>
      <c r="K55">
        <v>105</v>
      </c>
      <c r="L55">
        <v>18</v>
      </c>
      <c r="M55">
        <v>13</v>
      </c>
      <c r="N55">
        <v>233988000</v>
      </c>
      <c r="O55">
        <v>58500</v>
      </c>
      <c r="P55">
        <v>936000</v>
      </c>
      <c r="Q55">
        <v>702000</v>
      </c>
      <c r="R55">
        <v>11200000</v>
      </c>
      <c r="S55">
        <v>400000</v>
      </c>
      <c r="T55">
        <v>2016</v>
      </c>
      <c r="U55" t="s">
        <v>1029</v>
      </c>
      <c r="V55">
        <v>23</v>
      </c>
      <c r="W55">
        <v>28.1</v>
      </c>
      <c r="X55">
        <v>1366417754</v>
      </c>
      <c r="Y55">
        <v>5.36</v>
      </c>
      <c r="Z55">
        <v>471031528</v>
      </c>
      <c r="AA55">
        <v>20.593684</v>
      </c>
      <c r="AB55">
        <v>78.962879999999998</v>
      </c>
    </row>
    <row r="56" spans="1:28" x14ac:dyDescent="0.3">
      <c r="A56">
        <v>55</v>
      </c>
      <c r="B56" t="s">
        <v>282</v>
      </c>
      <c r="C56">
        <v>45200000</v>
      </c>
      <c r="D56">
        <v>16602198273</v>
      </c>
      <c r="E56" t="s">
        <v>988</v>
      </c>
      <c r="F56" t="s">
        <v>282</v>
      </c>
      <c r="G56">
        <v>4331</v>
      </c>
      <c r="H56" t="s">
        <v>1019</v>
      </c>
      <c r="I56" t="s">
        <v>1020</v>
      </c>
      <c r="J56" t="s">
        <v>988</v>
      </c>
      <c r="K56">
        <v>174</v>
      </c>
      <c r="L56">
        <v>2</v>
      </c>
      <c r="M56">
        <v>14</v>
      </c>
      <c r="N56">
        <v>130359000</v>
      </c>
      <c r="O56">
        <v>32600</v>
      </c>
      <c r="P56">
        <v>521400</v>
      </c>
      <c r="Q56">
        <v>391100</v>
      </c>
      <c r="R56">
        <v>6300000</v>
      </c>
      <c r="S56">
        <v>200000</v>
      </c>
      <c r="T56">
        <v>2006</v>
      </c>
      <c r="U56" t="s">
        <v>995</v>
      </c>
      <c r="V56">
        <v>16</v>
      </c>
      <c r="W56">
        <v>51.3</v>
      </c>
      <c r="X56">
        <v>212559417</v>
      </c>
      <c r="Y56">
        <v>12.08</v>
      </c>
      <c r="Z56">
        <v>183241641</v>
      </c>
      <c r="AA56">
        <v>-14.235004</v>
      </c>
      <c r="AB56">
        <v>-51.925280000000001</v>
      </c>
    </row>
    <row r="57" spans="1:28" x14ac:dyDescent="0.3">
      <c r="A57">
        <v>56</v>
      </c>
      <c r="B57" t="s">
        <v>498</v>
      </c>
      <c r="C57">
        <v>44700000</v>
      </c>
      <c r="D57">
        <v>7828610828</v>
      </c>
      <c r="E57" t="s">
        <v>988</v>
      </c>
      <c r="F57" t="s">
        <v>498</v>
      </c>
      <c r="G57">
        <v>1558</v>
      </c>
      <c r="H57" t="s">
        <v>1019</v>
      </c>
      <c r="I57" t="s">
        <v>1020</v>
      </c>
      <c r="J57" t="s">
        <v>988</v>
      </c>
      <c r="K57">
        <v>681</v>
      </c>
      <c r="L57">
        <v>3</v>
      </c>
      <c r="M57">
        <v>15</v>
      </c>
      <c r="N57">
        <v>48032000</v>
      </c>
      <c r="O57">
        <v>12000</v>
      </c>
      <c r="P57">
        <v>192100</v>
      </c>
      <c r="Q57">
        <v>144100</v>
      </c>
      <c r="R57">
        <v>2300000</v>
      </c>
      <c r="S57">
        <v>100000</v>
      </c>
      <c r="T57">
        <v>2013</v>
      </c>
      <c r="U57" t="s">
        <v>991</v>
      </c>
      <c r="V57">
        <v>1</v>
      </c>
      <c r="W57">
        <v>51.3</v>
      </c>
      <c r="X57">
        <v>212559417</v>
      </c>
      <c r="Y57">
        <v>12.08</v>
      </c>
      <c r="Z57">
        <v>183241641</v>
      </c>
      <c r="AA57">
        <v>-14.235004</v>
      </c>
      <c r="AB57">
        <v>-51.925280000000001</v>
      </c>
    </row>
    <row r="58" spans="1:28" x14ac:dyDescent="0.3">
      <c r="A58">
        <v>57</v>
      </c>
      <c r="B58" t="s">
        <v>14</v>
      </c>
      <c r="C58">
        <v>44600000</v>
      </c>
      <c r="D58">
        <v>41139050371</v>
      </c>
      <c r="E58" t="s">
        <v>988</v>
      </c>
      <c r="F58" t="s">
        <v>14</v>
      </c>
      <c r="G58">
        <v>100755</v>
      </c>
      <c r="H58" t="s">
        <v>1041</v>
      </c>
      <c r="I58" t="s">
        <v>1042</v>
      </c>
      <c r="J58" t="s">
        <v>988</v>
      </c>
      <c r="K58">
        <v>20</v>
      </c>
      <c r="L58">
        <v>1</v>
      </c>
      <c r="M58">
        <v>15</v>
      </c>
      <c r="N58">
        <v>1337000000</v>
      </c>
      <c r="O58">
        <v>334300</v>
      </c>
      <c r="P58">
        <v>5300000</v>
      </c>
      <c r="Q58">
        <v>4000000</v>
      </c>
      <c r="R58">
        <v>64200000</v>
      </c>
      <c r="S58">
        <v>1300000</v>
      </c>
      <c r="T58">
        <v>2008</v>
      </c>
      <c r="U58" t="s">
        <v>1003</v>
      </c>
      <c r="V58">
        <v>2</v>
      </c>
      <c r="W58">
        <v>9</v>
      </c>
      <c r="X58">
        <v>216565318</v>
      </c>
      <c r="Y58">
        <v>4.45</v>
      </c>
      <c r="Z58">
        <v>79927762</v>
      </c>
      <c r="AA58">
        <v>30.375321</v>
      </c>
      <c r="AB58">
        <v>69.345116000000004</v>
      </c>
    </row>
    <row r="59" spans="1:28" x14ac:dyDescent="0.3">
      <c r="A59">
        <v>58</v>
      </c>
      <c r="B59" t="s">
        <v>924</v>
      </c>
      <c r="C59">
        <v>44500000</v>
      </c>
      <c r="D59">
        <v>10708531817</v>
      </c>
      <c r="E59" t="s">
        <v>1011</v>
      </c>
      <c r="F59" t="s">
        <v>1043</v>
      </c>
      <c r="G59">
        <v>0</v>
      </c>
      <c r="H59" t="s">
        <v>987</v>
      </c>
      <c r="I59" t="s">
        <v>987</v>
      </c>
      <c r="J59" t="s">
        <v>987</v>
      </c>
      <c r="K59">
        <v>4057944</v>
      </c>
      <c r="L59" t="s">
        <v>987</v>
      </c>
      <c r="M59" t="s">
        <v>987</v>
      </c>
      <c r="N59" t="s">
        <v>987</v>
      </c>
      <c r="O59">
        <v>0</v>
      </c>
      <c r="P59">
        <v>0</v>
      </c>
      <c r="Q59">
        <v>0</v>
      </c>
      <c r="R59">
        <v>0</v>
      </c>
      <c r="S59">
        <v>1</v>
      </c>
      <c r="T59">
        <v>2005</v>
      </c>
      <c r="U59" t="s">
        <v>1029</v>
      </c>
      <c r="V59">
        <v>18</v>
      </c>
      <c r="W59" t="s">
        <v>987</v>
      </c>
      <c r="X59" t="s">
        <v>987</v>
      </c>
      <c r="Y59" t="s">
        <v>987</v>
      </c>
      <c r="Z59" t="s">
        <v>987</v>
      </c>
      <c r="AA59" t="s">
        <v>987</v>
      </c>
      <c r="AB59" t="s">
        <v>987</v>
      </c>
    </row>
    <row r="60" spans="1:28" x14ac:dyDescent="0.3">
      <c r="A60">
        <v>59</v>
      </c>
      <c r="B60" t="s">
        <v>276</v>
      </c>
      <c r="C60">
        <v>44200000</v>
      </c>
      <c r="D60">
        <v>25458952022</v>
      </c>
      <c r="E60" t="s">
        <v>977</v>
      </c>
      <c r="F60" t="s">
        <v>276</v>
      </c>
      <c r="G60">
        <v>128</v>
      </c>
      <c r="H60" t="s">
        <v>984</v>
      </c>
      <c r="I60" t="s">
        <v>985</v>
      </c>
      <c r="J60" t="s">
        <v>977</v>
      </c>
      <c r="K60">
        <v>70</v>
      </c>
      <c r="L60">
        <v>19</v>
      </c>
      <c r="M60">
        <v>24</v>
      </c>
      <c r="N60">
        <v>134242000</v>
      </c>
      <c r="O60">
        <v>33600</v>
      </c>
      <c r="P60">
        <v>537000</v>
      </c>
      <c r="Q60">
        <v>402700</v>
      </c>
      <c r="R60">
        <v>6400000</v>
      </c>
      <c r="S60">
        <v>100000</v>
      </c>
      <c r="T60">
        <v>2008</v>
      </c>
      <c r="U60" t="s">
        <v>1008</v>
      </c>
      <c r="V60">
        <v>1</v>
      </c>
      <c r="W60">
        <v>88.2</v>
      </c>
      <c r="X60">
        <v>328239523</v>
      </c>
      <c r="Y60">
        <v>14.7</v>
      </c>
      <c r="Z60">
        <v>270663028</v>
      </c>
      <c r="AA60">
        <v>37.090240000000001</v>
      </c>
      <c r="AB60">
        <v>-95.712890999999999</v>
      </c>
    </row>
    <row r="61" spans="1:28" x14ac:dyDescent="0.3">
      <c r="A61">
        <v>60</v>
      </c>
      <c r="B61" t="s">
        <v>613</v>
      </c>
      <c r="C61">
        <v>44200000</v>
      </c>
      <c r="D61">
        <v>4274709210</v>
      </c>
      <c r="E61" t="s">
        <v>1044</v>
      </c>
      <c r="F61" t="s">
        <v>613</v>
      </c>
      <c r="G61">
        <v>558</v>
      </c>
      <c r="H61" t="s">
        <v>1019</v>
      </c>
      <c r="I61" t="s">
        <v>1020</v>
      </c>
      <c r="J61" t="s">
        <v>1044</v>
      </c>
      <c r="K61">
        <v>1741</v>
      </c>
      <c r="L61">
        <v>4</v>
      </c>
      <c r="M61">
        <v>1</v>
      </c>
      <c r="N61">
        <v>26683000</v>
      </c>
      <c r="O61">
        <v>6700</v>
      </c>
      <c r="P61">
        <v>106700</v>
      </c>
      <c r="Q61">
        <v>80100</v>
      </c>
      <c r="R61">
        <v>1300000</v>
      </c>
      <c r="S61" t="s">
        <v>987</v>
      </c>
      <c r="T61">
        <v>2013</v>
      </c>
      <c r="U61" t="s">
        <v>1003</v>
      </c>
      <c r="V61">
        <v>21</v>
      </c>
      <c r="W61">
        <v>51.3</v>
      </c>
      <c r="X61">
        <v>212559417</v>
      </c>
      <c r="Y61">
        <v>12.08</v>
      </c>
      <c r="Z61">
        <v>183241641</v>
      </c>
      <c r="AA61">
        <v>-14.235004</v>
      </c>
      <c r="AB61">
        <v>-51.925280000000001</v>
      </c>
    </row>
    <row r="62" spans="1:28" x14ac:dyDescent="0.3">
      <c r="A62">
        <v>61</v>
      </c>
      <c r="B62" t="s">
        <v>213</v>
      </c>
      <c r="C62">
        <v>44200000</v>
      </c>
      <c r="D62">
        <v>50292540392</v>
      </c>
      <c r="E62" t="s">
        <v>994</v>
      </c>
      <c r="F62" t="s">
        <v>213</v>
      </c>
      <c r="G62">
        <v>193890</v>
      </c>
      <c r="H62" t="s">
        <v>1045</v>
      </c>
      <c r="I62" t="s">
        <v>1046</v>
      </c>
      <c r="J62" t="s">
        <v>988</v>
      </c>
      <c r="K62">
        <v>16</v>
      </c>
      <c r="L62">
        <v>1</v>
      </c>
      <c r="M62">
        <v>16</v>
      </c>
      <c r="N62">
        <v>176629000</v>
      </c>
      <c r="O62">
        <v>44200</v>
      </c>
      <c r="P62">
        <v>706500</v>
      </c>
      <c r="Q62">
        <v>529900</v>
      </c>
      <c r="R62">
        <v>8500000</v>
      </c>
      <c r="S62">
        <v>300000</v>
      </c>
      <c r="T62">
        <v>2008</v>
      </c>
      <c r="U62" t="s">
        <v>1015</v>
      </c>
      <c r="V62">
        <v>16</v>
      </c>
      <c r="W62">
        <v>35.5</v>
      </c>
      <c r="X62">
        <v>108116615</v>
      </c>
      <c r="Y62">
        <v>2.15</v>
      </c>
      <c r="Z62">
        <v>50975903</v>
      </c>
      <c r="AA62">
        <v>12.879721</v>
      </c>
      <c r="AB62">
        <v>121.774017</v>
      </c>
    </row>
    <row r="63" spans="1:28" x14ac:dyDescent="0.3">
      <c r="A63">
        <v>62</v>
      </c>
      <c r="B63" t="s">
        <v>842</v>
      </c>
      <c r="C63">
        <v>43700000</v>
      </c>
      <c r="D63">
        <v>12884264778</v>
      </c>
      <c r="E63" t="s">
        <v>977</v>
      </c>
      <c r="F63" t="s">
        <v>1047</v>
      </c>
      <c r="G63">
        <v>8</v>
      </c>
      <c r="H63" t="s">
        <v>1048</v>
      </c>
      <c r="I63" t="s">
        <v>1049</v>
      </c>
      <c r="J63" t="s">
        <v>1022</v>
      </c>
      <c r="K63">
        <v>4056116</v>
      </c>
      <c r="L63">
        <v>4026</v>
      </c>
      <c r="M63">
        <v>5270</v>
      </c>
      <c r="N63">
        <v>22</v>
      </c>
      <c r="O63">
        <v>0.01</v>
      </c>
      <c r="P63">
        <v>0.09</v>
      </c>
      <c r="Q63">
        <v>7.0000000000000007E-2</v>
      </c>
      <c r="R63">
        <v>1</v>
      </c>
      <c r="S63" t="s">
        <v>987</v>
      </c>
      <c r="T63">
        <v>2006</v>
      </c>
      <c r="U63" t="s">
        <v>995</v>
      </c>
      <c r="V63">
        <v>12</v>
      </c>
      <c r="W63">
        <v>49.3</v>
      </c>
      <c r="X63">
        <v>69625582</v>
      </c>
      <c r="Y63">
        <v>0.75</v>
      </c>
      <c r="Z63">
        <v>35294600</v>
      </c>
      <c r="AA63">
        <v>15.870032</v>
      </c>
      <c r="AB63">
        <v>100.992541</v>
      </c>
    </row>
    <row r="64" spans="1:28" x14ac:dyDescent="0.3">
      <c r="A64">
        <v>63</v>
      </c>
      <c r="B64" t="s">
        <v>857</v>
      </c>
      <c r="C64">
        <v>43600000</v>
      </c>
      <c r="D64">
        <v>4831311245</v>
      </c>
      <c r="E64" t="s">
        <v>988</v>
      </c>
      <c r="F64" t="s">
        <v>1050</v>
      </c>
      <c r="G64">
        <v>6</v>
      </c>
      <c r="H64" t="s">
        <v>987</v>
      </c>
      <c r="I64" t="s">
        <v>987</v>
      </c>
      <c r="J64" t="s">
        <v>1002</v>
      </c>
      <c r="K64">
        <v>4047806</v>
      </c>
      <c r="L64" t="s">
        <v>987</v>
      </c>
      <c r="M64">
        <v>7716</v>
      </c>
      <c r="N64">
        <v>4</v>
      </c>
      <c r="O64">
        <v>0</v>
      </c>
      <c r="P64">
        <v>0.02</v>
      </c>
      <c r="Q64">
        <v>0.01</v>
      </c>
      <c r="R64">
        <v>0.19</v>
      </c>
      <c r="S64" t="s">
        <v>987</v>
      </c>
      <c r="T64">
        <v>2016</v>
      </c>
      <c r="U64" t="s">
        <v>995</v>
      </c>
      <c r="V64">
        <v>27</v>
      </c>
      <c r="W64" t="s">
        <v>987</v>
      </c>
      <c r="X64" t="s">
        <v>987</v>
      </c>
      <c r="Y64" t="s">
        <v>987</v>
      </c>
      <c r="Z64" t="s">
        <v>987</v>
      </c>
      <c r="AA64" t="s">
        <v>987</v>
      </c>
      <c r="AB64" t="s">
        <v>987</v>
      </c>
    </row>
    <row r="65" spans="1:28" x14ac:dyDescent="0.3">
      <c r="A65">
        <v>64</v>
      </c>
      <c r="B65" t="s">
        <v>98</v>
      </c>
      <c r="C65">
        <v>43500000</v>
      </c>
      <c r="D65">
        <v>27568757295</v>
      </c>
      <c r="E65" t="s">
        <v>994</v>
      </c>
      <c r="F65" t="s">
        <v>98</v>
      </c>
      <c r="G65">
        <v>326</v>
      </c>
      <c r="H65" t="s">
        <v>1051</v>
      </c>
      <c r="I65" t="s">
        <v>1052</v>
      </c>
      <c r="J65" t="s">
        <v>1053</v>
      </c>
      <c r="K65">
        <v>52</v>
      </c>
      <c r="L65">
        <v>1</v>
      </c>
      <c r="M65">
        <v>3</v>
      </c>
      <c r="N65">
        <v>353412000</v>
      </c>
      <c r="O65">
        <v>88400</v>
      </c>
      <c r="P65">
        <v>1400000</v>
      </c>
      <c r="Q65">
        <v>1100000</v>
      </c>
      <c r="R65">
        <v>17000000</v>
      </c>
      <c r="S65">
        <v>500000</v>
      </c>
      <c r="T65">
        <v>2005</v>
      </c>
      <c r="U65" t="s">
        <v>1025</v>
      </c>
      <c r="V65">
        <v>16</v>
      </c>
      <c r="W65">
        <v>55.3</v>
      </c>
      <c r="X65">
        <v>50339443</v>
      </c>
      <c r="Y65">
        <v>9.7100000000000009</v>
      </c>
      <c r="Z65">
        <v>40827302</v>
      </c>
      <c r="AA65">
        <v>4.5708679999999999</v>
      </c>
      <c r="AB65">
        <v>-74.297332999999995</v>
      </c>
    </row>
    <row r="66" spans="1:28" x14ac:dyDescent="0.3">
      <c r="A66">
        <v>65</v>
      </c>
      <c r="B66" t="s">
        <v>1054</v>
      </c>
      <c r="C66">
        <v>43200000</v>
      </c>
      <c r="D66">
        <v>36458726976</v>
      </c>
      <c r="E66" t="s">
        <v>982</v>
      </c>
      <c r="F66" t="s">
        <v>1054</v>
      </c>
      <c r="G66">
        <v>1478</v>
      </c>
      <c r="H66" t="s">
        <v>1000</v>
      </c>
      <c r="I66" t="s">
        <v>1001</v>
      </c>
      <c r="J66" t="s">
        <v>990</v>
      </c>
      <c r="K66">
        <v>26</v>
      </c>
      <c r="L66">
        <v>2</v>
      </c>
      <c r="M66">
        <v>6</v>
      </c>
      <c r="N66">
        <v>303780000</v>
      </c>
      <c r="O66">
        <v>75900</v>
      </c>
      <c r="P66">
        <v>1200000</v>
      </c>
      <c r="Q66">
        <v>911300</v>
      </c>
      <c r="R66">
        <v>14600000</v>
      </c>
      <c r="S66">
        <v>300000</v>
      </c>
      <c r="T66">
        <v>2011</v>
      </c>
      <c r="U66" t="s">
        <v>995</v>
      </c>
      <c r="V66">
        <v>31</v>
      </c>
      <c r="W66">
        <v>81.900000000000006</v>
      </c>
      <c r="X66">
        <v>144373535</v>
      </c>
      <c r="Y66">
        <v>4.59</v>
      </c>
      <c r="Z66">
        <v>107683889</v>
      </c>
      <c r="AA66">
        <v>61.524009999999997</v>
      </c>
      <c r="AB66">
        <v>105.31875599999999</v>
      </c>
    </row>
    <row r="67" spans="1:28" x14ac:dyDescent="0.3">
      <c r="A67">
        <v>66</v>
      </c>
      <c r="B67" t="s">
        <v>20</v>
      </c>
      <c r="C67">
        <v>43200000</v>
      </c>
      <c r="D67">
        <v>37939780685</v>
      </c>
      <c r="E67" t="s">
        <v>988</v>
      </c>
      <c r="F67" t="s">
        <v>20</v>
      </c>
      <c r="G67">
        <v>109871</v>
      </c>
      <c r="H67" t="s">
        <v>1041</v>
      </c>
      <c r="I67" t="s">
        <v>1042</v>
      </c>
      <c r="J67" t="s">
        <v>988</v>
      </c>
      <c r="K67">
        <v>24</v>
      </c>
      <c r="L67">
        <v>2</v>
      </c>
      <c r="M67">
        <v>18</v>
      </c>
      <c r="N67">
        <v>1149000000</v>
      </c>
      <c r="O67">
        <v>287300</v>
      </c>
      <c r="P67">
        <v>4600000</v>
      </c>
      <c r="Q67">
        <v>3400000</v>
      </c>
      <c r="R67">
        <v>55200000</v>
      </c>
      <c r="S67">
        <v>900000</v>
      </c>
      <c r="T67">
        <v>2016</v>
      </c>
      <c r="U67" t="s">
        <v>1015</v>
      </c>
      <c r="V67">
        <v>11</v>
      </c>
      <c r="W67">
        <v>9</v>
      </c>
      <c r="X67">
        <v>216565318</v>
      </c>
      <c r="Y67">
        <v>4.45</v>
      </c>
      <c r="Z67">
        <v>79927762</v>
      </c>
      <c r="AA67">
        <v>30.375321</v>
      </c>
      <c r="AB67">
        <v>69.345116000000004</v>
      </c>
    </row>
    <row r="68" spans="1:28" x14ac:dyDescent="0.3">
      <c r="A68">
        <v>67</v>
      </c>
      <c r="B68" t="s">
        <v>233</v>
      </c>
      <c r="C68">
        <v>42500000</v>
      </c>
      <c r="D68">
        <v>26820902622</v>
      </c>
      <c r="E68" t="s">
        <v>977</v>
      </c>
      <c r="F68" t="s">
        <v>233</v>
      </c>
      <c r="G68">
        <v>10938</v>
      </c>
      <c r="H68" t="s">
        <v>978</v>
      </c>
      <c r="I68" t="s">
        <v>979</v>
      </c>
      <c r="J68" t="s">
        <v>977</v>
      </c>
      <c r="K68">
        <v>62</v>
      </c>
      <c r="L68">
        <v>19</v>
      </c>
      <c r="M68">
        <v>26</v>
      </c>
      <c r="N68">
        <v>159757000</v>
      </c>
      <c r="O68">
        <v>39900</v>
      </c>
      <c r="P68">
        <v>639000</v>
      </c>
      <c r="Q68">
        <v>479300</v>
      </c>
      <c r="R68">
        <v>7700000</v>
      </c>
      <c r="S68">
        <v>100000</v>
      </c>
      <c r="T68">
        <v>2012</v>
      </c>
      <c r="U68" t="s">
        <v>1029</v>
      </c>
      <c r="V68">
        <v>22</v>
      </c>
      <c r="W68">
        <v>28.1</v>
      </c>
      <c r="X68">
        <v>1366417754</v>
      </c>
      <c r="Y68">
        <v>5.36</v>
      </c>
      <c r="Z68">
        <v>471031528</v>
      </c>
      <c r="AA68">
        <v>20.593684</v>
      </c>
      <c r="AB68">
        <v>78.962879999999998</v>
      </c>
    </row>
    <row r="69" spans="1:28" x14ac:dyDescent="0.3">
      <c r="A69">
        <v>68</v>
      </c>
      <c r="B69" t="s">
        <v>42</v>
      </c>
      <c r="C69">
        <v>42400000</v>
      </c>
      <c r="D69">
        <v>24519022988</v>
      </c>
      <c r="E69" t="s">
        <v>992</v>
      </c>
      <c r="F69" t="s">
        <v>42</v>
      </c>
      <c r="G69">
        <v>1218</v>
      </c>
      <c r="H69" t="s">
        <v>984</v>
      </c>
      <c r="I69" t="s">
        <v>985</v>
      </c>
      <c r="J69" t="s">
        <v>1022</v>
      </c>
      <c r="K69">
        <v>74</v>
      </c>
      <c r="L69">
        <v>20</v>
      </c>
      <c r="M69">
        <v>5</v>
      </c>
      <c r="N69">
        <v>670459000</v>
      </c>
      <c r="O69">
        <v>167600</v>
      </c>
      <c r="P69">
        <v>2700000</v>
      </c>
      <c r="Q69">
        <v>2000000</v>
      </c>
      <c r="R69">
        <v>32200000</v>
      </c>
      <c r="S69">
        <v>1000000</v>
      </c>
      <c r="T69">
        <v>2014</v>
      </c>
      <c r="U69" t="s">
        <v>991</v>
      </c>
      <c r="V69">
        <v>17</v>
      </c>
      <c r="W69">
        <v>88.2</v>
      </c>
      <c r="X69">
        <v>328239523</v>
      </c>
      <c r="Y69">
        <v>14.7</v>
      </c>
      <c r="Z69">
        <v>270663028</v>
      </c>
      <c r="AA69">
        <v>37.090240000000001</v>
      </c>
      <c r="AB69">
        <v>-95.712890999999999</v>
      </c>
    </row>
    <row r="70" spans="1:28" x14ac:dyDescent="0.3">
      <c r="A70">
        <v>69</v>
      </c>
      <c r="B70" t="s">
        <v>474</v>
      </c>
      <c r="C70">
        <v>42400000</v>
      </c>
      <c r="D70">
        <v>19547696190</v>
      </c>
      <c r="E70" t="s">
        <v>988</v>
      </c>
      <c r="F70" t="s">
        <v>474</v>
      </c>
      <c r="G70">
        <v>618</v>
      </c>
      <c r="H70" t="s">
        <v>984</v>
      </c>
      <c r="I70" t="s">
        <v>985</v>
      </c>
      <c r="J70" t="s">
        <v>988</v>
      </c>
      <c r="K70">
        <v>128</v>
      </c>
      <c r="L70">
        <v>21</v>
      </c>
      <c r="M70">
        <v>19</v>
      </c>
      <c r="N70">
        <v>53202000</v>
      </c>
      <c r="O70">
        <v>13300</v>
      </c>
      <c r="P70">
        <v>212800</v>
      </c>
      <c r="Q70">
        <v>159600</v>
      </c>
      <c r="R70">
        <v>2600000</v>
      </c>
      <c r="S70" t="s">
        <v>987</v>
      </c>
      <c r="T70">
        <v>2017</v>
      </c>
      <c r="U70" t="s">
        <v>1029</v>
      </c>
      <c r="V70">
        <v>14</v>
      </c>
      <c r="W70">
        <v>88.2</v>
      </c>
      <c r="X70">
        <v>328239523</v>
      </c>
      <c r="Y70">
        <v>14.7</v>
      </c>
      <c r="Z70">
        <v>270663028</v>
      </c>
      <c r="AA70">
        <v>37.090240000000001</v>
      </c>
      <c r="AB70">
        <v>-95.712890999999999</v>
      </c>
    </row>
    <row r="71" spans="1:28" x14ac:dyDescent="0.3">
      <c r="A71">
        <v>70</v>
      </c>
      <c r="B71" t="s">
        <v>201</v>
      </c>
      <c r="C71">
        <v>41900000</v>
      </c>
      <c r="D71">
        <v>22477745835</v>
      </c>
      <c r="E71" t="s">
        <v>988</v>
      </c>
      <c r="F71" t="s">
        <v>201</v>
      </c>
      <c r="G71">
        <v>84</v>
      </c>
      <c r="H71" t="s">
        <v>1055</v>
      </c>
      <c r="I71" t="s">
        <v>1056</v>
      </c>
      <c r="J71" t="s">
        <v>977</v>
      </c>
      <c r="K71">
        <v>98</v>
      </c>
      <c r="L71">
        <v>1</v>
      </c>
      <c r="M71">
        <v>27</v>
      </c>
      <c r="N71">
        <v>182926000</v>
      </c>
      <c r="O71">
        <v>45700</v>
      </c>
      <c r="P71">
        <v>731700</v>
      </c>
      <c r="Q71">
        <v>548800</v>
      </c>
      <c r="R71">
        <v>8800000</v>
      </c>
      <c r="S71">
        <v>100000</v>
      </c>
      <c r="T71">
        <v>2005</v>
      </c>
      <c r="U71" t="s">
        <v>1029</v>
      </c>
      <c r="V71">
        <v>6</v>
      </c>
      <c r="W71">
        <v>65.400000000000006</v>
      </c>
      <c r="X71">
        <v>287025</v>
      </c>
      <c r="Y71">
        <v>10.33</v>
      </c>
      <c r="Z71">
        <v>89431</v>
      </c>
      <c r="AA71">
        <v>13.193887</v>
      </c>
      <c r="AB71">
        <v>-59.543197999999997</v>
      </c>
    </row>
    <row r="72" spans="1:28" x14ac:dyDescent="0.3">
      <c r="A72">
        <v>71</v>
      </c>
      <c r="B72" t="s">
        <v>204</v>
      </c>
      <c r="C72">
        <v>41400000</v>
      </c>
      <c r="D72">
        <v>17608931161</v>
      </c>
      <c r="E72" t="s">
        <v>1057</v>
      </c>
      <c r="F72" t="s">
        <v>204</v>
      </c>
      <c r="G72">
        <v>4510</v>
      </c>
      <c r="H72" t="s">
        <v>978</v>
      </c>
      <c r="I72" t="s">
        <v>979</v>
      </c>
      <c r="J72" t="s">
        <v>977</v>
      </c>
      <c r="K72">
        <v>155</v>
      </c>
      <c r="L72">
        <v>20</v>
      </c>
      <c r="M72">
        <v>28</v>
      </c>
      <c r="N72">
        <v>180942000</v>
      </c>
      <c r="O72">
        <v>45200</v>
      </c>
      <c r="P72">
        <v>723800</v>
      </c>
      <c r="Q72">
        <v>542800</v>
      </c>
      <c r="R72">
        <v>8700000</v>
      </c>
      <c r="S72">
        <v>400000</v>
      </c>
      <c r="T72">
        <v>2005</v>
      </c>
      <c r="U72" t="s">
        <v>991</v>
      </c>
      <c r="V72">
        <v>22</v>
      </c>
      <c r="W72">
        <v>28.1</v>
      </c>
      <c r="X72">
        <v>1366417754</v>
      </c>
      <c r="Y72">
        <v>5.36</v>
      </c>
      <c r="Z72">
        <v>471031528</v>
      </c>
      <c r="AA72">
        <v>20.593684</v>
      </c>
      <c r="AB72">
        <v>78.962879999999998</v>
      </c>
    </row>
    <row r="73" spans="1:28" x14ac:dyDescent="0.3">
      <c r="A73">
        <v>72</v>
      </c>
      <c r="B73" t="s">
        <v>267</v>
      </c>
      <c r="C73">
        <v>41300000</v>
      </c>
      <c r="D73">
        <v>5603111948</v>
      </c>
      <c r="E73" t="s">
        <v>994</v>
      </c>
      <c r="F73" t="s">
        <v>267</v>
      </c>
      <c r="G73">
        <v>291</v>
      </c>
      <c r="H73" t="s">
        <v>1058</v>
      </c>
      <c r="I73" t="s">
        <v>1059</v>
      </c>
      <c r="J73" t="s">
        <v>1002</v>
      </c>
      <c r="K73">
        <v>1157</v>
      </c>
      <c r="L73">
        <v>2</v>
      </c>
      <c r="M73">
        <v>1</v>
      </c>
      <c r="N73">
        <v>136745000</v>
      </c>
      <c r="O73">
        <v>34200</v>
      </c>
      <c r="P73">
        <v>547000</v>
      </c>
      <c r="Q73">
        <v>410200</v>
      </c>
      <c r="R73">
        <v>6600000</v>
      </c>
      <c r="S73">
        <v>400000</v>
      </c>
      <c r="T73">
        <v>2016</v>
      </c>
      <c r="U73" t="s">
        <v>1029</v>
      </c>
      <c r="V73">
        <v>16</v>
      </c>
      <c r="W73">
        <v>40.200000000000003</v>
      </c>
      <c r="X73">
        <v>126014024</v>
      </c>
      <c r="Y73">
        <v>3.42</v>
      </c>
      <c r="Z73">
        <v>102626859</v>
      </c>
      <c r="AA73">
        <v>23.634501</v>
      </c>
      <c r="AB73">
        <v>-102.552784</v>
      </c>
    </row>
    <row r="74" spans="1:28" x14ac:dyDescent="0.3">
      <c r="A74">
        <v>73</v>
      </c>
      <c r="B74" t="s">
        <v>350</v>
      </c>
      <c r="C74">
        <v>40900000</v>
      </c>
      <c r="D74">
        <v>39450824833</v>
      </c>
      <c r="E74" t="s">
        <v>990</v>
      </c>
      <c r="F74" t="s">
        <v>350</v>
      </c>
      <c r="G74">
        <v>2423</v>
      </c>
      <c r="H74" t="s">
        <v>984</v>
      </c>
      <c r="I74" t="s">
        <v>985</v>
      </c>
      <c r="J74" t="s">
        <v>990</v>
      </c>
      <c r="K74">
        <v>22</v>
      </c>
      <c r="L74">
        <v>22</v>
      </c>
      <c r="M74">
        <v>7</v>
      </c>
      <c r="N74">
        <v>98775000</v>
      </c>
      <c r="O74">
        <v>24700</v>
      </c>
      <c r="P74">
        <v>395100</v>
      </c>
      <c r="Q74">
        <v>296300</v>
      </c>
      <c r="R74">
        <v>4700000</v>
      </c>
      <c r="S74">
        <v>100000</v>
      </c>
      <c r="T74">
        <v>2011</v>
      </c>
      <c r="U74" t="s">
        <v>1008</v>
      </c>
      <c r="V74">
        <v>22</v>
      </c>
      <c r="W74">
        <v>88.2</v>
      </c>
      <c r="X74">
        <v>328239523</v>
      </c>
      <c r="Y74">
        <v>14.7</v>
      </c>
      <c r="Z74">
        <v>270663028</v>
      </c>
      <c r="AA74">
        <v>37.090240000000001</v>
      </c>
      <c r="AB74">
        <v>-95.712890999999999</v>
      </c>
    </row>
    <row r="75" spans="1:28" x14ac:dyDescent="0.3">
      <c r="A75">
        <v>74</v>
      </c>
      <c r="B75" t="s">
        <v>906</v>
      </c>
      <c r="C75">
        <v>40600000</v>
      </c>
      <c r="D75">
        <v>8670473639</v>
      </c>
      <c r="E75" t="s">
        <v>1044</v>
      </c>
      <c r="F75" t="s">
        <v>1060</v>
      </c>
      <c r="G75">
        <v>0</v>
      </c>
      <c r="H75" t="s">
        <v>1058</v>
      </c>
      <c r="I75" t="s">
        <v>1059</v>
      </c>
      <c r="J75" t="s">
        <v>1044</v>
      </c>
      <c r="K75">
        <v>3612215</v>
      </c>
      <c r="L75">
        <v>3021</v>
      </c>
      <c r="M75" t="s">
        <v>987</v>
      </c>
      <c r="N75" t="s">
        <v>987</v>
      </c>
      <c r="O75">
        <v>0</v>
      </c>
      <c r="P75">
        <v>0</v>
      </c>
      <c r="Q75">
        <v>0</v>
      </c>
      <c r="R75">
        <v>0</v>
      </c>
      <c r="S75" t="s">
        <v>987</v>
      </c>
      <c r="T75">
        <v>2010</v>
      </c>
      <c r="U75" t="s">
        <v>1008</v>
      </c>
      <c r="V75">
        <v>18</v>
      </c>
      <c r="W75">
        <v>40.200000000000003</v>
      </c>
      <c r="X75">
        <v>126014024</v>
      </c>
      <c r="Y75">
        <v>3.42</v>
      </c>
      <c r="Z75">
        <v>102626859</v>
      </c>
      <c r="AA75">
        <v>23.634501</v>
      </c>
      <c r="AB75">
        <v>-102.552784</v>
      </c>
    </row>
    <row r="76" spans="1:28" x14ac:dyDescent="0.3">
      <c r="A76">
        <v>75</v>
      </c>
      <c r="B76" t="s">
        <v>754</v>
      </c>
      <c r="C76">
        <v>40400000</v>
      </c>
      <c r="D76">
        <v>7410536668</v>
      </c>
      <c r="E76" t="s">
        <v>996</v>
      </c>
      <c r="F76" t="s">
        <v>754</v>
      </c>
      <c r="G76">
        <v>703</v>
      </c>
      <c r="H76" t="s">
        <v>987</v>
      </c>
      <c r="I76" t="s">
        <v>987</v>
      </c>
      <c r="J76" t="s">
        <v>988</v>
      </c>
      <c r="K76">
        <v>756</v>
      </c>
      <c r="L76" t="s">
        <v>987</v>
      </c>
      <c r="M76">
        <v>21</v>
      </c>
      <c r="N76">
        <v>5773000</v>
      </c>
      <c r="O76">
        <v>1400</v>
      </c>
      <c r="P76">
        <v>23100</v>
      </c>
      <c r="Q76">
        <v>17300</v>
      </c>
      <c r="R76">
        <v>277100</v>
      </c>
      <c r="S76" t="s">
        <v>987</v>
      </c>
      <c r="T76">
        <v>2011</v>
      </c>
      <c r="U76" t="s">
        <v>1005</v>
      </c>
      <c r="V76">
        <v>20</v>
      </c>
      <c r="W76" t="s">
        <v>987</v>
      </c>
      <c r="X76" t="s">
        <v>987</v>
      </c>
      <c r="Y76" t="s">
        <v>987</v>
      </c>
      <c r="Z76" t="s">
        <v>987</v>
      </c>
      <c r="AA76" t="s">
        <v>987</v>
      </c>
      <c r="AB76" t="s">
        <v>987</v>
      </c>
    </row>
    <row r="77" spans="1:28" x14ac:dyDescent="0.3">
      <c r="A77">
        <v>76</v>
      </c>
      <c r="B77" t="s">
        <v>853</v>
      </c>
      <c r="C77">
        <v>40300000</v>
      </c>
      <c r="D77">
        <v>47005053156</v>
      </c>
      <c r="E77" t="s">
        <v>988</v>
      </c>
      <c r="F77" t="s">
        <v>1061</v>
      </c>
      <c r="G77">
        <v>4</v>
      </c>
      <c r="H77" t="s">
        <v>987</v>
      </c>
      <c r="I77" t="s">
        <v>987</v>
      </c>
      <c r="J77" t="s">
        <v>1002</v>
      </c>
      <c r="K77">
        <v>3989650</v>
      </c>
      <c r="L77" t="s">
        <v>987</v>
      </c>
      <c r="M77">
        <v>7330</v>
      </c>
      <c r="N77">
        <v>5</v>
      </c>
      <c r="O77">
        <v>0</v>
      </c>
      <c r="P77">
        <v>0.02</v>
      </c>
      <c r="Q77">
        <v>0.02</v>
      </c>
      <c r="R77">
        <v>0.24</v>
      </c>
      <c r="S77" t="s">
        <v>987</v>
      </c>
      <c r="T77">
        <v>2018</v>
      </c>
      <c r="U77" t="s">
        <v>1008</v>
      </c>
      <c r="V77">
        <v>14</v>
      </c>
      <c r="W77" t="s">
        <v>987</v>
      </c>
      <c r="X77" t="s">
        <v>987</v>
      </c>
      <c r="Y77" t="s">
        <v>987</v>
      </c>
      <c r="Z77" t="s">
        <v>987</v>
      </c>
      <c r="AA77" t="s">
        <v>987</v>
      </c>
      <c r="AB77" t="s">
        <v>987</v>
      </c>
    </row>
    <row r="78" spans="1:28" x14ac:dyDescent="0.3">
      <c r="A78">
        <v>77</v>
      </c>
      <c r="B78" t="s">
        <v>153</v>
      </c>
      <c r="C78">
        <v>39700000</v>
      </c>
      <c r="D78">
        <v>23884824160</v>
      </c>
      <c r="E78" t="s">
        <v>994</v>
      </c>
      <c r="F78" t="s">
        <v>153</v>
      </c>
      <c r="G78">
        <v>1596</v>
      </c>
      <c r="H78" t="s">
        <v>1062</v>
      </c>
      <c r="I78" t="s">
        <v>1063</v>
      </c>
      <c r="J78" t="s">
        <v>1002</v>
      </c>
      <c r="K78">
        <v>81</v>
      </c>
      <c r="L78">
        <v>1</v>
      </c>
      <c r="M78">
        <v>2</v>
      </c>
      <c r="N78">
        <v>247731000</v>
      </c>
      <c r="O78">
        <v>61900</v>
      </c>
      <c r="P78">
        <v>990900</v>
      </c>
      <c r="Q78">
        <v>743200</v>
      </c>
      <c r="R78">
        <v>11900000</v>
      </c>
      <c r="S78">
        <v>300000</v>
      </c>
      <c r="T78">
        <v>2017</v>
      </c>
      <c r="U78" t="s">
        <v>1029</v>
      </c>
      <c r="V78">
        <v>6</v>
      </c>
      <c r="W78">
        <v>36.799999999999997</v>
      </c>
      <c r="X78">
        <v>9770529</v>
      </c>
      <c r="Y78">
        <v>2.35</v>
      </c>
      <c r="Z78">
        <v>8479744</v>
      </c>
      <c r="AA78">
        <v>23.424075999999999</v>
      </c>
      <c r="AB78">
        <v>53.847817999999997</v>
      </c>
    </row>
    <row r="79" spans="1:28" x14ac:dyDescent="0.3">
      <c r="A79">
        <v>78</v>
      </c>
      <c r="B79" t="s">
        <v>866</v>
      </c>
      <c r="C79">
        <v>39400000</v>
      </c>
      <c r="D79">
        <v>22302547082</v>
      </c>
      <c r="E79" t="s">
        <v>994</v>
      </c>
      <c r="F79" t="s">
        <v>1064</v>
      </c>
      <c r="G79">
        <v>1</v>
      </c>
      <c r="H79" t="s">
        <v>987</v>
      </c>
      <c r="I79" t="s">
        <v>987</v>
      </c>
      <c r="J79" t="s">
        <v>986</v>
      </c>
      <c r="K79">
        <v>4057895</v>
      </c>
      <c r="L79" t="s">
        <v>987</v>
      </c>
      <c r="M79">
        <v>7498</v>
      </c>
      <c r="N79">
        <v>2</v>
      </c>
      <c r="O79">
        <v>0</v>
      </c>
      <c r="P79">
        <v>0.01</v>
      </c>
      <c r="Q79">
        <v>0.01</v>
      </c>
      <c r="R79">
        <v>0.1</v>
      </c>
      <c r="S79" t="s">
        <v>987</v>
      </c>
      <c r="T79">
        <v>2021</v>
      </c>
      <c r="U79" t="s">
        <v>980</v>
      </c>
      <c r="V79">
        <v>25</v>
      </c>
      <c r="W79" t="s">
        <v>987</v>
      </c>
      <c r="X79" t="s">
        <v>987</v>
      </c>
      <c r="Y79" t="s">
        <v>987</v>
      </c>
      <c r="Z79" t="s">
        <v>987</v>
      </c>
      <c r="AA79" t="s">
        <v>987</v>
      </c>
      <c r="AB79" t="s">
        <v>987</v>
      </c>
    </row>
    <row r="80" spans="1:28" x14ac:dyDescent="0.3">
      <c r="A80">
        <v>79</v>
      </c>
      <c r="B80" t="s">
        <v>408</v>
      </c>
      <c r="C80">
        <v>39200000</v>
      </c>
      <c r="D80">
        <v>3294013141</v>
      </c>
      <c r="E80" t="s">
        <v>1044</v>
      </c>
      <c r="F80" t="s">
        <v>408</v>
      </c>
      <c r="G80">
        <v>186</v>
      </c>
      <c r="H80" t="s">
        <v>978</v>
      </c>
      <c r="I80" t="s">
        <v>979</v>
      </c>
      <c r="J80" t="s">
        <v>1044</v>
      </c>
      <c r="K80">
        <v>2487</v>
      </c>
      <c r="L80">
        <v>21</v>
      </c>
      <c r="M80">
        <v>2</v>
      </c>
      <c r="N80">
        <v>78688000</v>
      </c>
      <c r="O80">
        <v>19700</v>
      </c>
      <c r="P80">
        <v>314800</v>
      </c>
      <c r="Q80">
        <v>236100</v>
      </c>
      <c r="R80">
        <v>3800000</v>
      </c>
      <c r="S80">
        <v>700000</v>
      </c>
      <c r="T80">
        <v>2014</v>
      </c>
      <c r="U80" t="s">
        <v>1025</v>
      </c>
      <c r="V80">
        <v>30</v>
      </c>
      <c r="W80">
        <v>28.1</v>
      </c>
      <c r="X80">
        <v>1366417754</v>
      </c>
      <c r="Y80">
        <v>5.36</v>
      </c>
      <c r="Z80">
        <v>471031528</v>
      </c>
      <c r="AA80">
        <v>20.593684</v>
      </c>
      <c r="AB80">
        <v>78.962879999999998</v>
      </c>
    </row>
    <row r="81" spans="1:28" x14ac:dyDescent="0.3">
      <c r="A81">
        <v>80</v>
      </c>
      <c r="B81" t="s">
        <v>456</v>
      </c>
      <c r="C81">
        <v>39200000</v>
      </c>
      <c r="D81">
        <v>10507474316</v>
      </c>
      <c r="E81" t="s">
        <v>977</v>
      </c>
      <c r="F81" t="s">
        <v>456</v>
      </c>
      <c r="G81">
        <v>133</v>
      </c>
      <c r="H81" t="s">
        <v>984</v>
      </c>
      <c r="I81" t="s">
        <v>985</v>
      </c>
      <c r="J81" t="s">
        <v>977</v>
      </c>
      <c r="K81">
        <v>403</v>
      </c>
      <c r="L81">
        <v>24</v>
      </c>
      <c r="M81">
        <v>29</v>
      </c>
      <c r="N81">
        <v>58362000</v>
      </c>
      <c r="O81">
        <v>14600</v>
      </c>
      <c r="P81">
        <v>233400</v>
      </c>
      <c r="Q81">
        <v>175100</v>
      </c>
      <c r="R81">
        <v>2800000</v>
      </c>
      <c r="S81">
        <v>100000</v>
      </c>
      <c r="T81">
        <v>2015</v>
      </c>
      <c r="U81" t="s">
        <v>1008</v>
      </c>
      <c r="V81">
        <v>23</v>
      </c>
      <c r="W81">
        <v>88.2</v>
      </c>
      <c r="X81">
        <v>328239523</v>
      </c>
      <c r="Y81">
        <v>14.7</v>
      </c>
      <c r="Z81">
        <v>270663028</v>
      </c>
      <c r="AA81">
        <v>37.090240000000001</v>
      </c>
      <c r="AB81">
        <v>-95.712890999999999</v>
      </c>
    </row>
    <row r="82" spans="1:28" x14ac:dyDescent="0.3">
      <c r="A82">
        <v>81</v>
      </c>
      <c r="B82" t="s">
        <v>49</v>
      </c>
      <c r="C82">
        <v>39200000</v>
      </c>
      <c r="D82">
        <v>44900897958</v>
      </c>
      <c r="E82" t="s">
        <v>990</v>
      </c>
      <c r="F82" t="s">
        <v>49</v>
      </c>
      <c r="G82">
        <v>744</v>
      </c>
      <c r="H82" t="s">
        <v>1017</v>
      </c>
      <c r="I82" t="s">
        <v>1018</v>
      </c>
      <c r="J82" t="s">
        <v>990</v>
      </c>
      <c r="K82">
        <v>19</v>
      </c>
      <c r="L82">
        <v>2</v>
      </c>
      <c r="M82">
        <v>8</v>
      </c>
      <c r="N82">
        <v>560756000</v>
      </c>
      <c r="O82">
        <v>140200</v>
      </c>
      <c r="P82">
        <v>2200000</v>
      </c>
      <c r="Q82">
        <v>1700000</v>
      </c>
      <c r="R82">
        <v>26900000</v>
      </c>
      <c r="S82">
        <v>400000</v>
      </c>
      <c r="T82">
        <v>2006</v>
      </c>
      <c r="U82" t="s">
        <v>991</v>
      </c>
      <c r="V82">
        <v>8</v>
      </c>
      <c r="W82">
        <v>68.900000000000006</v>
      </c>
      <c r="X82">
        <v>36991981</v>
      </c>
      <c r="Y82">
        <v>5.56</v>
      </c>
      <c r="Z82">
        <v>30628482</v>
      </c>
      <c r="AA82">
        <v>56.130366000000002</v>
      </c>
      <c r="AB82">
        <v>-106.346771</v>
      </c>
    </row>
    <row r="83" spans="1:28" x14ac:dyDescent="0.3">
      <c r="A83">
        <v>82</v>
      </c>
      <c r="B83" t="s">
        <v>144</v>
      </c>
      <c r="C83">
        <v>39100000</v>
      </c>
      <c r="D83">
        <v>16118181673</v>
      </c>
      <c r="E83" t="s">
        <v>996</v>
      </c>
      <c r="F83" t="s">
        <v>144</v>
      </c>
      <c r="G83">
        <v>1876</v>
      </c>
      <c r="H83" t="s">
        <v>1065</v>
      </c>
      <c r="I83" t="s">
        <v>1066</v>
      </c>
      <c r="J83" t="s">
        <v>986</v>
      </c>
      <c r="K83">
        <v>188</v>
      </c>
      <c r="L83">
        <v>1</v>
      </c>
      <c r="M83">
        <v>4</v>
      </c>
      <c r="N83">
        <v>264108000</v>
      </c>
      <c r="O83">
        <v>66000</v>
      </c>
      <c r="P83">
        <v>1100000</v>
      </c>
      <c r="Q83">
        <v>792300</v>
      </c>
      <c r="R83">
        <v>12700000</v>
      </c>
      <c r="S83">
        <v>800000</v>
      </c>
      <c r="T83">
        <v>2015</v>
      </c>
      <c r="U83" t="s">
        <v>1015</v>
      </c>
      <c r="V83">
        <v>13</v>
      </c>
      <c r="W83">
        <v>88.9</v>
      </c>
      <c r="X83">
        <v>47076781</v>
      </c>
      <c r="Y83">
        <v>13.96</v>
      </c>
      <c r="Z83">
        <v>37927409</v>
      </c>
      <c r="AA83">
        <v>40.463667000000001</v>
      </c>
      <c r="AB83">
        <v>-3.7492200000000002</v>
      </c>
    </row>
    <row r="84" spans="1:28" x14ac:dyDescent="0.3">
      <c r="A84">
        <v>83</v>
      </c>
      <c r="B84" t="s">
        <v>278</v>
      </c>
      <c r="C84">
        <v>39000000</v>
      </c>
      <c r="D84">
        <v>36131228583</v>
      </c>
      <c r="E84" t="s">
        <v>988</v>
      </c>
      <c r="F84" t="s">
        <v>278</v>
      </c>
      <c r="G84">
        <v>72580</v>
      </c>
      <c r="H84" t="s">
        <v>1048</v>
      </c>
      <c r="I84" t="s">
        <v>1049</v>
      </c>
      <c r="J84" t="s">
        <v>988</v>
      </c>
      <c r="K84">
        <v>27</v>
      </c>
      <c r="L84">
        <v>1</v>
      </c>
      <c r="M84">
        <v>24</v>
      </c>
      <c r="N84">
        <v>130461000</v>
      </c>
      <c r="O84">
        <v>32600</v>
      </c>
      <c r="P84">
        <v>521800</v>
      </c>
      <c r="Q84">
        <v>391400</v>
      </c>
      <c r="R84">
        <v>6300000</v>
      </c>
      <c r="S84">
        <v>200000</v>
      </c>
      <c r="T84">
        <v>2012</v>
      </c>
      <c r="U84" t="s">
        <v>1029</v>
      </c>
      <c r="V84">
        <v>5</v>
      </c>
      <c r="W84">
        <v>49.3</v>
      </c>
      <c r="X84">
        <v>69625582</v>
      </c>
      <c r="Y84">
        <v>0.75</v>
      </c>
      <c r="Z84">
        <v>35294600</v>
      </c>
      <c r="AA84">
        <v>15.870032</v>
      </c>
      <c r="AB84">
        <v>100.992541</v>
      </c>
    </row>
    <row r="85" spans="1:28" x14ac:dyDescent="0.3">
      <c r="A85">
        <v>84</v>
      </c>
      <c r="B85" t="s">
        <v>8</v>
      </c>
      <c r="C85">
        <v>38900000</v>
      </c>
      <c r="D85">
        <v>25154232306</v>
      </c>
      <c r="E85" t="s">
        <v>977</v>
      </c>
      <c r="F85" t="s">
        <v>8</v>
      </c>
      <c r="G85">
        <v>3043</v>
      </c>
      <c r="H85" t="s">
        <v>1019</v>
      </c>
      <c r="I85" t="s">
        <v>1020</v>
      </c>
      <c r="J85" t="s">
        <v>977</v>
      </c>
      <c r="K85">
        <v>73</v>
      </c>
      <c r="L85">
        <v>6</v>
      </c>
      <c r="M85">
        <v>30</v>
      </c>
      <c r="N85">
        <v>1635000000</v>
      </c>
      <c r="O85">
        <v>408700</v>
      </c>
      <c r="P85">
        <v>6500000</v>
      </c>
      <c r="Q85">
        <v>4900000</v>
      </c>
      <c r="R85">
        <v>78500000</v>
      </c>
      <c r="S85">
        <v>100000</v>
      </c>
      <c r="T85">
        <v>2014</v>
      </c>
      <c r="U85" t="s">
        <v>1010</v>
      </c>
      <c r="V85">
        <v>5</v>
      </c>
      <c r="W85">
        <v>51.3</v>
      </c>
      <c r="X85">
        <v>212559417</v>
      </c>
      <c r="Y85">
        <v>12.08</v>
      </c>
      <c r="Z85">
        <v>183241641</v>
      </c>
      <c r="AA85">
        <v>-14.235004</v>
      </c>
      <c r="AB85">
        <v>-51.925280000000001</v>
      </c>
    </row>
    <row r="86" spans="1:28" x14ac:dyDescent="0.3">
      <c r="A86">
        <v>85</v>
      </c>
      <c r="B86" t="s">
        <v>509</v>
      </c>
      <c r="C86">
        <v>38600000</v>
      </c>
      <c r="D86">
        <v>7339333120</v>
      </c>
      <c r="E86" t="s">
        <v>1067</v>
      </c>
      <c r="F86" t="s">
        <v>509</v>
      </c>
      <c r="G86">
        <v>200933</v>
      </c>
      <c r="H86" t="s">
        <v>984</v>
      </c>
      <c r="I86" t="s">
        <v>985</v>
      </c>
      <c r="J86" t="s">
        <v>1068</v>
      </c>
      <c r="K86">
        <v>768</v>
      </c>
      <c r="L86">
        <v>25</v>
      </c>
      <c r="M86">
        <v>1</v>
      </c>
      <c r="N86">
        <v>45638000</v>
      </c>
      <c r="O86">
        <v>11400</v>
      </c>
      <c r="P86">
        <v>182600</v>
      </c>
      <c r="Q86">
        <v>136900</v>
      </c>
      <c r="R86">
        <v>2200000</v>
      </c>
      <c r="S86">
        <v>100000</v>
      </c>
      <c r="T86">
        <v>2009</v>
      </c>
      <c r="U86" t="s">
        <v>1008</v>
      </c>
      <c r="V86">
        <v>23</v>
      </c>
      <c r="W86">
        <v>88.2</v>
      </c>
      <c r="X86">
        <v>328239523</v>
      </c>
      <c r="Y86">
        <v>14.7</v>
      </c>
      <c r="Z86">
        <v>270663028</v>
      </c>
      <c r="AA86">
        <v>37.090240000000001</v>
      </c>
      <c r="AB86">
        <v>-95.712890999999999</v>
      </c>
    </row>
    <row r="87" spans="1:28" x14ac:dyDescent="0.3">
      <c r="A87">
        <v>86</v>
      </c>
      <c r="B87" t="s">
        <v>1069</v>
      </c>
      <c r="C87">
        <v>38400000</v>
      </c>
      <c r="D87">
        <v>21528116909</v>
      </c>
      <c r="E87" t="s">
        <v>994</v>
      </c>
      <c r="F87" t="s">
        <v>1070</v>
      </c>
      <c r="G87">
        <v>982</v>
      </c>
      <c r="H87" t="s">
        <v>1071</v>
      </c>
      <c r="I87" t="s">
        <v>1072</v>
      </c>
      <c r="J87" t="s">
        <v>986</v>
      </c>
      <c r="K87">
        <v>150882</v>
      </c>
      <c r="L87">
        <v>774</v>
      </c>
      <c r="M87">
        <v>1454</v>
      </c>
      <c r="N87">
        <v>1589000</v>
      </c>
      <c r="O87">
        <v>397</v>
      </c>
      <c r="P87">
        <v>6400</v>
      </c>
      <c r="Q87">
        <v>4800</v>
      </c>
      <c r="R87">
        <v>76300</v>
      </c>
      <c r="S87">
        <v>2000</v>
      </c>
      <c r="T87">
        <v>2018</v>
      </c>
      <c r="U87" t="s">
        <v>995</v>
      </c>
      <c r="V87">
        <v>24</v>
      </c>
      <c r="W87">
        <v>68</v>
      </c>
      <c r="X87">
        <v>34268528</v>
      </c>
      <c r="Y87">
        <v>5.93</v>
      </c>
      <c r="Z87">
        <v>28807838</v>
      </c>
      <c r="AA87">
        <v>23.885942</v>
      </c>
      <c r="AB87">
        <v>45.079161999999997</v>
      </c>
    </row>
    <row r="88" spans="1:28" x14ac:dyDescent="0.3">
      <c r="A88">
        <v>87</v>
      </c>
      <c r="B88" t="s">
        <v>29</v>
      </c>
      <c r="C88">
        <v>38300000</v>
      </c>
      <c r="D88">
        <v>16718192386</v>
      </c>
      <c r="E88" t="s">
        <v>977</v>
      </c>
      <c r="F88" t="s">
        <v>29</v>
      </c>
      <c r="G88">
        <v>3532</v>
      </c>
      <c r="H88" t="s">
        <v>978</v>
      </c>
      <c r="I88" t="s">
        <v>979</v>
      </c>
      <c r="J88" t="s">
        <v>977</v>
      </c>
      <c r="K88">
        <v>170</v>
      </c>
      <c r="L88">
        <v>22</v>
      </c>
      <c r="M88">
        <v>31</v>
      </c>
      <c r="N88">
        <v>814756000</v>
      </c>
      <c r="O88">
        <v>203700</v>
      </c>
      <c r="P88">
        <v>3300000</v>
      </c>
      <c r="Q88">
        <v>2400000</v>
      </c>
      <c r="R88">
        <v>39100000</v>
      </c>
      <c r="S88">
        <v>400000</v>
      </c>
      <c r="T88">
        <v>2015</v>
      </c>
      <c r="U88" t="s">
        <v>1010</v>
      </c>
      <c r="V88">
        <v>24</v>
      </c>
      <c r="W88">
        <v>28.1</v>
      </c>
      <c r="X88">
        <v>1366417754</v>
      </c>
      <c r="Y88">
        <v>5.36</v>
      </c>
      <c r="Z88">
        <v>471031528</v>
      </c>
      <c r="AA88">
        <v>20.593684</v>
      </c>
      <c r="AB88">
        <v>78.962879999999998</v>
      </c>
    </row>
    <row r="89" spans="1:28" x14ac:dyDescent="0.3">
      <c r="A89">
        <v>88</v>
      </c>
      <c r="B89" t="s">
        <v>813</v>
      </c>
      <c r="C89">
        <v>38200000</v>
      </c>
      <c r="D89">
        <v>13598903820</v>
      </c>
      <c r="E89" t="s">
        <v>977</v>
      </c>
      <c r="F89" t="s">
        <v>1073</v>
      </c>
      <c r="G89">
        <v>11</v>
      </c>
      <c r="H89" t="s">
        <v>984</v>
      </c>
      <c r="I89" t="s">
        <v>985</v>
      </c>
      <c r="J89" t="s">
        <v>977</v>
      </c>
      <c r="K89">
        <v>539848</v>
      </c>
      <c r="L89">
        <v>2904</v>
      </c>
      <c r="M89">
        <v>2594</v>
      </c>
      <c r="N89">
        <v>6348</v>
      </c>
      <c r="O89">
        <v>2</v>
      </c>
      <c r="P89">
        <v>25</v>
      </c>
      <c r="Q89">
        <v>19</v>
      </c>
      <c r="R89">
        <v>305</v>
      </c>
      <c r="S89">
        <v>100</v>
      </c>
      <c r="T89">
        <v>2016</v>
      </c>
      <c r="U89" t="s">
        <v>1008</v>
      </c>
      <c r="V89">
        <v>26</v>
      </c>
      <c r="W89">
        <v>88.2</v>
      </c>
      <c r="X89">
        <v>328239523</v>
      </c>
      <c r="Y89">
        <v>14.7</v>
      </c>
      <c r="Z89">
        <v>270663028</v>
      </c>
      <c r="AA89">
        <v>37.090240000000001</v>
      </c>
      <c r="AB89">
        <v>-95.712890999999999</v>
      </c>
    </row>
    <row r="90" spans="1:28" x14ac:dyDescent="0.3">
      <c r="A90">
        <v>89</v>
      </c>
      <c r="B90" t="s">
        <v>653</v>
      </c>
      <c r="C90">
        <v>38200000</v>
      </c>
      <c r="D90">
        <v>22756581750</v>
      </c>
      <c r="E90" t="s">
        <v>988</v>
      </c>
      <c r="F90" t="s">
        <v>653</v>
      </c>
      <c r="G90">
        <v>15672</v>
      </c>
      <c r="H90" t="s">
        <v>984</v>
      </c>
      <c r="I90" t="s">
        <v>985</v>
      </c>
      <c r="J90" t="s">
        <v>988</v>
      </c>
      <c r="K90">
        <v>93</v>
      </c>
      <c r="L90">
        <v>26</v>
      </c>
      <c r="M90">
        <v>26</v>
      </c>
      <c r="N90">
        <v>21804000</v>
      </c>
      <c r="O90">
        <v>5500</v>
      </c>
      <c r="P90">
        <v>87200</v>
      </c>
      <c r="Q90">
        <v>65400</v>
      </c>
      <c r="R90">
        <v>1000000</v>
      </c>
      <c r="S90" t="s">
        <v>987</v>
      </c>
      <c r="T90">
        <v>2006</v>
      </c>
      <c r="U90" t="s">
        <v>1029</v>
      </c>
      <c r="V90">
        <v>21</v>
      </c>
      <c r="W90">
        <v>88.2</v>
      </c>
      <c r="X90">
        <v>328239523</v>
      </c>
      <c r="Y90">
        <v>14.7</v>
      </c>
      <c r="Z90">
        <v>270663028</v>
      </c>
      <c r="AA90">
        <v>37.090240000000001</v>
      </c>
      <c r="AB90">
        <v>-95.712890999999999</v>
      </c>
    </row>
    <row r="91" spans="1:28" x14ac:dyDescent="0.3">
      <c r="A91">
        <v>90</v>
      </c>
      <c r="B91" t="s">
        <v>80</v>
      </c>
      <c r="C91">
        <v>38200000</v>
      </c>
      <c r="D91">
        <v>28519339489</v>
      </c>
      <c r="E91" t="s">
        <v>992</v>
      </c>
      <c r="F91" t="s">
        <v>80</v>
      </c>
      <c r="G91">
        <v>24089</v>
      </c>
      <c r="H91" t="s">
        <v>978</v>
      </c>
      <c r="I91" t="s">
        <v>979</v>
      </c>
      <c r="J91" t="s">
        <v>988</v>
      </c>
      <c r="K91">
        <v>49</v>
      </c>
      <c r="L91">
        <v>23</v>
      </c>
      <c r="M91">
        <v>25</v>
      </c>
      <c r="N91">
        <v>415914000</v>
      </c>
      <c r="O91">
        <v>104000</v>
      </c>
      <c r="P91">
        <v>1700000</v>
      </c>
      <c r="Q91">
        <v>1200000</v>
      </c>
      <c r="R91">
        <v>20000000</v>
      </c>
      <c r="S91">
        <v>500000</v>
      </c>
      <c r="T91">
        <v>2014</v>
      </c>
      <c r="U91" t="s">
        <v>995</v>
      </c>
      <c r="V91">
        <v>9</v>
      </c>
      <c r="W91">
        <v>28.1</v>
      </c>
      <c r="X91">
        <v>1366417754</v>
      </c>
      <c r="Y91">
        <v>5.36</v>
      </c>
      <c r="Z91">
        <v>471031528</v>
      </c>
      <c r="AA91">
        <v>20.593684</v>
      </c>
      <c r="AB91">
        <v>78.962879999999998</v>
      </c>
    </row>
    <row r="92" spans="1:28" x14ac:dyDescent="0.3">
      <c r="A92">
        <v>91</v>
      </c>
      <c r="B92" t="s">
        <v>181</v>
      </c>
      <c r="C92">
        <v>38000000</v>
      </c>
      <c r="D92">
        <v>22731415608</v>
      </c>
      <c r="E92" t="s">
        <v>977</v>
      </c>
      <c r="F92" t="s">
        <v>181</v>
      </c>
      <c r="G92">
        <v>505</v>
      </c>
      <c r="H92" t="s">
        <v>984</v>
      </c>
      <c r="I92" t="s">
        <v>985</v>
      </c>
      <c r="J92" t="s">
        <v>977</v>
      </c>
      <c r="K92">
        <v>92</v>
      </c>
      <c r="L92">
        <v>27</v>
      </c>
      <c r="M92">
        <v>33</v>
      </c>
      <c r="N92">
        <v>205594000</v>
      </c>
      <c r="O92">
        <v>51400</v>
      </c>
      <c r="P92">
        <v>822400</v>
      </c>
      <c r="Q92">
        <v>616800</v>
      </c>
      <c r="R92">
        <v>9900000</v>
      </c>
      <c r="S92">
        <v>100000</v>
      </c>
      <c r="T92">
        <v>2011</v>
      </c>
      <c r="U92" t="s">
        <v>995</v>
      </c>
      <c r="V92">
        <v>16</v>
      </c>
      <c r="W92">
        <v>88.2</v>
      </c>
      <c r="X92">
        <v>328239523</v>
      </c>
      <c r="Y92">
        <v>14.7</v>
      </c>
      <c r="Z92">
        <v>270663028</v>
      </c>
      <c r="AA92">
        <v>37.090240000000001</v>
      </c>
      <c r="AB92">
        <v>-95.712890999999999</v>
      </c>
    </row>
    <row r="93" spans="1:28" x14ac:dyDescent="0.3">
      <c r="A93">
        <v>92</v>
      </c>
      <c r="B93" t="s">
        <v>155</v>
      </c>
      <c r="C93">
        <v>37900000</v>
      </c>
      <c r="D93">
        <v>23510152352</v>
      </c>
      <c r="E93" t="s">
        <v>987</v>
      </c>
      <c r="F93" t="s">
        <v>155</v>
      </c>
      <c r="G93">
        <v>515</v>
      </c>
      <c r="H93" t="s">
        <v>984</v>
      </c>
      <c r="I93" t="s">
        <v>985</v>
      </c>
      <c r="J93" t="s">
        <v>988</v>
      </c>
      <c r="K93">
        <v>84</v>
      </c>
      <c r="L93">
        <v>28</v>
      </c>
      <c r="M93">
        <v>27</v>
      </c>
      <c r="N93">
        <v>244093000</v>
      </c>
      <c r="O93">
        <v>61000</v>
      </c>
      <c r="P93">
        <v>976400</v>
      </c>
      <c r="Q93">
        <v>732300</v>
      </c>
      <c r="R93">
        <v>11700000</v>
      </c>
      <c r="S93">
        <v>200000</v>
      </c>
      <c r="T93">
        <v>2018</v>
      </c>
      <c r="U93" t="s">
        <v>1015</v>
      </c>
      <c r="V93">
        <v>20</v>
      </c>
      <c r="W93">
        <v>88.2</v>
      </c>
      <c r="X93">
        <v>328239523</v>
      </c>
      <c r="Y93">
        <v>14.7</v>
      </c>
      <c r="Z93">
        <v>270663028</v>
      </c>
      <c r="AA93">
        <v>37.090240000000001</v>
      </c>
      <c r="AB93">
        <v>-95.712890999999999</v>
      </c>
    </row>
    <row r="94" spans="1:28" x14ac:dyDescent="0.3">
      <c r="A94">
        <v>93</v>
      </c>
      <c r="B94" t="s">
        <v>113</v>
      </c>
      <c r="C94">
        <v>37600000</v>
      </c>
      <c r="D94">
        <v>18208196857</v>
      </c>
      <c r="E94" t="s">
        <v>988</v>
      </c>
      <c r="F94" t="s">
        <v>113</v>
      </c>
      <c r="G94">
        <v>743</v>
      </c>
      <c r="H94" t="s">
        <v>984</v>
      </c>
      <c r="I94" t="s">
        <v>985</v>
      </c>
      <c r="J94" t="s">
        <v>988</v>
      </c>
      <c r="K94">
        <v>145</v>
      </c>
      <c r="L94">
        <v>29</v>
      </c>
      <c r="M94">
        <v>28</v>
      </c>
      <c r="N94">
        <v>321026000</v>
      </c>
      <c r="O94">
        <v>80300</v>
      </c>
      <c r="P94">
        <v>1300000</v>
      </c>
      <c r="Q94">
        <v>963100</v>
      </c>
      <c r="R94">
        <v>15400000</v>
      </c>
      <c r="S94">
        <v>700000</v>
      </c>
      <c r="T94">
        <v>2017</v>
      </c>
      <c r="U94" t="s">
        <v>999</v>
      </c>
      <c r="V94">
        <v>22</v>
      </c>
      <c r="W94">
        <v>88.2</v>
      </c>
      <c r="X94">
        <v>328239523</v>
      </c>
      <c r="Y94">
        <v>14.7</v>
      </c>
      <c r="Z94">
        <v>270663028</v>
      </c>
      <c r="AA94">
        <v>37.090240000000001</v>
      </c>
      <c r="AB94">
        <v>-95.712890999999999</v>
      </c>
    </row>
    <row r="95" spans="1:28" x14ac:dyDescent="0.3">
      <c r="A95">
        <v>94</v>
      </c>
      <c r="B95" t="s">
        <v>1074</v>
      </c>
      <c r="C95">
        <v>37500000</v>
      </c>
      <c r="D95">
        <v>27262462114</v>
      </c>
      <c r="E95" t="s">
        <v>988</v>
      </c>
      <c r="F95" t="s">
        <v>1074</v>
      </c>
      <c r="G95">
        <v>117152</v>
      </c>
      <c r="H95" t="s">
        <v>1048</v>
      </c>
      <c r="I95" t="s">
        <v>1049</v>
      </c>
      <c r="J95" t="s">
        <v>988</v>
      </c>
      <c r="K95">
        <v>56</v>
      </c>
      <c r="L95">
        <v>2</v>
      </c>
      <c r="M95">
        <v>29</v>
      </c>
      <c r="N95">
        <v>140754000</v>
      </c>
      <c r="O95">
        <v>35200</v>
      </c>
      <c r="P95">
        <v>563000</v>
      </c>
      <c r="Q95">
        <v>422300</v>
      </c>
      <c r="R95">
        <v>6800000</v>
      </c>
      <c r="S95">
        <v>300000</v>
      </c>
      <c r="T95">
        <v>2013</v>
      </c>
      <c r="U95" t="s">
        <v>1003</v>
      </c>
      <c r="V95">
        <v>10</v>
      </c>
      <c r="W95">
        <v>49.3</v>
      </c>
      <c r="X95">
        <v>69625582</v>
      </c>
      <c r="Y95">
        <v>0.75</v>
      </c>
      <c r="Z95">
        <v>35294600</v>
      </c>
      <c r="AA95">
        <v>15.870032</v>
      </c>
      <c r="AB95">
        <v>100.992541</v>
      </c>
    </row>
    <row r="96" spans="1:28" x14ac:dyDescent="0.3">
      <c r="A96">
        <v>95</v>
      </c>
      <c r="B96" t="s">
        <v>492</v>
      </c>
      <c r="C96">
        <v>37200000</v>
      </c>
      <c r="D96">
        <v>16402066717</v>
      </c>
      <c r="E96" t="s">
        <v>1044</v>
      </c>
      <c r="F96" t="s">
        <v>492</v>
      </c>
      <c r="G96">
        <v>220</v>
      </c>
      <c r="H96" t="s">
        <v>978</v>
      </c>
      <c r="I96" t="s">
        <v>979</v>
      </c>
      <c r="J96" t="s">
        <v>1044</v>
      </c>
      <c r="K96">
        <v>178</v>
      </c>
      <c r="L96">
        <v>24</v>
      </c>
      <c r="M96">
        <v>3</v>
      </c>
      <c r="N96">
        <v>49861000</v>
      </c>
      <c r="O96">
        <v>12500</v>
      </c>
      <c r="P96">
        <v>199400</v>
      </c>
      <c r="Q96">
        <v>149600</v>
      </c>
      <c r="R96">
        <v>2400000</v>
      </c>
      <c r="S96">
        <v>100000</v>
      </c>
      <c r="T96">
        <v>2017</v>
      </c>
      <c r="U96" t="s">
        <v>980</v>
      </c>
      <c r="V96">
        <v>20</v>
      </c>
      <c r="W96">
        <v>28.1</v>
      </c>
      <c r="X96">
        <v>1366417754</v>
      </c>
      <c r="Y96">
        <v>5.36</v>
      </c>
      <c r="Z96">
        <v>471031528</v>
      </c>
      <c r="AA96">
        <v>20.593684</v>
      </c>
      <c r="AB96">
        <v>78.962879999999998</v>
      </c>
    </row>
    <row r="97" spans="1:28" x14ac:dyDescent="0.3">
      <c r="A97">
        <v>96</v>
      </c>
      <c r="B97" t="s">
        <v>139</v>
      </c>
      <c r="C97">
        <v>37000000</v>
      </c>
      <c r="D97">
        <v>13102611515</v>
      </c>
      <c r="E97" t="s">
        <v>994</v>
      </c>
      <c r="F97" t="s">
        <v>139</v>
      </c>
      <c r="G97">
        <v>301308</v>
      </c>
      <c r="H97" t="s">
        <v>978</v>
      </c>
      <c r="I97" t="s">
        <v>979</v>
      </c>
      <c r="J97" t="s">
        <v>1027</v>
      </c>
      <c r="K97">
        <v>280</v>
      </c>
      <c r="L97">
        <v>25</v>
      </c>
      <c r="M97">
        <v>2</v>
      </c>
      <c r="N97">
        <v>267060000</v>
      </c>
      <c r="O97">
        <v>66800</v>
      </c>
      <c r="P97">
        <v>1100000</v>
      </c>
      <c r="Q97">
        <v>801200</v>
      </c>
      <c r="R97">
        <v>12800000</v>
      </c>
      <c r="S97">
        <v>400000</v>
      </c>
      <c r="T97">
        <v>2012</v>
      </c>
      <c r="U97" t="s">
        <v>1008</v>
      </c>
      <c r="V97">
        <v>1</v>
      </c>
      <c r="W97">
        <v>28.1</v>
      </c>
      <c r="X97">
        <v>1366417754</v>
      </c>
      <c r="Y97">
        <v>5.36</v>
      </c>
      <c r="Z97">
        <v>471031528</v>
      </c>
      <c r="AA97">
        <v>20.593684</v>
      </c>
      <c r="AB97">
        <v>78.962879999999998</v>
      </c>
    </row>
    <row r="98" spans="1:28" x14ac:dyDescent="0.3">
      <c r="A98">
        <v>97</v>
      </c>
      <c r="B98" t="s">
        <v>151</v>
      </c>
      <c r="C98">
        <v>37000000</v>
      </c>
      <c r="D98">
        <v>24188861917</v>
      </c>
      <c r="E98" t="s">
        <v>994</v>
      </c>
      <c r="F98" t="s">
        <v>151</v>
      </c>
      <c r="G98">
        <v>744</v>
      </c>
      <c r="H98" t="s">
        <v>1019</v>
      </c>
      <c r="I98" t="s">
        <v>1020</v>
      </c>
      <c r="J98" t="s">
        <v>988</v>
      </c>
      <c r="K98">
        <v>75</v>
      </c>
      <c r="L98">
        <v>7</v>
      </c>
      <c r="M98">
        <v>30</v>
      </c>
      <c r="N98">
        <v>251449000</v>
      </c>
      <c r="O98">
        <v>62900</v>
      </c>
      <c r="P98">
        <v>1000000</v>
      </c>
      <c r="Q98">
        <v>754300</v>
      </c>
      <c r="R98">
        <v>12100000</v>
      </c>
      <c r="S98">
        <v>300000</v>
      </c>
      <c r="T98">
        <v>2015</v>
      </c>
      <c r="U98" t="s">
        <v>991</v>
      </c>
      <c r="V98">
        <v>6</v>
      </c>
      <c r="W98">
        <v>51.3</v>
      </c>
      <c r="X98">
        <v>212559417</v>
      </c>
      <c r="Y98">
        <v>12.08</v>
      </c>
      <c r="Z98">
        <v>183241641</v>
      </c>
      <c r="AA98">
        <v>-14.235004</v>
      </c>
      <c r="AB98">
        <v>-51.925280000000001</v>
      </c>
    </row>
    <row r="99" spans="1:28" x14ac:dyDescent="0.3">
      <c r="A99">
        <v>98</v>
      </c>
      <c r="B99" t="s">
        <v>217</v>
      </c>
      <c r="C99">
        <v>36700000</v>
      </c>
      <c r="D99">
        <v>19378155425</v>
      </c>
      <c r="E99" t="s">
        <v>977</v>
      </c>
      <c r="F99" t="s">
        <v>217</v>
      </c>
      <c r="G99">
        <v>99</v>
      </c>
      <c r="H99" t="s">
        <v>984</v>
      </c>
      <c r="I99" t="s">
        <v>985</v>
      </c>
      <c r="J99" t="s">
        <v>977</v>
      </c>
      <c r="K99">
        <v>134</v>
      </c>
      <c r="L99">
        <v>30</v>
      </c>
      <c r="M99">
        <v>34</v>
      </c>
      <c r="N99">
        <v>175243000</v>
      </c>
      <c r="O99">
        <v>43800</v>
      </c>
      <c r="P99">
        <v>701000</v>
      </c>
      <c r="Q99">
        <v>525700</v>
      </c>
      <c r="R99">
        <v>8400000</v>
      </c>
      <c r="S99">
        <v>200000</v>
      </c>
      <c r="T99">
        <v>2006</v>
      </c>
      <c r="U99" t="s">
        <v>991</v>
      </c>
      <c r="V99">
        <v>19</v>
      </c>
      <c r="W99">
        <v>88.2</v>
      </c>
      <c r="X99">
        <v>328239523</v>
      </c>
      <c r="Y99">
        <v>14.7</v>
      </c>
      <c r="Z99">
        <v>270663028</v>
      </c>
      <c r="AA99">
        <v>37.090240000000001</v>
      </c>
      <c r="AB99">
        <v>-95.712890999999999</v>
      </c>
    </row>
    <row r="100" spans="1:28" x14ac:dyDescent="0.3">
      <c r="A100">
        <v>99</v>
      </c>
      <c r="B100" t="s">
        <v>246</v>
      </c>
      <c r="C100">
        <v>36600000</v>
      </c>
      <c r="D100">
        <v>22553923546</v>
      </c>
      <c r="E100" t="s">
        <v>977</v>
      </c>
      <c r="F100" t="s">
        <v>246</v>
      </c>
      <c r="G100">
        <v>171</v>
      </c>
      <c r="H100" t="s">
        <v>984</v>
      </c>
      <c r="I100" t="s">
        <v>985</v>
      </c>
      <c r="J100" t="s">
        <v>977</v>
      </c>
      <c r="K100">
        <v>96</v>
      </c>
      <c r="L100">
        <v>31</v>
      </c>
      <c r="M100">
        <v>35</v>
      </c>
      <c r="N100">
        <v>152825000</v>
      </c>
      <c r="O100">
        <v>38200</v>
      </c>
      <c r="P100">
        <v>611300</v>
      </c>
      <c r="Q100">
        <v>458500</v>
      </c>
      <c r="R100">
        <v>7300000</v>
      </c>
      <c r="S100" t="s">
        <v>987</v>
      </c>
      <c r="T100">
        <v>2006</v>
      </c>
      <c r="U100" t="s">
        <v>980</v>
      </c>
      <c r="V100">
        <v>9</v>
      </c>
      <c r="W100">
        <v>88.2</v>
      </c>
      <c r="X100">
        <v>328239523</v>
      </c>
      <c r="Y100">
        <v>14.7</v>
      </c>
      <c r="Z100">
        <v>270663028</v>
      </c>
      <c r="AA100">
        <v>37.090240000000001</v>
      </c>
      <c r="AB100">
        <v>-95.712890999999999</v>
      </c>
    </row>
    <row r="101" spans="1:28" x14ac:dyDescent="0.3">
      <c r="A101">
        <v>100</v>
      </c>
      <c r="B101" t="s">
        <v>884</v>
      </c>
      <c r="C101">
        <v>36600000</v>
      </c>
      <c r="D101">
        <v>15653786446</v>
      </c>
      <c r="E101" t="s">
        <v>1057</v>
      </c>
      <c r="F101" t="s">
        <v>884</v>
      </c>
      <c r="G101">
        <v>9168</v>
      </c>
      <c r="H101" t="s">
        <v>978</v>
      </c>
      <c r="I101" t="s">
        <v>979</v>
      </c>
      <c r="J101" t="s">
        <v>988</v>
      </c>
      <c r="K101">
        <v>205</v>
      </c>
      <c r="L101">
        <v>26</v>
      </c>
      <c r="M101">
        <v>31</v>
      </c>
      <c r="N101">
        <v>131462000</v>
      </c>
      <c r="O101">
        <v>0</v>
      </c>
      <c r="P101">
        <v>0</v>
      </c>
      <c r="Q101">
        <v>0</v>
      </c>
      <c r="R101">
        <v>0</v>
      </c>
      <c r="S101">
        <v>200000</v>
      </c>
      <c r="T101">
        <v>2009</v>
      </c>
      <c r="U101" t="s">
        <v>1025</v>
      </c>
      <c r="V101">
        <v>21</v>
      </c>
      <c r="W101">
        <v>28.1</v>
      </c>
      <c r="X101">
        <v>1366417754</v>
      </c>
      <c r="Y101">
        <v>5.36</v>
      </c>
      <c r="Z101">
        <v>471031528</v>
      </c>
      <c r="AA101">
        <v>20.593684</v>
      </c>
      <c r="AB101">
        <v>78.962879999999998</v>
      </c>
    </row>
    <row r="102" spans="1:28" x14ac:dyDescent="0.3">
      <c r="A102">
        <v>101</v>
      </c>
      <c r="B102" t="s">
        <v>115</v>
      </c>
      <c r="C102">
        <v>36500000</v>
      </c>
      <c r="D102">
        <v>18961241905</v>
      </c>
      <c r="E102" t="s">
        <v>982</v>
      </c>
      <c r="F102" t="s">
        <v>115</v>
      </c>
      <c r="G102">
        <v>5621</v>
      </c>
      <c r="H102" t="s">
        <v>987</v>
      </c>
      <c r="I102" t="s">
        <v>987</v>
      </c>
      <c r="J102" t="s">
        <v>1022</v>
      </c>
      <c r="K102">
        <v>139</v>
      </c>
      <c r="L102">
        <v>1</v>
      </c>
      <c r="M102">
        <v>6</v>
      </c>
      <c r="N102">
        <v>318702000</v>
      </c>
      <c r="O102">
        <v>79700</v>
      </c>
      <c r="P102">
        <v>1300000</v>
      </c>
      <c r="Q102">
        <v>956100</v>
      </c>
      <c r="R102">
        <v>15300000</v>
      </c>
      <c r="S102">
        <v>600000</v>
      </c>
      <c r="T102">
        <v>2014</v>
      </c>
      <c r="U102" t="s">
        <v>1010</v>
      </c>
      <c r="V102">
        <v>6</v>
      </c>
      <c r="W102" t="s">
        <v>987</v>
      </c>
      <c r="X102" t="s">
        <v>987</v>
      </c>
      <c r="Y102" t="s">
        <v>987</v>
      </c>
      <c r="Z102" t="s">
        <v>987</v>
      </c>
      <c r="AA102" t="s">
        <v>987</v>
      </c>
      <c r="AB102" t="s">
        <v>987</v>
      </c>
    </row>
    <row r="103" spans="1:28" x14ac:dyDescent="0.3">
      <c r="A103">
        <v>102</v>
      </c>
      <c r="B103" t="s">
        <v>652</v>
      </c>
      <c r="C103">
        <v>36300000</v>
      </c>
      <c r="D103">
        <v>3010784935</v>
      </c>
      <c r="E103" t="s">
        <v>1026</v>
      </c>
      <c r="F103" t="s">
        <v>652</v>
      </c>
      <c r="G103">
        <v>744</v>
      </c>
      <c r="H103" t="s">
        <v>984</v>
      </c>
      <c r="I103" t="s">
        <v>985</v>
      </c>
      <c r="J103" t="s">
        <v>988</v>
      </c>
      <c r="K103">
        <v>2860</v>
      </c>
      <c r="L103">
        <v>32</v>
      </c>
      <c r="M103">
        <v>5</v>
      </c>
      <c r="N103">
        <v>21103000</v>
      </c>
      <c r="O103">
        <v>5300</v>
      </c>
      <c r="P103">
        <v>84400</v>
      </c>
      <c r="Q103">
        <v>63300</v>
      </c>
      <c r="R103">
        <v>1000000</v>
      </c>
      <c r="S103">
        <v>300000</v>
      </c>
      <c r="T103">
        <v>1970</v>
      </c>
      <c r="U103" t="s">
        <v>1003</v>
      </c>
      <c r="V103">
        <v>1</v>
      </c>
      <c r="W103">
        <v>88.2</v>
      </c>
      <c r="X103">
        <v>328239523</v>
      </c>
      <c r="Y103">
        <v>14.7</v>
      </c>
      <c r="Z103">
        <v>270663028</v>
      </c>
      <c r="AA103">
        <v>37.090240000000001</v>
      </c>
      <c r="AB103">
        <v>-95.712890999999999</v>
      </c>
    </row>
    <row r="104" spans="1:28" x14ac:dyDescent="0.3">
      <c r="A104">
        <v>103</v>
      </c>
      <c r="B104" t="s">
        <v>1027</v>
      </c>
      <c r="C104">
        <v>36300000</v>
      </c>
      <c r="D104">
        <v>0</v>
      </c>
      <c r="E104" t="s">
        <v>987</v>
      </c>
      <c r="F104" t="s">
        <v>1027</v>
      </c>
      <c r="G104">
        <v>0</v>
      </c>
      <c r="H104" t="s">
        <v>987</v>
      </c>
      <c r="I104" t="s">
        <v>987</v>
      </c>
      <c r="J104" t="s">
        <v>987</v>
      </c>
      <c r="K104">
        <v>4057944</v>
      </c>
      <c r="L104" t="s">
        <v>987</v>
      </c>
      <c r="M104" t="s">
        <v>987</v>
      </c>
      <c r="N104" t="s">
        <v>987</v>
      </c>
      <c r="O104">
        <v>0</v>
      </c>
      <c r="P104">
        <v>0</v>
      </c>
      <c r="Q104">
        <v>0</v>
      </c>
      <c r="R104">
        <v>0</v>
      </c>
      <c r="S104" t="s">
        <v>987</v>
      </c>
      <c r="T104">
        <v>2013</v>
      </c>
      <c r="U104" t="s">
        <v>991</v>
      </c>
      <c r="V104">
        <v>9</v>
      </c>
      <c r="W104" t="s">
        <v>987</v>
      </c>
      <c r="X104" t="s">
        <v>987</v>
      </c>
      <c r="Y104" t="s">
        <v>987</v>
      </c>
      <c r="Z104" t="s">
        <v>987</v>
      </c>
      <c r="AA104" t="s">
        <v>987</v>
      </c>
      <c r="AB104" t="s">
        <v>987</v>
      </c>
    </row>
    <row r="105" spans="1:28" x14ac:dyDescent="0.3">
      <c r="A105">
        <v>104</v>
      </c>
      <c r="B105" t="s">
        <v>223</v>
      </c>
      <c r="C105">
        <v>36200000</v>
      </c>
      <c r="D105">
        <v>23355801606</v>
      </c>
      <c r="E105" t="s">
        <v>977</v>
      </c>
      <c r="F105" t="s">
        <v>223</v>
      </c>
      <c r="G105">
        <v>196</v>
      </c>
      <c r="H105" t="s">
        <v>987</v>
      </c>
      <c r="I105" t="s">
        <v>987</v>
      </c>
      <c r="J105" t="s">
        <v>977</v>
      </c>
      <c r="K105">
        <v>87</v>
      </c>
      <c r="L105">
        <v>2</v>
      </c>
      <c r="M105">
        <v>36</v>
      </c>
      <c r="N105">
        <v>169242000</v>
      </c>
      <c r="O105">
        <v>42300</v>
      </c>
      <c r="P105">
        <v>677000</v>
      </c>
      <c r="Q105">
        <v>507700</v>
      </c>
      <c r="R105">
        <v>8100000</v>
      </c>
      <c r="S105">
        <v>100000</v>
      </c>
      <c r="T105">
        <v>2016</v>
      </c>
      <c r="U105" t="s">
        <v>980</v>
      </c>
      <c r="V105">
        <v>24</v>
      </c>
      <c r="W105" t="s">
        <v>987</v>
      </c>
      <c r="X105" t="s">
        <v>987</v>
      </c>
      <c r="Y105" t="s">
        <v>987</v>
      </c>
      <c r="Z105" t="s">
        <v>987</v>
      </c>
      <c r="AA105" t="s">
        <v>987</v>
      </c>
      <c r="AB105" t="s">
        <v>987</v>
      </c>
    </row>
    <row r="106" spans="1:28" x14ac:dyDescent="0.3">
      <c r="A106">
        <v>105</v>
      </c>
      <c r="B106" t="s">
        <v>839</v>
      </c>
      <c r="C106">
        <v>36100000</v>
      </c>
      <c r="D106">
        <v>6331332547</v>
      </c>
      <c r="E106" t="s">
        <v>996</v>
      </c>
      <c r="F106" t="s">
        <v>1075</v>
      </c>
      <c r="G106">
        <v>5</v>
      </c>
      <c r="H106" t="s">
        <v>987</v>
      </c>
      <c r="I106" t="s">
        <v>987</v>
      </c>
      <c r="J106" t="s">
        <v>1044</v>
      </c>
      <c r="K106">
        <v>4057305</v>
      </c>
      <c r="L106" t="s">
        <v>987</v>
      </c>
      <c r="M106">
        <v>4880</v>
      </c>
      <c r="N106">
        <v>32</v>
      </c>
      <c r="O106">
        <v>0.01</v>
      </c>
      <c r="P106">
        <v>0.13</v>
      </c>
      <c r="Q106">
        <v>0.1</v>
      </c>
      <c r="R106">
        <v>2</v>
      </c>
      <c r="S106">
        <v>1</v>
      </c>
      <c r="T106">
        <v>2011</v>
      </c>
      <c r="U106" t="s">
        <v>989</v>
      </c>
      <c r="V106">
        <v>26</v>
      </c>
      <c r="W106" t="s">
        <v>987</v>
      </c>
      <c r="X106" t="s">
        <v>987</v>
      </c>
      <c r="Y106" t="s">
        <v>987</v>
      </c>
      <c r="Z106" t="s">
        <v>987</v>
      </c>
      <c r="AA106" t="s">
        <v>987</v>
      </c>
      <c r="AB106" t="s">
        <v>987</v>
      </c>
    </row>
    <row r="107" spans="1:28" x14ac:dyDescent="0.3">
      <c r="A107">
        <v>106</v>
      </c>
      <c r="B107" t="s">
        <v>124</v>
      </c>
      <c r="C107">
        <v>35700000</v>
      </c>
      <c r="D107">
        <v>27118354077</v>
      </c>
      <c r="E107" t="s">
        <v>977</v>
      </c>
      <c r="F107" t="s">
        <v>124</v>
      </c>
      <c r="G107">
        <v>654</v>
      </c>
      <c r="H107" t="s">
        <v>1023</v>
      </c>
      <c r="I107" t="s">
        <v>1024</v>
      </c>
      <c r="J107" t="s">
        <v>977</v>
      </c>
      <c r="K107">
        <v>58</v>
      </c>
      <c r="L107">
        <v>2</v>
      </c>
      <c r="M107">
        <v>37</v>
      </c>
      <c r="N107">
        <v>302071000</v>
      </c>
      <c r="O107">
        <v>75500</v>
      </c>
      <c r="P107">
        <v>1200000</v>
      </c>
      <c r="Q107">
        <v>906200</v>
      </c>
      <c r="R107">
        <v>14500000</v>
      </c>
      <c r="S107">
        <v>400000</v>
      </c>
      <c r="T107">
        <v>2013</v>
      </c>
      <c r="U107" t="s">
        <v>1008</v>
      </c>
      <c r="V107">
        <v>6</v>
      </c>
      <c r="W107">
        <v>90</v>
      </c>
      <c r="X107">
        <v>44938712</v>
      </c>
      <c r="Y107">
        <v>9.7899999999999991</v>
      </c>
      <c r="Z107">
        <v>41339571</v>
      </c>
      <c r="AA107">
        <v>-38.416097000000001</v>
      </c>
      <c r="AB107">
        <v>-63.616672000000001</v>
      </c>
    </row>
    <row r="108" spans="1:28" x14ac:dyDescent="0.3">
      <c r="A108">
        <v>107</v>
      </c>
      <c r="B108" t="s">
        <v>54</v>
      </c>
      <c r="C108">
        <v>35500000</v>
      </c>
      <c r="D108">
        <v>15657673422</v>
      </c>
      <c r="E108" t="s">
        <v>988</v>
      </c>
      <c r="F108" t="s">
        <v>54</v>
      </c>
      <c r="G108">
        <v>7566</v>
      </c>
      <c r="H108" t="s">
        <v>978</v>
      </c>
      <c r="I108" t="s">
        <v>979</v>
      </c>
      <c r="J108" t="s">
        <v>977</v>
      </c>
      <c r="K108">
        <v>199</v>
      </c>
      <c r="L108">
        <v>27</v>
      </c>
      <c r="M108">
        <v>38</v>
      </c>
      <c r="N108">
        <v>533793000</v>
      </c>
      <c r="O108">
        <v>133400</v>
      </c>
      <c r="P108">
        <v>2100000</v>
      </c>
      <c r="Q108">
        <v>1600000</v>
      </c>
      <c r="R108">
        <v>25600000</v>
      </c>
      <c r="S108">
        <v>900000</v>
      </c>
      <c r="T108">
        <v>2013</v>
      </c>
      <c r="U108" t="s">
        <v>1003</v>
      </c>
      <c r="V108">
        <v>4</v>
      </c>
      <c r="W108">
        <v>28.1</v>
      </c>
      <c r="X108">
        <v>1366417754</v>
      </c>
      <c r="Y108">
        <v>5.36</v>
      </c>
      <c r="Z108">
        <v>471031528</v>
      </c>
      <c r="AA108">
        <v>20.593684</v>
      </c>
      <c r="AB108">
        <v>78.962879999999998</v>
      </c>
    </row>
    <row r="109" spans="1:28" x14ac:dyDescent="0.3">
      <c r="A109">
        <v>108</v>
      </c>
      <c r="B109" t="s">
        <v>126</v>
      </c>
      <c r="C109">
        <v>35500000</v>
      </c>
      <c r="D109">
        <v>16105023749</v>
      </c>
      <c r="E109" t="s">
        <v>1026</v>
      </c>
      <c r="F109" t="s">
        <v>126</v>
      </c>
      <c r="G109">
        <v>273255</v>
      </c>
      <c r="H109" t="s">
        <v>978</v>
      </c>
      <c r="I109" t="s">
        <v>979</v>
      </c>
      <c r="J109" t="s">
        <v>1027</v>
      </c>
      <c r="K109">
        <v>185</v>
      </c>
      <c r="L109">
        <v>27</v>
      </c>
      <c r="M109">
        <v>3</v>
      </c>
      <c r="N109">
        <v>290847000</v>
      </c>
      <c r="O109">
        <v>72700</v>
      </c>
      <c r="P109">
        <v>1200000</v>
      </c>
      <c r="Q109">
        <v>872500</v>
      </c>
      <c r="R109">
        <v>14000000</v>
      </c>
      <c r="S109">
        <v>600000</v>
      </c>
      <c r="T109">
        <v>2006</v>
      </c>
      <c r="U109" t="s">
        <v>1010</v>
      </c>
      <c r="V109">
        <v>26</v>
      </c>
      <c r="W109">
        <v>28.1</v>
      </c>
      <c r="X109">
        <v>1366417754</v>
      </c>
      <c r="Y109">
        <v>5.36</v>
      </c>
      <c r="Z109">
        <v>471031528</v>
      </c>
      <c r="AA109">
        <v>20.593684</v>
      </c>
      <c r="AB109">
        <v>78.962879999999998</v>
      </c>
    </row>
    <row r="110" spans="1:28" x14ac:dyDescent="0.3">
      <c r="A110">
        <v>109</v>
      </c>
      <c r="B110" t="s">
        <v>106</v>
      </c>
      <c r="C110">
        <v>35400000</v>
      </c>
      <c r="D110">
        <v>22637783517</v>
      </c>
      <c r="E110" t="s">
        <v>977</v>
      </c>
      <c r="F110" t="s">
        <v>106</v>
      </c>
      <c r="G110">
        <v>2010</v>
      </c>
      <c r="H110" t="s">
        <v>978</v>
      </c>
      <c r="I110" t="s">
        <v>979</v>
      </c>
      <c r="J110" t="s">
        <v>977</v>
      </c>
      <c r="K110">
        <v>94</v>
      </c>
      <c r="L110">
        <v>28</v>
      </c>
      <c r="M110">
        <v>39</v>
      </c>
      <c r="N110">
        <v>331474000</v>
      </c>
      <c r="O110">
        <v>82900</v>
      </c>
      <c r="P110">
        <v>1300000</v>
      </c>
      <c r="Q110">
        <v>994400</v>
      </c>
      <c r="R110">
        <v>15900000</v>
      </c>
      <c r="S110">
        <v>500000</v>
      </c>
      <c r="T110">
        <v>2012</v>
      </c>
      <c r="U110" t="s">
        <v>999</v>
      </c>
      <c r="V110">
        <v>2</v>
      </c>
      <c r="W110">
        <v>28.1</v>
      </c>
      <c r="X110">
        <v>1366417754</v>
      </c>
      <c r="Y110">
        <v>5.36</v>
      </c>
      <c r="Z110">
        <v>471031528</v>
      </c>
      <c r="AA110">
        <v>20.593684</v>
      </c>
      <c r="AB110">
        <v>78.962879999999998</v>
      </c>
    </row>
    <row r="111" spans="1:28" x14ac:dyDescent="0.3">
      <c r="A111">
        <v>110</v>
      </c>
      <c r="B111" t="s">
        <v>836</v>
      </c>
      <c r="C111">
        <v>35400000</v>
      </c>
      <c r="D111">
        <v>5556364230</v>
      </c>
      <c r="E111" t="s">
        <v>996</v>
      </c>
      <c r="F111" t="s">
        <v>1076</v>
      </c>
      <c r="G111">
        <v>1</v>
      </c>
      <c r="H111" t="s">
        <v>987</v>
      </c>
      <c r="I111" t="s">
        <v>987</v>
      </c>
      <c r="J111" t="s">
        <v>1077</v>
      </c>
      <c r="K111">
        <v>4056447</v>
      </c>
      <c r="L111" t="s">
        <v>987</v>
      </c>
      <c r="M111">
        <v>3902</v>
      </c>
      <c r="N111">
        <v>53</v>
      </c>
      <c r="O111">
        <v>0.01</v>
      </c>
      <c r="P111">
        <v>0.21</v>
      </c>
      <c r="Q111">
        <v>0.16</v>
      </c>
      <c r="R111">
        <v>3</v>
      </c>
      <c r="S111">
        <v>2</v>
      </c>
      <c r="T111">
        <v>2006</v>
      </c>
      <c r="U111" t="s">
        <v>1015</v>
      </c>
      <c r="V111">
        <v>15</v>
      </c>
      <c r="W111" t="s">
        <v>987</v>
      </c>
      <c r="X111" t="s">
        <v>987</v>
      </c>
      <c r="Y111" t="s">
        <v>987</v>
      </c>
      <c r="Z111" t="s">
        <v>987</v>
      </c>
      <c r="AA111" t="s">
        <v>987</v>
      </c>
      <c r="AB111" t="s">
        <v>987</v>
      </c>
    </row>
    <row r="112" spans="1:28" x14ac:dyDescent="0.3">
      <c r="A112">
        <v>111</v>
      </c>
      <c r="B112" t="s">
        <v>287</v>
      </c>
      <c r="C112">
        <v>35200000</v>
      </c>
      <c r="D112">
        <v>20297931219</v>
      </c>
      <c r="E112" t="s">
        <v>996</v>
      </c>
      <c r="F112" t="s">
        <v>287</v>
      </c>
      <c r="G112">
        <v>5490</v>
      </c>
      <c r="H112" t="s">
        <v>984</v>
      </c>
      <c r="I112" t="s">
        <v>985</v>
      </c>
      <c r="J112" t="s">
        <v>986</v>
      </c>
      <c r="K112">
        <v>119</v>
      </c>
      <c r="L112">
        <v>34</v>
      </c>
      <c r="M112">
        <v>8</v>
      </c>
      <c r="N112">
        <v>127329000</v>
      </c>
      <c r="O112">
        <v>31800</v>
      </c>
      <c r="P112">
        <v>509300</v>
      </c>
      <c r="Q112">
        <v>382000</v>
      </c>
      <c r="R112">
        <v>6100000</v>
      </c>
      <c r="S112">
        <v>100000</v>
      </c>
      <c r="T112">
        <v>2012</v>
      </c>
      <c r="U112" t="s">
        <v>995</v>
      </c>
      <c r="V112">
        <v>26</v>
      </c>
      <c r="W112">
        <v>88.2</v>
      </c>
      <c r="X112">
        <v>328239523</v>
      </c>
      <c r="Y112">
        <v>14.7</v>
      </c>
      <c r="Z112">
        <v>270663028</v>
      </c>
      <c r="AA112">
        <v>37.090240000000001</v>
      </c>
      <c r="AB112">
        <v>-95.712890999999999</v>
      </c>
    </row>
    <row r="113" spans="1:28" x14ac:dyDescent="0.3">
      <c r="A113">
        <v>112</v>
      </c>
      <c r="B113" t="s">
        <v>157</v>
      </c>
      <c r="C113">
        <v>35200000</v>
      </c>
      <c r="D113">
        <v>55299840198</v>
      </c>
      <c r="E113" t="s">
        <v>988</v>
      </c>
      <c r="F113" t="s">
        <v>157</v>
      </c>
      <c r="G113">
        <v>2453</v>
      </c>
      <c r="H113" t="s">
        <v>984</v>
      </c>
      <c r="I113" t="s">
        <v>985</v>
      </c>
      <c r="J113" t="s">
        <v>988</v>
      </c>
      <c r="K113">
        <v>15</v>
      </c>
      <c r="L113">
        <v>35</v>
      </c>
      <c r="M113">
        <v>32</v>
      </c>
      <c r="N113">
        <v>238613000</v>
      </c>
      <c r="O113">
        <v>59700</v>
      </c>
      <c r="P113">
        <v>954500</v>
      </c>
      <c r="Q113">
        <v>715800</v>
      </c>
      <c r="R113">
        <v>11500000</v>
      </c>
      <c r="S113">
        <v>200000</v>
      </c>
      <c r="T113">
        <v>2015</v>
      </c>
      <c r="U113" t="s">
        <v>980</v>
      </c>
      <c r="V113">
        <v>17</v>
      </c>
      <c r="W113">
        <v>88.2</v>
      </c>
      <c r="X113">
        <v>328239523</v>
      </c>
      <c r="Y113">
        <v>14.7</v>
      </c>
      <c r="Z113">
        <v>270663028</v>
      </c>
      <c r="AA113">
        <v>37.090240000000001</v>
      </c>
      <c r="AB113">
        <v>-95.712890999999999</v>
      </c>
    </row>
    <row r="114" spans="1:28" x14ac:dyDescent="0.3">
      <c r="A114">
        <v>113</v>
      </c>
      <c r="B114" t="s">
        <v>105</v>
      </c>
      <c r="C114">
        <v>34900000</v>
      </c>
      <c r="D114">
        <v>25607397308</v>
      </c>
      <c r="E114" t="s">
        <v>990</v>
      </c>
      <c r="F114" t="s">
        <v>1078</v>
      </c>
      <c r="G114">
        <v>617</v>
      </c>
      <c r="H114" t="s">
        <v>984</v>
      </c>
      <c r="I114" t="s">
        <v>985</v>
      </c>
      <c r="J114" t="s">
        <v>1022</v>
      </c>
      <c r="K114">
        <v>69</v>
      </c>
      <c r="L114">
        <v>36</v>
      </c>
      <c r="M114">
        <v>7</v>
      </c>
      <c r="N114">
        <v>335307000</v>
      </c>
      <c r="O114">
        <v>83800</v>
      </c>
      <c r="P114">
        <v>1300000</v>
      </c>
      <c r="Q114">
        <v>1000000</v>
      </c>
      <c r="R114">
        <v>16100000</v>
      </c>
      <c r="S114">
        <v>300000</v>
      </c>
      <c r="T114">
        <v>2016</v>
      </c>
      <c r="U114" t="s">
        <v>1003</v>
      </c>
      <c r="V114">
        <v>6</v>
      </c>
      <c r="W114">
        <v>88.2</v>
      </c>
      <c r="X114">
        <v>328239523</v>
      </c>
      <c r="Y114">
        <v>14.7</v>
      </c>
      <c r="Z114">
        <v>270663028</v>
      </c>
      <c r="AA114">
        <v>37.090240000000001</v>
      </c>
      <c r="AB114">
        <v>-95.712890999999999</v>
      </c>
    </row>
    <row r="115" spans="1:28" x14ac:dyDescent="0.3">
      <c r="A115">
        <v>114</v>
      </c>
      <c r="B115" t="s">
        <v>892</v>
      </c>
      <c r="C115">
        <v>34600000</v>
      </c>
      <c r="D115">
        <v>21306315429</v>
      </c>
      <c r="E115" t="s">
        <v>977</v>
      </c>
      <c r="F115" t="s">
        <v>1079</v>
      </c>
      <c r="G115">
        <v>0</v>
      </c>
      <c r="H115" t="s">
        <v>987</v>
      </c>
      <c r="I115" t="s">
        <v>987</v>
      </c>
      <c r="J115" t="s">
        <v>1027</v>
      </c>
      <c r="K115">
        <v>4057944</v>
      </c>
      <c r="L115" t="s">
        <v>987</v>
      </c>
      <c r="M115">
        <v>4653</v>
      </c>
      <c r="N115" t="s">
        <v>987</v>
      </c>
      <c r="O115">
        <v>0</v>
      </c>
      <c r="P115">
        <v>0</v>
      </c>
      <c r="Q115">
        <v>0</v>
      </c>
      <c r="R115">
        <v>0</v>
      </c>
      <c r="S115" t="s">
        <v>987</v>
      </c>
      <c r="T115">
        <v>2020</v>
      </c>
      <c r="U115" t="s">
        <v>1015</v>
      </c>
      <c r="V115">
        <v>9</v>
      </c>
      <c r="W115" t="s">
        <v>987</v>
      </c>
      <c r="X115" t="s">
        <v>987</v>
      </c>
      <c r="Y115" t="s">
        <v>987</v>
      </c>
      <c r="Z115" t="s">
        <v>987</v>
      </c>
      <c r="AA115" t="s">
        <v>987</v>
      </c>
      <c r="AB115" t="s">
        <v>987</v>
      </c>
    </row>
    <row r="116" spans="1:28" x14ac:dyDescent="0.3">
      <c r="A116">
        <v>115</v>
      </c>
      <c r="B116" t="s">
        <v>833</v>
      </c>
      <c r="C116">
        <v>34400000</v>
      </c>
      <c r="D116">
        <v>9690499664</v>
      </c>
      <c r="E116" t="s">
        <v>996</v>
      </c>
      <c r="F116" t="s">
        <v>1080</v>
      </c>
      <c r="G116">
        <v>1</v>
      </c>
      <c r="H116" t="s">
        <v>987</v>
      </c>
      <c r="I116" t="s">
        <v>987</v>
      </c>
      <c r="J116" t="s">
        <v>986</v>
      </c>
      <c r="K116">
        <v>4057311</v>
      </c>
      <c r="L116" t="s">
        <v>987</v>
      </c>
      <c r="M116">
        <v>7489</v>
      </c>
      <c r="N116">
        <v>86</v>
      </c>
      <c r="O116">
        <v>0.02</v>
      </c>
      <c r="P116">
        <v>0.34</v>
      </c>
      <c r="Q116">
        <v>0.26</v>
      </c>
      <c r="R116">
        <v>4</v>
      </c>
      <c r="S116">
        <v>3</v>
      </c>
      <c r="T116">
        <v>2010</v>
      </c>
      <c r="U116" t="s">
        <v>995</v>
      </c>
      <c r="V116">
        <v>19</v>
      </c>
      <c r="W116" t="s">
        <v>987</v>
      </c>
      <c r="X116" t="s">
        <v>987</v>
      </c>
      <c r="Y116" t="s">
        <v>987</v>
      </c>
      <c r="Z116" t="s">
        <v>987</v>
      </c>
      <c r="AA116" t="s">
        <v>987</v>
      </c>
      <c r="AB116" t="s">
        <v>987</v>
      </c>
    </row>
    <row r="117" spans="1:28" x14ac:dyDescent="0.3">
      <c r="A117">
        <v>116</v>
      </c>
      <c r="B117" t="s">
        <v>338</v>
      </c>
      <c r="C117">
        <v>34300000</v>
      </c>
      <c r="D117">
        <v>12746535822</v>
      </c>
      <c r="E117" t="s">
        <v>977</v>
      </c>
      <c r="F117" t="s">
        <v>338</v>
      </c>
      <c r="G117">
        <v>679</v>
      </c>
      <c r="H117" t="s">
        <v>978</v>
      </c>
      <c r="I117" t="s">
        <v>979</v>
      </c>
      <c r="J117" t="s">
        <v>977</v>
      </c>
      <c r="K117">
        <v>299</v>
      </c>
      <c r="L117">
        <v>31</v>
      </c>
      <c r="M117">
        <v>41</v>
      </c>
      <c r="N117">
        <v>101357000</v>
      </c>
      <c r="O117">
        <v>25300</v>
      </c>
      <c r="P117">
        <v>405400</v>
      </c>
      <c r="Q117">
        <v>304100</v>
      </c>
      <c r="R117">
        <v>4900000</v>
      </c>
      <c r="S117">
        <v>100000</v>
      </c>
      <c r="T117">
        <v>2016</v>
      </c>
      <c r="U117" t="s">
        <v>1025</v>
      </c>
      <c r="V117">
        <v>22</v>
      </c>
      <c r="W117">
        <v>28.1</v>
      </c>
      <c r="X117">
        <v>1366417754</v>
      </c>
      <c r="Y117">
        <v>5.36</v>
      </c>
      <c r="Z117">
        <v>471031528</v>
      </c>
      <c r="AA117">
        <v>20.593684</v>
      </c>
      <c r="AB117">
        <v>78.962879999999998</v>
      </c>
    </row>
    <row r="118" spans="1:28" x14ac:dyDescent="0.3">
      <c r="A118">
        <v>117</v>
      </c>
      <c r="B118" t="s">
        <v>284</v>
      </c>
      <c r="C118">
        <v>34100000</v>
      </c>
      <c r="D118">
        <v>23005313609</v>
      </c>
      <c r="E118" t="s">
        <v>977</v>
      </c>
      <c r="F118" t="s">
        <v>284</v>
      </c>
      <c r="G118">
        <v>141</v>
      </c>
      <c r="H118" t="s">
        <v>1051</v>
      </c>
      <c r="I118" t="s">
        <v>1052</v>
      </c>
      <c r="J118" t="s">
        <v>977</v>
      </c>
      <c r="K118">
        <v>89</v>
      </c>
      <c r="L118">
        <v>2</v>
      </c>
      <c r="M118">
        <v>42</v>
      </c>
      <c r="N118">
        <v>128696000</v>
      </c>
      <c r="O118">
        <v>32200</v>
      </c>
      <c r="P118">
        <v>514800</v>
      </c>
      <c r="Q118">
        <v>386100</v>
      </c>
      <c r="R118">
        <v>6200000</v>
      </c>
      <c r="S118">
        <v>100000</v>
      </c>
      <c r="T118">
        <v>2011</v>
      </c>
      <c r="U118" t="s">
        <v>989</v>
      </c>
      <c r="V118">
        <v>18</v>
      </c>
      <c r="W118">
        <v>55.3</v>
      </c>
      <c r="X118">
        <v>50339443</v>
      </c>
      <c r="Y118">
        <v>9.7100000000000009</v>
      </c>
      <c r="Z118">
        <v>40827302</v>
      </c>
      <c r="AA118">
        <v>4.5708679999999999</v>
      </c>
      <c r="AB118">
        <v>-74.297332999999995</v>
      </c>
    </row>
    <row r="119" spans="1:28" x14ac:dyDescent="0.3">
      <c r="A119">
        <v>118</v>
      </c>
      <c r="B119" t="s">
        <v>53</v>
      </c>
      <c r="C119">
        <v>34000000</v>
      </c>
      <c r="D119">
        <v>3963007415</v>
      </c>
      <c r="E119" t="s">
        <v>988</v>
      </c>
      <c r="F119" t="s">
        <v>53</v>
      </c>
      <c r="G119">
        <v>2284</v>
      </c>
      <c r="H119" t="s">
        <v>1081</v>
      </c>
      <c r="I119" t="s">
        <v>1082</v>
      </c>
      <c r="J119" t="s">
        <v>988</v>
      </c>
      <c r="K119">
        <v>1882</v>
      </c>
      <c r="L119">
        <v>1</v>
      </c>
      <c r="M119">
        <v>33</v>
      </c>
      <c r="N119">
        <v>547141000</v>
      </c>
      <c r="O119">
        <v>136800</v>
      </c>
      <c r="P119">
        <v>2200000</v>
      </c>
      <c r="Q119">
        <v>1600000</v>
      </c>
      <c r="R119">
        <v>26300000</v>
      </c>
      <c r="S119">
        <v>5500000</v>
      </c>
      <c r="T119">
        <v>2017</v>
      </c>
      <c r="U119" t="s">
        <v>991</v>
      </c>
      <c r="V119">
        <v>7</v>
      </c>
      <c r="W119">
        <v>36.299999999999997</v>
      </c>
      <c r="X119">
        <v>270203917</v>
      </c>
      <c r="Y119">
        <v>4.6900000000000004</v>
      </c>
      <c r="Z119">
        <v>151509724</v>
      </c>
      <c r="AA119">
        <v>-0.78927499999999995</v>
      </c>
      <c r="AB119">
        <v>113.92132700000001</v>
      </c>
    </row>
    <row r="120" spans="1:28" x14ac:dyDescent="0.3">
      <c r="A120">
        <v>119</v>
      </c>
      <c r="B120" t="s">
        <v>209</v>
      </c>
      <c r="C120">
        <v>34000000</v>
      </c>
      <c r="D120">
        <v>11351015824</v>
      </c>
      <c r="E120" t="s">
        <v>982</v>
      </c>
      <c r="F120" t="s">
        <v>209</v>
      </c>
      <c r="G120">
        <v>240</v>
      </c>
      <c r="H120" t="s">
        <v>978</v>
      </c>
      <c r="I120" t="s">
        <v>979</v>
      </c>
      <c r="J120" t="s">
        <v>1022</v>
      </c>
      <c r="K120">
        <v>360</v>
      </c>
      <c r="L120">
        <v>32</v>
      </c>
      <c r="M120">
        <v>8</v>
      </c>
      <c r="N120">
        <v>179903000</v>
      </c>
      <c r="O120">
        <v>45000</v>
      </c>
      <c r="P120">
        <v>719600</v>
      </c>
      <c r="Q120">
        <v>539700</v>
      </c>
      <c r="R120">
        <v>8600000</v>
      </c>
      <c r="S120">
        <v>600000</v>
      </c>
      <c r="T120">
        <v>2013</v>
      </c>
      <c r="U120" t="s">
        <v>1003</v>
      </c>
      <c r="V120">
        <v>24</v>
      </c>
      <c r="W120">
        <v>28.1</v>
      </c>
      <c r="X120">
        <v>1366417754</v>
      </c>
      <c r="Y120">
        <v>5.36</v>
      </c>
      <c r="Z120">
        <v>471031528</v>
      </c>
      <c r="AA120">
        <v>20.593684</v>
      </c>
      <c r="AB120">
        <v>78.962879999999998</v>
      </c>
    </row>
    <row r="121" spans="1:28" x14ac:dyDescent="0.3">
      <c r="A121">
        <v>120</v>
      </c>
      <c r="B121" t="s">
        <v>546</v>
      </c>
      <c r="C121">
        <v>33800000</v>
      </c>
      <c r="D121">
        <v>15432929204</v>
      </c>
      <c r="E121" t="s">
        <v>996</v>
      </c>
      <c r="F121" t="s">
        <v>546</v>
      </c>
      <c r="G121">
        <v>7606</v>
      </c>
      <c r="H121" t="s">
        <v>1065</v>
      </c>
      <c r="I121" t="s">
        <v>1066</v>
      </c>
      <c r="J121" t="s">
        <v>986</v>
      </c>
      <c r="K121">
        <v>211</v>
      </c>
      <c r="L121">
        <v>2</v>
      </c>
      <c r="M121">
        <v>10</v>
      </c>
      <c r="N121">
        <v>39094000</v>
      </c>
      <c r="O121">
        <v>9800</v>
      </c>
      <c r="P121">
        <v>156400</v>
      </c>
      <c r="Q121">
        <v>117300</v>
      </c>
      <c r="R121">
        <v>1900000</v>
      </c>
      <c r="S121" t="s">
        <v>987</v>
      </c>
      <c r="T121">
        <v>2008</v>
      </c>
      <c r="U121" t="s">
        <v>980</v>
      </c>
      <c r="V121">
        <v>2</v>
      </c>
      <c r="W121">
        <v>88.9</v>
      </c>
      <c r="X121">
        <v>47076781</v>
      </c>
      <c r="Y121">
        <v>13.96</v>
      </c>
      <c r="Z121">
        <v>37927409</v>
      </c>
      <c r="AA121">
        <v>40.463667000000001</v>
      </c>
      <c r="AB121">
        <v>-3.7492200000000002</v>
      </c>
    </row>
    <row r="122" spans="1:28" x14ac:dyDescent="0.3">
      <c r="A122">
        <v>121</v>
      </c>
      <c r="B122" t="s">
        <v>81</v>
      </c>
      <c r="C122">
        <v>33800000</v>
      </c>
      <c r="D122">
        <v>27274550757</v>
      </c>
      <c r="E122" t="s">
        <v>982</v>
      </c>
      <c r="F122" t="s">
        <v>81</v>
      </c>
      <c r="G122">
        <v>66</v>
      </c>
      <c r="H122" t="s">
        <v>1019</v>
      </c>
      <c r="I122" t="s">
        <v>1020</v>
      </c>
      <c r="J122" t="s">
        <v>1022</v>
      </c>
      <c r="K122">
        <v>54</v>
      </c>
      <c r="L122">
        <v>8</v>
      </c>
      <c r="M122">
        <v>9</v>
      </c>
      <c r="N122">
        <v>403508000</v>
      </c>
      <c r="O122">
        <v>100900</v>
      </c>
      <c r="P122">
        <v>1600000</v>
      </c>
      <c r="Q122">
        <v>1200000</v>
      </c>
      <c r="R122">
        <v>19400000</v>
      </c>
      <c r="S122">
        <v>200000</v>
      </c>
      <c r="T122">
        <v>2006</v>
      </c>
      <c r="U122" t="s">
        <v>1010</v>
      </c>
      <c r="V122">
        <v>30</v>
      </c>
      <c r="W122">
        <v>51.3</v>
      </c>
      <c r="X122">
        <v>212559417</v>
      </c>
      <c r="Y122">
        <v>12.08</v>
      </c>
      <c r="Z122">
        <v>183241641</v>
      </c>
      <c r="AA122">
        <v>-14.235004</v>
      </c>
      <c r="AB122">
        <v>-51.925280000000001</v>
      </c>
    </row>
    <row r="123" spans="1:28" x14ac:dyDescent="0.3">
      <c r="A123">
        <v>122</v>
      </c>
      <c r="B123" t="s">
        <v>178</v>
      </c>
      <c r="C123">
        <v>33700000</v>
      </c>
      <c r="D123">
        <v>23492684419</v>
      </c>
      <c r="E123" t="s">
        <v>996</v>
      </c>
      <c r="F123" t="s">
        <v>178</v>
      </c>
      <c r="G123">
        <v>3366</v>
      </c>
      <c r="H123" t="s">
        <v>984</v>
      </c>
      <c r="I123" t="s">
        <v>985</v>
      </c>
      <c r="J123" t="s">
        <v>988</v>
      </c>
      <c r="K123">
        <v>83</v>
      </c>
      <c r="L123">
        <v>37</v>
      </c>
      <c r="M123">
        <v>35</v>
      </c>
      <c r="N123">
        <v>210955000</v>
      </c>
      <c r="O123">
        <v>52700</v>
      </c>
      <c r="P123">
        <v>843800</v>
      </c>
      <c r="Q123">
        <v>632900</v>
      </c>
      <c r="R123">
        <v>10100000</v>
      </c>
      <c r="S123">
        <v>200000</v>
      </c>
      <c r="T123">
        <v>2013</v>
      </c>
      <c r="U123" t="s">
        <v>1003</v>
      </c>
      <c r="V123">
        <v>20</v>
      </c>
      <c r="W123">
        <v>88.2</v>
      </c>
      <c r="X123">
        <v>328239523</v>
      </c>
      <c r="Y123">
        <v>14.7</v>
      </c>
      <c r="Z123">
        <v>270663028</v>
      </c>
      <c r="AA123">
        <v>37.090240000000001</v>
      </c>
      <c r="AB123">
        <v>-95.712890999999999</v>
      </c>
    </row>
    <row r="124" spans="1:28" x14ac:dyDescent="0.3">
      <c r="A124">
        <v>123</v>
      </c>
      <c r="B124" t="s">
        <v>921</v>
      </c>
      <c r="C124">
        <v>33700000</v>
      </c>
      <c r="D124">
        <v>10189027455</v>
      </c>
      <c r="E124" t="s">
        <v>977</v>
      </c>
      <c r="F124" t="s">
        <v>1083</v>
      </c>
      <c r="G124">
        <v>2</v>
      </c>
      <c r="H124" t="s">
        <v>987</v>
      </c>
      <c r="I124" t="s">
        <v>987</v>
      </c>
      <c r="J124" t="s">
        <v>977</v>
      </c>
      <c r="K124">
        <v>4057699</v>
      </c>
      <c r="L124" t="s">
        <v>987</v>
      </c>
      <c r="M124">
        <v>5775</v>
      </c>
      <c r="N124" t="s">
        <v>987</v>
      </c>
      <c r="O124">
        <v>0</v>
      </c>
      <c r="P124">
        <v>0</v>
      </c>
      <c r="Q124">
        <v>0</v>
      </c>
      <c r="R124">
        <v>0</v>
      </c>
      <c r="S124" t="s">
        <v>987</v>
      </c>
      <c r="T124">
        <v>2018</v>
      </c>
      <c r="U124" t="s">
        <v>999</v>
      </c>
      <c r="V124">
        <v>10</v>
      </c>
      <c r="W124" t="s">
        <v>987</v>
      </c>
      <c r="X124" t="s">
        <v>987</v>
      </c>
      <c r="Y124" t="s">
        <v>987</v>
      </c>
      <c r="Z124" t="s">
        <v>987</v>
      </c>
      <c r="AA124" t="s">
        <v>987</v>
      </c>
      <c r="AB124" t="s">
        <v>987</v>
      </c>
    </row>
    <row r="125" spans="1:28" x14ac:dyDescent="0.3">
      <c r="A125">
        <v>124</v>
      </c>
      <c r="B125" t="s">
        <v>300</v>
      </c>
      <c r="C125">
        <v>33600000</v>
      </c>
      <c r="D125">
        <v>13013567335</v>
      </c>
      <c r="E125" t="s">
        <v>982</v>
      </c>
      <c r="F125" t="s">
        <v>300</v>
      </c>
      <c r="G125">
        <v>188</v>
      </c>
      <c r="H125" t="s">
        <v>984</v>
      </c>
      <c r="I125" t="s">
        <v>985</v>
      </c>
      <c r="J125" t="s">
        <v>977</v>
      </c>
      <c r="K125">
        <v>288</v>
      </c>
      <c r="L125">
        <v>38</v>
      </c>
      <c r="M125">
        <v>43</v>
      </c>
      <c r="N125">
        <v>115792000</v>
      </c>
      <c r="O125">
        <v>28900</v>
      </c>
      <c r="P125">
        <v>463200</v>
      </c>
      <c r="Q125">
        <v>347400</v>
      </c>
      <c r="R125">
        <v>5600000</v>
      </c>
      <c r="S125">
        <v>200000</v>
      </c>
      <c r="T125">
        <v>2008</v>
      </c>
      <c r="U125" t="s">
        <v>989</v>
      </c>
      <c r="V125">
        <v>8</v>
      </c>
      <c r="W125">
        <v>88.2</v>
      </c>
      <c r="X125">
        <v>328239523</v>
      </c>
      <c r="Y125">
        <v>14.7</v>
      </c>
      <c r="Z125">
        <v>270663028</v>
      </c>
      <c r="AA125">
        <v>37.090240000000001</v>
      </c>
      <c r="AB125">
        <v>-95.712890999999999</v>
      </c>
    </row>
    <row r="126" spans="1:28" x14ac:dyDescent="0.3">
      <c r="A126">
        <v>125</v>
      </c>
      <c r="B126" t="s">
        <v>135</v>
      </c>
      <c r="C126">
        <v>33500000</v>
      </c>
      <c r="D126">
        <v>14864294792</v>
      </c>
      <c r="E126" t="s">
        <v>977</v>
      </c>
      <c r="F126" t="s">
        <v>135</v>
      </c>
      <c r="G126">
        <v>3741</v>
      </c>
      <c r="H126" t="s">
        <v>978</v>
      </c>
      <c r="I126" t="s">
        <v>979</v>
      </c>
      <c r="J126" t="s">
        <v>988</v>
      </c>
      <c r="K126">
        <v>222</v>
      </c>
      <c r="L126">
        <v>34</v>
      </c>
      <c r="M126">
        <v>36</v>
      </c>
      <c r="N126">
        <v>272255000</v>
      </c>
      <c r="O126">
        <v>68100</v>
      </c>
      <c r="P126">
        <v>1100000</v>
      </c>
      <c r="Q126">
        <v>816800</v>
      </c>
      <c r="R126">
        <v>13100000</v>
      </c>
      <c r="S126">
        <v>500000</v>
      </c>
      <c r="T126">
        <v>2006</v>
      </c>
      <c r="U126" t="s">
        <v>980</v>
      </c>
      <c r="V126">
        <v>24</v>
      </c>
      <c r="W126">
        <v>28.1</v>
      </c>
      <c r="X126">
        <v>1366417754</v>
      </c>
      <c r="Y126">
        <v>5.36</v>
      </c>
      <c r="Z126">
        <v>471031528</v>
      </c>
      <c r="AA126">
        <v>20.593684</v>
      </c>
      <c r="AB126">
        <v>78.962879999999998</v>
      </c>
    </row>
    <row r="127" spans="1:28" x14ac:dyDescent="0.3">
      <c r="A127">
        <v>126</v>
      </c>
      <c r="B127" t="s">
        <v>943</v>
      </c>
      <c r="C127">
        <v>33500000</v>
      </c>
      <c r="D127">
        <v>29611914495</v>
      </c>
      <c r="E127" t="s">
        <v>988</v>
      </c>
      <c r="F127" t="s">
        <v>943</v>
      </c>
      <c r="G127">
        <v>96214</v>
      </c>
      <c r="H127" t="s">
        <v>1048</v>
      </c>
      <c r="I127" t="s">
        <v>1049</v>
      </c>
      <c r="J127" t="s">
        <v>988</v>
      </c>
      <c r="K127">
        <v>41</v>
      </c>
      <c r="L127">
        <v>3</v>
      </c>
      <c r="M127">
        <v>37</v>
      </c>
      <c r="N127">
        <v>61307000</v>
      </c>
      <c r="O127">
        <v>0</v>
      </c>
      <c r="P127">
        <v>0</v>
      </c>
      <c r="Q127">
        <v>0</v>
      </c>
      <c r="R127">
        <v>0</v>
      </c>
      <c r="S127">
        <v>100000</v>
      </c>
      <c r="T127">
        <v>2014</v>
      </c>
      <c r="U127" t="s">
        <v>995</v>
      </c>
      <c r="V127">
        <v>29</v>
      </c>
      <c r="W127">
        <v>49.3</v>
      </c>
      <c r="X127">
        <v>69625582</v>
      </c>
      <c r="Y127">
        <v>0.75</v>
      </c>
      <c r="Z127">
        <v>35294600</v>
      </c>
      <c r="AA127">
        <v>15.870032</v>
      </c>
      <c r="AB127">
        <v>100.992541</v>
      </c>
    </row>
    <row r="128" spans="1:28" x14ac:dyDescent="0.3">
      <c r="A128">
        <v>127</v>
      </c>
      <c r="B128" t="s">
        <v>637</v>
      </c>
      <c r="C128">
        <v>33500000</v>
      </c>
      <c r="D128">
        <v>11405809704</v>
      </c>
      <c r="E128" t="s">
        <v>1044</v>
      </c>
      <c r="F128" t="s">
        <v>637</v>
      </c>
      <c r="G128">
        <v>217</v>
      </c>
      <c r="H128" t="s">
        <v>978</v>
      </c>
      <c r="I128" t="s">
        <v>979</v>
      </c>
      <c r="J128" t="s">
        <v>1044</v>
      </c>
      <c r="K128">
        <v>357</v>
      </c>
      <c r="L128">
        <v>35</v>
      </c>
      <c r="M128">
        <v>4</v>
      </c>
      <c r="N128">
        <v>24736000</v>
      </c>
      <c r="O128">
        <v>6200</v>
      </c>
      <c r="P128">
        <v>98900</v>
      </c>
      <c r="Q128">
        <v>74200</v>
      </c>
      <c r="R128">
        <v>1200000</v>
      </c>
      <c r="S128">
        <v>100000</v>
      </c>
      <c r="T128">
        <v>2013</v>
      </c>
      <c r="U128" t="s">
        <v>1029</v>
      </c>
      <c r="V128">
        <v>11</v>
      </c>
      <c r="W128">
        <v>28.1</v>
      </c>
      <c r="X128">
        <v>1366417754</v>
      </c>
      <c r="Y128">
        <v>5.36</v>
      </c>
      <c r="Z128">
        <v>471031528</v>
      </c>
      <c r="AA128">
        <v>20.593684</v>
      </c>
      <c r="AB128">
        <v>78.962879999999998</v>
      </c>
    </row>
    <row r="129" spans="1:28" x14ac:dyDescent="0.3">
      <c r="A129">
        <v>128</v>
      </c>
      <c r="B129" t="s">
        <v>468</v>
      </c>
      <c r="C129">
        <v>33400000</v>
      </c>
      <c r="D129">
        <v>10530729078</v>
      </c>
      <c r="E129" t="s">
        <v>977</v>
      </c>
      <c r="F129" t="s">
        <v>468</v>
      </c>
      <c r="G129">
        <v>1331</v>
      </c>
      <c r="H129" t="s">
        <v>1013</v>
      </c>
      <c r="I129" t="s">
        <v>1014</v>
      </c>
      <c r="J129" t="s">
        <v>977</v>
      </c>
      <c r="K129">
        <v>402</v>
      </c>
      <c r="L129">
        <v>3</v>
      </c>
      <c r="M129">
        <v>44</v>
      </c>
      <c r="N129">
        <v>55654000</v>
      </c>
      <c r="O129">
        <v>13900</v>
      </c>
      <c r="P129">
        <v>222600</v>
      </c>
      <c r="Q129">
        <v>167000</v>
      </c>
      <c r="R129">
        <v>2700000</v>
      </c>
      <c r="S129" t="s">
        <v>987</v>
      </c>
      <c r="T129">
        <v>2011</v>
      </c>
      <c r="U129" t="s">
        <v>1010</v>
      </c>
      <c r="V129">
        <v>14</v>
      </c>
      <c r="W129">
        <v>60</v>
      </c>
      <c r="X129">
        <v>66834405</v>
      </c>
      <c r="Y129">
        <v>3.85</v>
      </c>
      <c r="Z129">
        <v>55908316</v>
      </c>
      <c r="AA129">
        <v>55.378050999999999</v>
      </c>
      <c r="AB129">
        <v>-3.4359730000000002</v>
      </c>
    </row>
    <row r="130" spans="1:28" x14ac:dyDescent="0.3">
      <c r="A130">
        <v>129</v>
      </c>
      <c r="B130" t="s">
        <v>273</v>
      </c>
      <c r="C130">
        <v>33400000</v>
      </c>
      <c r="D130">
        <v>20269857567</v>
      </c>
      <c r="E130" t="s">
        <v>990</v>
      </c>
      <c r="F130" t="s">
        <v>273</v>
      </c>
      <c r="G130">
        <v>338</v>
      </c>
      <c r="H130" t="s">
        <v>978</v>
      </c>
      <c r="I130" t="s">
        <v>979</v>
      </c>
      <c r="J130" t="s">
        <v>990</v>
      </c>
      <c r="K130">
        <v>120</v>
      </c>
      <c r="L130">
        <v>35</v>
      </c>
      <c r="M130">
        <v>9</v>
      </c>
      <c r="N130">
        <v>136084000</v>
      </c>
      <c r="O130">
        <v>34000</v>
      </c>
      <c r="P130">
        <v>544300</v>
      </c>
      <c r="Q130">
        <v>408300</v>
      </c>
      <c r="R130">
        <v>6500000</v>
      </c>
      <c r="S130">
        <v>200000</v>
      </c>
      <c r="T130">
        <v>2008</v>
      </c>
      <c r="U130" t="s">
        <v>1010</v>
      </c>
      <c r="V130">
        <v>26</v>
      </c>
      <c r="W130">
        <v>28.1</v>
      </c>
      <c r="X130">
        <v>1366417754</v>
      </c>
      <c r="Y130">
        <v>5.36</v>
      </c>
      <c r="Z130">
        <v>471031528</v>
      </c>
      <c r="AA130">
        <v>20.593684</v>
      </c>
      <c r="AB130">
        <v>78.962879999999998</v>
      </c>
    </row>
    <row r="131" spans="1:28" x14ac:dyDescent="0.3">
      <c r="A131">
        <v>130</v>
      </c>
      <c r="B131" t="s">
        <v>240</v>
      </c>
      <c r="C131">
        <v>33300000</v>
      </c>
      <c r="D131">
        <v>5994136760</v>
      </c>
      <c r="E131" t="s">
        <v>994</v>
      </c>
      <c r="F131" t="s">
        <v>240</v>
      </c>
      <c r="G131">
        <v>2736</v>
      </c>
      <c r="H131" t="s">
        <v>1081</v>
      </c>
      <c r="I131" t="s">
        <v>1082</v>
      </c>
      <c r="J131" t="s">
        <v>988</v>
      </c>
      <c r="K131">
        <v>1043</v>
      </c>
      <c r="L131">
        <v>2</v>
      </c>
      <c r="M131">
        <v>34</v>
      </c>
      <c r="N131">
        <v>157101000</v>
      </c>
      <c r="O131">
        <v>39300</v>
      </c>
      <c r="P131">
        <v>628400</v>
      </c>
      <c r="Q131">
        <v>471300</v>
      </c>
      <c r="R131">
        <v>7500000</v>
      </c>
      <c r="S131">
        <v>1900000</v>
      </c>
      <c r="T131">
        <v>2016</v>
      </c>
      <c r="U131" t="s">
        <v>1003</v>
      </c>
      <c r="V131">
        <v>15</v>
      </c>
      <c r="W131">
        <v>36.299999999999997</v>
      </c>
      <c r="X131">
        <v>270203917</v>
      </c>
      <c r="Y131">
        <v>4.6900000000000004</v>
      </c>
      <c r="Z131">
        <v>151509724</v>
      </c>
      <c r="AA131">
        <v>-0.78927499999999995</v>
      </c>
      <c r="AB131">
        <v>113.92132700000001</v>
      </c>
    </row>
    <row r="132" spans="1:28" x14ac:dyDescent="0.3">
      <c r="A132">
        <v>131</v>
      </c>
      <c r="B132" t="s">
        <v>290</v>
      </c>
      <c r="C132">
        <v>32800000</v>
      </c>
      <c r="D132">
        <v>26355088167</v>
      </c>
      <c r="E132" t="s">
        <v>990</v>
      </c>
      <c r="F132" t="s">
        <v>290</v>
      </c>
      <c r="G132">
        <v>2122</v>
      </c>
      <c r="H132" t="s">
        <v>984</v>
      </c>
      <c r="I132" t="s">
        <v>985</v>
      </c>
      <c r="J132" t="s">
        <v>990</v>
      </c>
      <c r="K132">
        <v>64</v>
      </c>
      <c r="L132">
        <v>39</v>
      </c>
      <c r="M132">
        <v>10</v>
      </c>
      <c r="N132">
        <v>127498000</v>
      </c>
      <c r="O132">
        <v>31900</v>
      </c>
      <c r="P132">
        <v>510000</v>
      </c>
      <c r="Q132">
        <v>382500</v>
      </c>
      <c r="R132">
        <v>6100000</v>
      </c>
      <c r="S132">
        <v>200000</v>
      </c>
      <c r="T132">
        <v>2016</v>
      </c>
      <c r="U132" t="s">
        <v>1015</v>
      </c>
      <c r="V132">
        <v>15</v>
      </c>
      <c r="W132">
        <v>88.2</v>
      </c>
      <c r="X132">
        <v>328239523</v>
      </c>
      <c r="Y132">
        <v>14.7</v>
      </c>
      <c r="Z132">
        <v>270663028</v>
      </c>
      <c r="AA132">
        <v>37.090240000000001</v>
      </c>
      <c r="AB132">
        <v>-95.712890999999999</v>
      </c>
    </row>
    <row r="133" spans="1:28" x14ac:dyDescent="0.3">
      <c r="A133">
        <v>132</v>
      </c>
      <c r="B133" t="s">
        <v>660</v>
      </c>
      <c r="C133">
        <v>32700000</v>
      </c>
      <c r="D133">
        <v>17853798780</v>
      </c>
      <c r="E133" t="s">
        <v>988</v>
      </c>
      <c r="F133" t="s">
        <v>1084</v>
      </c>
      <c r="G133">
        <v>1521</v>
      </c>
      <c r="H133" t="s">
        <v>978</v>
      </c>
      <c r="I133" t="s">
        <v>979</v>
      </c>
      <c r="J133" t="s">
        <v>988</v>
      </c>
      <c r="K133">
        <v>8055</v>
      </c>
      <c r="L133">
        <v>730</v>
      </c>
      <c r="M133">
        <v>838</v>
      </c>
      <c r="N133">
        <v>20263000</v>
      </c>
      <c r="O133">
        <v>5100</v>
      </c>
      <c r="P133">
        <v>81100</v>
      </c>
      <c r="Q133">
        <v>60800</v>
      </c>
      <c r="R133">
        <v>972600</v>
      </c>
      <c r="S133">
        <v>40000</v>
      </c>
      <c r="T133">
        <v>2012</v>
      </c>
      <c r="U133" t="s">
        <v>980</v>
      </c>
      <c r="V133">
        <v>14</v>
      </c>
      <c r="W133">
        <v>28.1</v>
      </c>
      <c r="X133">
        <v>1366417754</v>
      </c>
      <c r="Y133">
        <v>5.36</v>
      </c>
      <c r="Z133">
        <v>471031528</v>
      </c>
      <c r="AA133">
        <v>20.593684</v>
      </c>
      <c r="AB133">
        <v>78.962879999999998</v>
      </c>
    </row>
    <row r="134" spans="1:28" x14ac:dyDescent="0.3">
      <c r="A134">
        <v>133</v>
      </c>
      <c r="B134" t="s">
        <v>10</v>
      </c>
      <c r="C134">
        <v>32700000</v>
      </c>
      <c r="D134">
        <v>19180039918</v>
      </c>
      <c r="E134" t="s">
        <v>987</v>
      </c>
      <c r="F134" t="s">
        <v>10</v>
      </c>
      <c r="G134">
        <v>2738</v>
      </c>
      <c r="H134" t="s">
        <v>1085</v>
      </c>
      <c r="I134" t="s">
        <v>1086</v>
      </c>
      <c r="J134" t="s">
        <v>986</v>
      </c>
      <c r="K134">
        <v>137</v>
      </c>
      <c r="L134">
        <v>1</v>
      </c>
      <c r="M134">
        <v>11</v>
      </c>
      <c r="N134">
        <v>1463000000</v>
      </c>
      <c r="O134">
        <v>365900</v>
      </c>
      <c r="P134">
        <v>5900000</v>
      </c>
      <c r="Q134">
        <v>4400000</v>
      </c>
      <c r="R134">
        <v>70200000</v>
      </c>
      <c r="S134">
        <v>2100000</v>
      </c>
      <c r="T134">
        <v>2012</v>
      </c>
      <c r="U134" t="s">
        <v>1005</v>
      </c>
      <c r="V134">
        <v>12</v>
      </c>
      <c r="W134">
        <v>23.9</v>
      </c>
      <c r="X134">
        <v>83429615</v>
      </c>
      <c r="Y134">
        <v>13.49</v>
      </c>
      <c r="Z134">
        <v>63097818</v>
      </c>
      <c r="AA134">
        <v>38.963745000000003</v>
      </c>
      <c r="AB134">
        <v>35.243321999999999</v>
      </c>
    </row>
    <row r="135" spans="1:28" x14ac:dyDescent="0.3">
      <c r="A135">
        <v>134</v>
      </c>
      <c r="B135" t="s">
        <v>111</v>
      </c>
      <c r="C135">
        <v>32700000</v>
      </c>
      <c r="D135">
        <v>28516250629</v>
      </c>
      <c r="E135" t="s">
        <v>977</v>
      </c>
      <c r="F135" t="s">
        <v>111</v>
      </c>
      <c r="G135">
        <v>2068</v>
      </c>
      <c r="H135" t="s">
        <v>984</v>
      </c>
      <c r="I135" t="s">
        <v>985</v>
      </c>
      <c r="J135" t="s">
        <v>977</v>
      </c>
      <c r="K135">
        <v>50</v>
      </c>
      <c r="L135">
        <v>40</v>
      </c>
      <c r="M135">
        <v>45</v>
      </c>
      <c r="N135">
        <v>329861000</v>
      </c>
      <c r="O135">
        <v>82500</v>
      </c>
      <c r="P135">
        <v>1300000</v>
      </c>
      <c r="Q135">
        <v>989600</v>
      </c>
      <c r="R135">
        <v>15800000</v>
      </c>
      <c r="S135">
        <v>300000</v>
      </c>
      <c r="T135">
        <v>2010</v>
      </c>
      <c r="U135" t="s">
        <v>995</v>
      </c>
      <c r="V135">
        <v>20</v>
      </c>
      <c r="W135">
        <v>88.2</v>
      </c>
      <c r="X135">
        <v>328239523</v>
      </c>
      <c r="Y135">
        <v>14.7</v>
      </c>
      <c r="Z135">
        <v>270663028</v>
      </c>
      <c r="AA135">
        <v>37.090240000000001</v>
      </c>
      <c r="AB135">
        <v>-95.712890999999999</v>
      </c>
    </row>
    <row r="136" spans="1:28" x14ac:dyDescent="0.3">
      <c r="A136">
        <v>135</v>
      </c>
      <c r="B136" t="s">
        <v>92</v>
      </c>
      <c r="C136">
        <v>32600000</v>
      </c>
      <c r="D136">
        <v>23379969006</v>
      </c>
      <c r="E136" t="s">
        <v>977</v>
      </c>
      <c r="F136" t="s">
        <v>92</v>
      </c>
      <c r="G136">
        <v>169</v>
      </c>
      <c r="H136" t="s">
        <v>1017</v>
      </c>
      <c r="I136" t="s">
        <v>1018</v>
      </c>
      <c r="J136" t="s">
        <v>977</v>
      </c>
      <c r="K136">
        <v>85</v>
      </c>
      <c r="L136">
        <v>3</v>
      </c>
      <c r="M136">
        <v>45</v>
      </c>
      <c r="N136">
        <v>373828000</v>
      </c>
      <c r="O136">
        <v>93500</v>
      </c>
      <c r="P136">
        <v>1500000</v>
      </c>
      <c r="Q136">
        <v>1100000</v>
      </c>
      <c r="R136">
        <v>17900000</v>
      </c>
      <c r="S136">
        <v>200000</v>
      </c>
      <c r="T136">
        <v>2011</v>
      </c>
      <c r="U136" t="s">
        <v>989</v>
      </c>
      <c r="V136">
        <v>25</v>
      </c>
      <c r="W136">
        <v>68.900000000000006</v>
      </c>
      <c r="X136">
        <v>36991981</v>
      </c>
      <c r="Y136">
        <v>5.56</v>
      </c>
      <c r="Z136">
        <v>30628482</v>
      </c>
      <c r="AA136">
        <v>56.130366000000002</v>
      </c>
      <c r="AB136">
        <v>-106.346771</v>
      </c>
    </row>
    <row r="137" spans="1:28" x14ac:dyDescent="0.3">
      <c r="A137">
        <v>136</v>
      </c>
      <c r="B137" t="s">
        <v>873</v>
      </c>
      <c r="C137">
        <v>32200000</v>
      </c>
      <c r="D137">
        <v>16613441479</v>
      </c>
      <c r="E137" t="s">
        <v>982</v>
      </c>
      <c r="F137" t="s">
        <v>1087</v>
      </c>
      <c r="G137">
        <v>2</v>
      </c>
      <c r="H137" t="s">
        <v>987</v>
      </c>
      <c r="I137" t="s">
        <v>987</v>
      </c>
      <c r="J137" t="s">
        <v>988</v>
      </c>
      <c r="K137">
        <v>4053139</v>
      </c>
      <c r="L137" t="s">
        <v>987</v>
      </c>
      <c r="M137">
        <v>6723</v>
      </c>
      <c r="N137">
        <v>1</v>
      </c>
      <c r="O137">
        <v>0</v>
      </c>
      <c r="P137">
        <v>0</v>
      </c>
      <c r="Q137">
        <v>0</v>
      </c>
      <c r="R137">
        <v>0.05</v>
      </c>
      <c r="S137" t="s">
        <v>987</v>
      </c>
      <c r="T137">
        <v>2006</v>
      </c>
      <c r="U137" t="s">
        <v>1005</v>
      </c>
      <c r="V137">
        <v>16</v>
      </c>
      <c r="W137" t="s">
        <v>987</v>
      </c>
      <c r="X137" t="s">
        <v>987</v>
      </c>
      <c r="Y137" t="s">
        <v>987</v>
      </c>
      <c r="Z137" t="s">
        <v>987</v>
      </c>
      <c r="AA137" t="s">
        <v>987</v>
      </c>
      <c r="AB137" t="s">
        <v>987</v>
      </c>
    </row>
    <row r="138" spans="1:28" x14ac:dyDescent="0.3">
      <c r="A138">
        <v>137</v>
      </c>
      <c r="B138" t="s">
        <v>67</v>
      </c>
      <c r="C138">
        <v>32100000</v>
      </c>
      <c r="D138">
        <v>18699145555</v>
      </c>
      <c r="E138" t="s">
        <v>977</v>
      </c>
      <c r="F138" t="s">
        <v>67</v>
      </c>
      <c r="G138">
        <v>134</v>
      </c>
      <c r="H138" t="s">
        <v>1051</v>
      </c>
      <c r="I138" t="s">
        <v>1052</v>
      </c>
      <c r="J138" t="s">
        <v>977</v>
      </c>
      <c r="K138">
        <v>140</v>
      </c>
      <c r="L138">
        <v>3</v>
      </c>
      <c r="M138">
        <v>46</v>
      </c>
      <c r="N138">
        <v>465647000</v>
      </c>
      <c r="O138">
        <v>116400</v>
      </c>
      <c r="P138">
        <v>1900000</v>
      </c>
      <c r="Q138">
        <v>1400000</v>
      </c>
      <c r="R138">
        <v>22400000</v>
      </c>
      <c r="S138">
        <v>300000</v>
      </c>
      <c r="T138">
        <v>2013</v>
      </c>
      <c r="U138" t="s">
        <v>980</v>
      </c>
      <c r="V138">
        <v>14</v>
      </c>
      <c r="W138">
        <v>55.3</v>
      </c>
      <c r="X138">
        <v>50339443</v>
      </c>
      <c r="Y138">
        <v>9.7100000000000009</v>
      </c>
      <c r="Z138">
        <v>40827302</v>
      </c>
      <c r="AA138">
        <v>4.5708679999999999</v>
      </c>
      <c r="AB138">
        <v>-74.297332999999995</v>
      </c>
    </row>
    <row r="139" spans="1:28" x14ac:dyDescent="0.3">
      <c r="A139">
        <v>138</v>
      </c>
      <c r="B139" t="s">
        <v>466</v>
      </c>
      <c r="C139">
        <v>32100000</v>
      </c>
      <c r="D139">
        <v>10602236110</v>
      </c>
      <c r="E139" t="s">
        <v>992</v>
      </c>
      <c r="F139" t="s">
        <v>466</v>
      </c>
      <c r="G139">
        <v>3091</v>
      </c>
      <c r="H139" t="s">
        <v>1013</v>
      </c>
      <c r="I139" t="s">
        <v>1014</v>
      </c>
      <c r="J139" t="s">
        <v>1044</v>
      </c>
      <c r="K139">
        <v>400</v>
      </c>
      <c r="L139">
        <v>4</v>
      </c>
      <c r="M139">
        <v>5</v>
      </c>
      <c r="N139">
        <v>56534000</v>
      </c>
      <c r="O139">
        <v>14100</v>
      </c>
      <c r="P139">
        <v>226100</v>
      </c>
      <c r="Q139">
        <v>169600</v>
      </c>
      <c r="R139">
        <v>2700000</v>
      </c>
      <c r="S139">
        <v>100000</v>
      </c>
      <c r="T139">
        <v>2006</v>
      </c>
      <c r="U139" t="s">
        <v>1003</v>
      </c>
      <c r="V139">
        <v>4</v>
      </c>
      <c r="W139">
        <v>60</v>
      </c>
      <c r="X139">
        <v>66834405</v>
      </c>
      <c r="Y139">
        <v>3.85</v>
      </c>
      <c r="Z139">
        <v>55908316</v>
      </c>
      <c r="AA139">
        <v>55.378050999999999</v>
      </c>
      <c r="AB139">
        <v>-3.4359730000000002</v>
      </c>
    </row>
    <row r="140" spans="1:28" x14ac:dyDescent="0.3">
      <c r="A140">
        <v>139</v>
      </c>
      <c r="B140" t="s">
        <v>525</v>
      </c>
      <c r="C140">
        <v>32100000</v>
      </c>
      <c r="D140">
        <v>13061739758</v>
      </c>
      <c r="E140" t="s">
        <v>996</v>
      </c>
      <c r="F140" t="s">
        <v>525</v>
      </c>
      <c r="G140">
        <v>11882</v>
      </c>
      <c r="H140" t="s">
        <v>1019</v>
      </c>
      <c r="I140" t="s">
        <v>1020</v>
      </c>
      <c r="J140" t="s">
        <v>988</v>
      </c>
      <c r="K140">
        <v>287</v>
      </c>
      <c r="L140">
        <v>9</v>
      </c>
      <c r="M140">
        <v>40</v>
      </c>
      <c r="N140">
        <v>44505000</v>
      </c>
      <c r="O140">
        <v>11100</v>
      </c>
      <c r="P140">
        <v>178000</v>
      </c>
      <c r="Q140">
        <v>133500</v>
      </c>
      <c r="R140">
        <v>2100000</v>
      </c>
      <c r="S140" t="s">
        <v>987</v>
      </c>
      <c r="T140">
        <v>2012</v>
      </c>
      <c r="U140" t="s">
        <v>989</v>
      </c>
      <c r="V140">
        <v>12</v>
      </c>
      <c r="W140">
        <v>51.3</v>
      </c>
      <c r="X140">
        <v>212559417</v>
      </c>
      <c r="Y140">
        <v>12.08</v>
      </c>
      <c r="Z140">
        <v>183241641</v>
      </c>
      <c r="AA140">
        <v>-14.235004</v>
      </c>
      <c r="AB140">
        <v>-51.925280000000001</v>
      </c>
    </row>
    <row r="141" spans="1:28" x14ac:dyDescent="0.3">
      <c r="A141">
        <v>140</v>
      </c>
      <c r="B141" t="s">
        <v>6</v>
      </c>
      <c r="C141">
        <v>32000000</v>
      </c>
      <c r="D141">
        <v>26800674545</v>
      </c>
      <c r="E141" t="s">
        <v>988</v>
      </c>
      <c r="F141" t="s">
        <v>6</v>
      </c>
      <c r="G141">
        <v>44892</v>
      </c>
      <c r="H141" t="s">
        <v>978</v>
      </c>
      <c r="I141" t="s">
        <v>979</v>
      </c>
      <c r="J141" t="s">
        <v>988</v>
      </c>
      <c r="K141">
        <v>60</v>
      </c>
      <c r="L141">
        <v>38</v>
      </c>
      <c r="M141">
        <v>40</v>
      </c>
      <c r="N141">
        <v>1667000000</v>
      </c>
      <c r="O141">
        <v>416800</v>
      </c>
      <c r="P141">
        <v>6700000</v>
      </c>
      <c r="Q141">
        <v>5000000</v>
      </c>
      <c r="R141">
        <v>80000000</v>
      </c>
      <c r="S141">
        <v>1200000</v>
      </c>
      <c r="T141">
        <v>2006</v>
      </c>
      <c r="U141" t="s">
        <v>995</v>
      </c>
      <c r="V141">
        <v>19</v>
      </c>
      <c r="W141">
        <v>28.1</v>
      </c>
      <c r="X141">
        <v>1366417754</v>
      </c>
      <c r="Y141">
        <v>5.36</v>
      </c>
      <c r="Z141">
        <v>471031528</v>
      </c>
      <c r="AA141">
        <v>20.593684</v>
      </c>
      <c r="AB141">
        <v>78.962879999999998</v>
      </c>
    </row>
    <row r="142" spans="1:28" x14ac:dyDescent="0.3">
      <c r="A142">
        <v>141</v>
      </c>
      <c r="B142" t="s">
        <v>161</v>
      </c>
      <c r="C142">
        <v>31900000</v>
      </c>
      <c r="D142">
        <v>27330239663</v>
      </c>
      <c r="E142" t="s">
        <v>977</v>
      </c>
      <c r="F142" t="s">
        <v>161</v>
      </c>
      <c r="G142">
        <v>4158</v>
      </c>
      <c r="H142" t="s">
        <v>987</v>
      </c>
      <c r="I142" t="s">
        <v>987</v>
      </c>
      <c r="J142" t="s">
        <v>977</v>
      </c>
      <c r="K142">
        <v>53</v>
      </c>
      <c r="L142" t="s">
        <v>987</v>
      </c>
      <c r="M142">
        <v>47</v>
      </c>
      <c r="N142">
        <v>233402000</v>
      </c>
      <c r="O142">
        <v>58400</v>
      </c>
      <c r="P142">
        <v>933600</v>
      </c>
      <c r="Q142">
        <v>700200</v>
      </c>
      <c r="R142">
        <v>11200000</v>
      </c>
      <c r="S142">
        <v>100000</v>
      </c>
      <c r="T142">
        <v>2006</v>
      </c>
      <c r="U142" t="s">
        <v>980</v>
      </c>
      <c r="V142">
        <v>18</v>
      </c>
      <c r="W142" t="s">
        <v>987</v>
      </c>
      <c r="X142" t="s">
        <v>987</v>
      </c>
      <c r="Y142" t="s">
        <v>987</v>
      </c>
      <c r="Z142" t="s">
        <v>987</v>
      </c>
      <c r="AA142" t="s">
        <v>987</v>
      </c>
      <c r="AB142" t="s">
        <v>987</v>
      </c>
    </row>
    <row r="143" spans="1:28" x14ac:dyDescent="0.3">
      <c r="A143">
        <v>142</v>
      </c>
      <c r="B143" t="s">
        <v>31</v>
      </c>
      <c r="C143">
        <v>31900000</v>
      </c>
      <c r="D143">
        <v>19428308461</v>
      </c>
      <c r="E143" t="s">
        <v>988</v>
      </c>
      <c r="F143" t="s">
        <v>31</v>
      </c>
      <c r="G143">
        <v>93311</v>
      </c>
      <c r="H143" t="s">
        <v>1045</v>
      </c>
      <c r="I143" t="s">
        <v>1046</v>
      </c>
      <c r="J143" t="s">
        <v>988</v>
      </c>
      <c r="K143">
        <v>129</v>
      </c>
      <c r="L143">
        <v>2</v>
      </c>
      <c r="M143">
        <v>41</v>
      </c>
      <c r="N143">
        <v>798510000</v>
      </c>
      <c r="O143">
        <v>199600</v>
      </c>
      <c r="P143">
        <v>3200000</v>
      </c>
      <c r="Q143">
        <v>2400000</v>
      </c>
      <c r="R143">
        <v>38300000</v>
      </c>
      <c r="S143">
        <v>500000</v>
      </c>
      <c r="T143">
        <v>2006</v>
      </c>
      <c r="U143" t="s">
        <v>1029</v>
      </c>
      <c r="V143">
        <v>20</v>
      </c>
      <c r="W143">
        <v>35.5</v>
      </c>
      <c r="X143">
        <v>108116615</v>
      </c>
      <c r="Y143">
        <v>2.15</v>
      </c>
      <c r="Z143">
        <v>50975903</v>
      </c>
      <c r="AA143">
        <v>12.879721</v>
      </c>
      <c r="AB143">
        <v>121.774017</v>
      </c>
    </row>
    <row r="144" spans="1:28" x14ac:dyDescent="0.3">
      <c r="A144">
        <v>143</v>
      </c>
      <c r="B144" t="s">
        <v>592</v>
      </c>
      <c r="C144">
        <v>31800000</v>
      </c>
      <c r="D144">
        <v>6762424690</v>
      </c>
      <c r="E144" t="s">
        <v>1011</v>
      </c>
      <c r="F144" t="s">
        <v>592</v>
      </c>
      <c r="G144">
        <v>6734</v>
      </c>
      <c r="H144" t="s">
        <v>1058</v>
      </c>
      <c r="I144" t="s">
        <v>1059</v>
      </c>
      <c r="J144" t="s">
        <v>1053</v>
      </c>
      <c r="K144">
        <v>884</v>
      </c>
      <c r="L144">
        <v>4</v>
      </c>
      <c r="M144">
        <v>4</v>
      </c>
      <c r="N144">
        <v>31455000</v>
      </c>
      <c r="O144">
        <v>7900</v>
      </c>
      <c r="P144">
        <v>125800</v>
      </c>
      <c r="Q144">
        <v>94400</v>
      </c>
      <c r="R144">
        <v>1500000</v>
      </c>
      <c r="S144" t="s">
        <v>987</v>
      </c>
      <c r="T144">
        <v>2017</v>
      </c>
      <c r="U144" t="s">
        <v>1008</v>
      </c>
      <c r="V144">
        <v>1</v>
      </c>
      <c r="W144">
        <v>40.200000000000003</v>
      </c>
      <c r="X144">
        <v>126014024</v>
      </c>
      <c r="Y144">
        <v>3.42</v>
      </c>
      <c r="Z144">
        <v>102626859</v>
      </c>
      <c r="AA144">
        <v>23.634501</v>
      </c>
      <c r="AB144">
        <v>-102.552784</v>
      </c>
    </row>
    <row r="145" spans="1:28" x14ac:dyDescent="0.3">
      <c r="A145">
        <v>144</v>
      </c>
      <c r="B145" t="s">
        <v>324</v>
      </c>
      <c r="C145">
        <v>31700000</v>
      </c>
      <c r="D145">
        <v>5711208484</v>
      </c>
      <c r="E145" t="s">
        <v>1088</v>
      </c>
      <c r="F145" t="s">
        <v>324</v>
      </c>
      <c r="G145">
        <v>929</v>
      </c>
      <c r="H145" t="s">
        <v>978</v>
      </c>
      <c r="I145" t="s">
        <v>979</v>
      </c>
      <c r="J145" t="s">
        <v>1089</v>
      </c>
      <c r="K145">
        <v>1132</v>
      </c>
      <c r="L145">
        <v>40</v>
      </c>
      <c r="M145">
        <v>1</v>
      </c>
      <c r="N145">
        <v>109125000</v>
      </c>
      <c r="O145">
        <v>27300</v>
      </c>
      <c r="P145">
        <v>436500</v>
      </c>
      <c r="Q145">
        <v>327400</v>
      </c>
      <c r="R145">
        <v>5200000</v>
      </c>
      <c r="S145">
        <v>500000</v>
      </c>
      <c r="T145">
        <v>2012</v>
      </c>
      <c r="U145" t="s">
        <v>1008</v>
      </c>
      <c r="V145">
        <v>21</v>
      </c>
      <c r="W145">
        <v>28.1</v>
      </c>
      <c r="X145">
        <v>1366417754</v>
      </c>
      <c r="Y145">
        <v>5.36</v>
      </c>
      <c r="Z145">
        <v>471031528</v>
      </c>
      <c r="AA145">
        <v>20.593684</v>
      </c>
      <c r="AB145">
        <v>78.962879999999998</v>
      </c>
    </row>
    <row r="146" spans="1:28" x14ac:dyDescent="0.3">
      <c r="A146">
        <v>145</v>
      </c>
      <c r="B146" t="s">
        <v>308</v>
      </c>
      <c r="C146">
        <v>31700000</v>
      </c>
      <c r="D146">
        <v>16476978876</v>
      </c>
      <c r="E146" t="s">
        <v>977</v>
      </c>
      <c r="F146" t="s">
        <v>308</v>
      </c>
      <c r="G146">
        <v>6518</v>
      </c>
      <c r="H146" t="s">
        <v>978</v>
      </c>
      <c r="I146" t="s">
        <v>979</v>
      </c>
      <c r="J146" t="s">
        <v>977</v>
      </c>
      <c r="K146">
        <v>177</v>
      </c>
      <c r="L146">
        <v>39</v>
      </c>
      <c r="M146">
        <v>48</v>
      </c>
      <c r="N146">
        <v>112648000</v>
      </c>
      <c r="O146">
        <v>28200</v>
      </c>
      <c r="P146">
        <v>450600</v>
      </c>
      <c r="Q146">
        <v>337900</v>
      </c>
      <c r="R146">
        <v>5400000</v>
      </c>
      <c r="S146">
        <v>200000</v>
      </c>
      <c r="T146">
        <v>2012</v>
      </c>
      <c r="U146" t="s">
        <v>980</v>
      </c>
      <c r="V146">
        <v>15</v>
      </c>
      <c r="W146">
        <v>28.1</v>
      </c>
      <c r="X146">
        <v>1366417754</v>
      </c>
      <c r="Y146">
        <v>5.36</v>
      </c>
      <c r="Z146">
        <v>471031528</v>
      </c>
      <c r="AA146">
        <v>20.593684</v>
      </c>
      <c r="AB146">
        <v>78.962879999999998</v>
      </c>
    </row>
    <row r="147" spans="1:28" x14ac:dyDescent="0.3">
      <c r="A147">
        <v>146</v>
      </c>
      <c r="B147" t="s">
        <v>242</v>
      </c>
      <c r="C147">
        <v>31700000</v>
      </c>
      <c r="D147">
        <v>21031745531</v>
      </c>
      <c r="E147" t="s">
        <v>988</v>
      </c>
      <c r="F147" t="s">
        <v>242</v>
      </c>
      <c r="G147">
        <v>166</v>
      </c>
      <c r="H147" t="s">
        <v>984</v>
      </c>
      <c r="I147" t="s">
        <v>985</v>
      </c>
      <c r="J147" t="s">
        <v>988</v>
      </c>
      <c r="K147">
        <v>110</v>
      </c>
      <c r="L147">
        <v>41</v>
      </c>
      <c r="M147">
        <v>42</v>
      </c>
      <c r="N147">
        <v>153280000</v>
      </c>
      <c r="O147">
        <v>38300</v>
      </c>
      <c r="P147">
        <v>613100</v>
      </c>
      <c r="Q147">
        <v>459800</v>
      </c>
      <c r="R147">
        <v>7400000</v>
      </c>
      <c r="S147">
        <v>200000</v>
      </c>
      <c r="T147">
        <v>2018</v>
      </c>
      <c r="U147" t="s">
        <v>999</v>
      </c>
      <c r="V147">
        <v>5</v>
      </c>
      <c r="W147">
        <v>88.2</v>
      </c>
      <c r="X147">
        <v>328239523</v>
      </c>
      <c r="Y147">
        <v>14.7</v>
      </c>
      <c r="Z147">
        <v>270663028</v>
      </c>
      <c r="AA147">
        <v>37.090240000000001</v>
      </c>
      <c r="AB147">
        <v>-95.712890999999999</v>
      </c>
    </row>
    <row r="148" spans="1:28" x14ac:dyDescent="0.3">
      <c r="A148">
        <v>147</v>
      </c>
      <c r="B148" t="s">
        <v>626</v>
      </c>
      <c r="C148">
        <v>31700000</v>
      </c>
      <c r="D148">
        <v>2930015381</v>
      </c>
      <c r="E148" t="s">
        <v>996</v>
      </c>
      <c r="F148" t="s">
        <v>626</v>
      </c>
      <c r="G148">
        <v>116</v>
      </c>
      <c r="H148" t="s">
        <v>984</v>
      </c>
      <c r="I148" t="s">
        <v>985</v>
      </c>
      <c r="J148" t="s">
        <v>986</v>
      </c>
      <c r="K148">
        <v>2986</v>
      </c>
      <c r="L148">
        <v>41</v>
      </c>
      <c r="M148">
        <v>12</v>
      </c>
      <c r="N148">
        <v>27022000</v>
      </c>
      <c r="O148">
        <v>6800</v>
      </c>
      <c r="P148">
        <v>108100</v>
      </c>
      <c r="Q148">
        <v>81100</v>
      </c>
      <c r="R148">
        <v>1300000</v>
      </c>
      <c r="S148">
        <v>200000</v>
      </c>
      <c r="T148">
        <v>2014</v>
      </c>
      <c r="U148" t="s">
        <v>989</v>
      </c>
      <c r="V148">
        <v>8</v>
      </c>
      <c r="W148">
        <v>88.2</v>
      </c>
      <c r="X148">
        <v>328239523</v>
      </c>
      <c r="Y148">
        <v>14.7</v>
      </c>
      <c r="Z148">
        <v>270663028</v>
      </c>
      <c r="AA148">
        <v>37.090240000000001</v>
      </c>
      <c r="AB148">
        <v>-95.712890999999999</v>
      </c>
    </row>
    <row r="149" spans="1:28" x14ac:dyDescent="0.3">
      <c r="A149">
        <v>148</v>
      </c>
      <c r="B149" t="s">
        <v>120</v>
      </c>
      <c r="C149">
        <v>31600000</v>
      </c>
      <c r="D149">
        <v>11615848291</v>
      </c>
      <c r="E149" t="s">
        <v>988</v>
      </c>
      <c r="F149" t="s">
        <v>120</v>
      </c>
      <c r="G149">
        <v>1321</v>
      </c>
      <c r="H149" t="s">
        <v>984</v>
      </c>
      <c r="I149" t="s">
        <v>985</v>
      </c>
      <c r="J149" t="s">
        <v>988</v>
      </c>
      <c r="K149">
        <v>339</v>
      </c>
      <c r="L149">
        <v>42</v>
      </c>
      <c r="M149">
        <v>43</v>
      </c>
      <c r="N149">
        <v>312099000</v>
      </c>
      <c r="O149">
        <v>78000</v>
      </c>
      <c r="P149">
        <v>1200000</v>
      </c>
      <c r="Q149">
        <v>936300</v>
      </c>
      <c r="R149">
        <v>15000000</v>
      </c>
      <c r="S149">
        <v>400000</v>
      </c>
      <c r="T149">
        <v>2011</v>
      </c>
      <c r="U149" t="s">
        <v>1003</v>
      </c>
      <c r="V149">
        <v>19</v>
      </c>
      <c r="W149">
        <v>88.2</v>
      </c>
      <c r="X149">
        <v>328239523</v>
      </c>
      <c r="Y149">
        <v>14.7</v>
      </c>
      <c r="Z149">
        <v>270663028</v>
      </c>
      <c r="AA149">
        <v>37.090240000000001</v>
      </c>
      <c r="AB149">
        <v>-95.712890999999999</v>
      </c>
    </row>
    <row r="150" spans="1:28" x14ac:dyDescent="0.3">
      <c r="A150">
        <v>149</v>
      </c>
      <c r="B150" t="s">
        <v>331</v>
      </c>
      <c r="C150">
        <v>31600000</v>
      </c>
      <c r="D150">
        <v>26583873105</v>
      </c>
      <c r="E150" t="s">
        <v>977</v>
      </c>
      <c r="F150" t="s">
        <v>331</v>
      </c>
      <c r="G150">
        <v>204</v>
      </c>
      <c r="H150" t="s">
        <v>984</v>
      </c>
      <c r="I150" t="s">
        <v>985</v>
      </c>
      <c r="J150" t="s">
        <v>977</v>
      </c>
      <c r="K150">
        <v>63</v>
      </c>
      <c r="L150">
        <v>42</v>
      </c>
      <c r="M150">
        <v>49</v>
      </c>
      <c r="N150">
        <v>105126000</v>
      </c>
      <c r="O150">
        <v>26300</v>
      </c>
      <c r="P150">
        <v>420500</v>
      </c>
      <c r="Q150">
        <v>315400</v>
      </c>
      <c r="R150">
        <v>5000000</v>
      </c>
      <c r="S150" t="s">
        <v>987</v>
      </c>
      <c r="T150">
        <v>2009</v>
      </c>
      <c r="U150" t="s">
        <v>991</v>
      </c>
      <c r="V150">
        <v>26</v>
      </c>
      <c r="W150">
        <v>88.2</v>
      </c>
      <c r="X150">
        <v>328239523</v>
      </c>
      <c r="Y150">
        <v>14.7</v>
      </c>
      <c r="Z150">
        <v>270663028</v>
      </c>
      <c r="AA150">
        <v>37.090240000000001</v>
      </c>
      <c r="AB150">
        <v>-95.712890999999999</v>
      </c>
    </row>
    <row r="151" spans="1:28" x14ac:dyDescent="0.3">
      <c r="A151">
        <v>150</v>
      </c>
      <c r="B151" t="s">
        <v>912</v>
      </c>
      <c r="C151">
        <v>31400000</v>
      </c>
      <c r="D151">
        <v>15176762479</v>
      </c>
      <c r="E151" t="s">
        <v>988</v>
      </c>
      <c r="F151" t="s">
        <v>1090</v>
      </c>
      <c r="G151">
        <v>0</v>
      </c>
      <c r="H151" t="s">
        <v>987</v>
      </c>
      <c r="I151" t="s">
        <v>987</v>
      </c>
      <c r="J151" t="s">
        <v>987</v>
      </c>
      <c r="K151">
        <v>4057944</v>
      </c>
      <c r="L151" t="s">
        <v>987</v>
      </c>
      <c r="M151" t="s">
        <v>987</v>
      </c>
      <c r="N151" t="s">
        <v>987</v>
      </c>
      <c r="O151">
        <v>0</v>
      </c>
      <c r="P151">
        <v>0</v>
      </c>
      <c r="Q151">
        <v>0</v>
      </c>
      <c r="R151">
        <v>0</v>
      </c>
      <c r="S151" t="s">
        <v>987</v>
      </c>
      <c r="T151">
        <v>2006</v>
      </c>
      <c r="U151" t="s">
        <v>980</v>
      </c>
      <c r="V151">
        <v>31</v>
      </c>
      <c r="W151" t="s">
        <v>987</v>
      </c>
      <c r="X151" t="s">
        <v>987</v>
      </c>
      <c r="Y151" t="s">
        <v>987</v>
      </c>
      <c r="Z151" t="s">
        <v>987</v>
      </c>
      <c r="AA151" t="s">
        <v>987</v>
      </c>
      <c r="AB151" t="s">
        <v>987</v>
      </c>
    </row>
    <row r="152" spans="1:28" x14ac:dyDescent="0.3">
      <c r="A152">
        <v>151</v>
      </c>
      <c r="B152" t="s">
        <v>154</v>
      </c>
      <c r="C152">
        <v>31400000</v>
      </c>
      <c r="D152">
        <v>22919271731</v>
      </c>
      <c r="E152" t="s">
        <v>982</v>
      </c>
      <c r="F152" t="s">
        <v>154</v>
      </c>
      <c r="G152">
        <v>3589</v>
      </c>
      <c r="H152" t="s">
        <v>1013</v>
      </c>
      <c r="I152" t="s">
        <v>1014</v>
      </c>
      <c r="J152" t="s">
        <v>990</v>
      </c>
      <c r="K152">
        <v>91</v>
      </c>
      <c r="L152">
        <v>5</v>
      </c>
      <c r="M152">
        <v>11</v>
      </c>
      <c r="N152">
        <v>244925000</v>
      </c>
      <c r="O152">
        <v>61200</v>
      </c>
      <c r="P152">
        <v>979700</v>
      </c>
      <c r="Q152">
        <v>734800</v>
      </c>
      <c r="R152">
        <v>11800000</v>
      </c>
      <c r="S152">
        <v>300000</v>
      </c>
      <c r="T152">
        <v>2013</v>
      </c>
      <c r="U152" t="s">
        <v>1025</v>
      </c>
      <c r="V152">
        <v>9</v>
      </c>
      <c r="W152">
        <v>60</v>
      </c>
      <c r="X152">
        <v>66834405</v>
      </c>
      <c r="Y152">
        <v>3.85</v>
      </c>
      <c r="Z152">
        <v>55908316</v>
      </c>
      <c r="AA152">
        <v>55.378050999999999</v>
      </c>
      <c r="AB152">
        <v>-3.4359730000000002</v>
      </c>
    </row>
    <row r="153" spans="1:28" x14ac:dyDescent="0.3">
      <c r="A153">
        <v>152</v>
      </c>
      <c r="B153" t="s">
        <v>815</v>
      </c>
      <c r="C153">
        <v>31200000</v>
      </c>
      <c r="D153">
        <v>9673649438</v>
      </c>
      <c r="E153" t="s">
        <v>994</v>
      </c>
      <c r="F153" t="s">
        <v>815</v>
      </c>
      <c r="G153">
        <v>65</v>
      </c>
      <c r="H153" t="s">
        <v>1091</v>
      </c>
      <c r="I153" t="s">
        <v>1092</v>
      </c>
      <c r="J153" t="s">
        <v>1044</v>
      </c>
      <c r="K153">
        <v>3361188</v>
      </c>
      <c r="L153">
        <v>522</v>
      </c>
      <c r="M153">
        <v>2270</v>
      </c>
      <c r="N153">
        <v>3589</v>
      </c>
      <c r="O153">
        <v>0.9</v>
      </c>
      <c r="P153">
        <v>14</v>
      </c>
      <c r="Q153">
        <v>11</v>
      </c>
      <c r="R153">
        <v>172</v>
      </c>
      <c r="S153">
        <v>100</v>
      </c>
      <c r="T153">
        <v>2018</v>
      </c>
      <c r="U153" t="s">
        <v>1005</v>
      </c>
      <c r="V153">
        <v>16</v>
      </c>
      <c r="W153">
        <v>79.3</v>
      </c>
      <c r="X153">
        <v>28515829</v>
      </c>
      <c r="Y153">
        <v>8.8000000000000007</v>
      </c>
      <c r="Z153">
        <v>25162368</v>
      </c>
      <c r="AA153">
        <v>6.4237500000000001</v>
      </c>
      <c r="AB153">
        <v>-66.589730000000003</v>
      </c>
    </row>
    <row r="154" spans="1:28" x14ac:dyDescent="0.3">
      <c r="A154">
        <v>153</v>
      </c>
      <c r="B154" t="s">
        <v>883</v>
      </c>
      <c r="C154">
        <v>31200000</v>
      </c>
      <c r="D154">
        <v>17111726160</v>
      </c>
      <c r="E154" t="s">
        <v>1044</v>
      </c>
      <c r="F154" t="s">
        <v>883</v>
      </c>
      <c r="G154">
        <v>8976</v>
      </c>
      <c r="H154" t="s">
        <v>984</v>
      </c>
      <c r="I154" t="s">
        <v>985</v>
      </c>
      <c r="J154" t="s">
        <v>1044</v>
      </c>
      <c r="K154">
        <v>166</v>
      </c>
      <c r="L154">
        <v>44</v>
      </c>
      <c r="M154">
        <v>6</v>
      </c>
      <c r="N154">
        <v>22511000</v>
      </c>
      <c r="O154">
        <v>0</v>
      </c>
      <c r="P154">
        <v>0</v>
      </c>
      <c r="Q154">
        <v>0</v>
      </c>
      <c r="R154">
        <v>0</v>
      </c>
      <c r="S154">
        <v>100000</v>
      </c>
      <c r="T154">
        <v>2006</v>
      </c>
      <c r="U154" t="s">
        <v>1003</v>
      </c>
      <c r="V154">
        <v>8</v>
      </c>
      <c r="W154">
        <v>88.2</v>
      </c>
      <c r="X154">
        <v>328239523</v>
      </c>
      <c r="Y154">
        <v>14.7</v>
      </c>
      <c r="Z154">
        <v>270663028</v>
      </c>
      <c r="AA154">
        <v>37.090240000000001</v>
      </c>
      <c r="AB154">
        <v>-95.712890999999999</v>
      </c>
    </row>
    <row r="155" spans="1:28" x14ac:dyDescent="0.3">
      <c r="A155">
        <v>154</v>
      </c>
      <c r="B155" t="s">
        <v>193</v>
      </c>
      <c r="C155">
        <v>31200000</v>
      </c>
      <c r="D155">
        <v>6187804950</v>
      </c>
      <c r="E155" t="s">
        <v>988</v>
      </c>
      <c r="F155" t="s">
        <v>193</v>
      </c>
      <c r="G155">
        <v>3027</v>
      </c>
      <c r="H155" t="s">
        <v>1023</v>
      </c>
      <c r="I155" t="s">
        <v>1024</v>
      </c>
      <c r="J155" t="s">
        <v>986</v>
      </c>
      <c r="K155">
        <v>997</v>
      </c>
      <c r="L155">
        <v>3</v>
      </c>
      <c r="M155">
        <v>12</v>
      </c>
      <c r="N155">
        <v>190679000</v>
      </c>
      <c r="O155">
        <v>47700</v>
      </c>
      <c r="P155">
        <v>762700</v>
      </c>
      <c r="Q155">
        <v>572000</v>
      </c>
      <c r="R155">
        <v>9200000</v>
      </c>
      <c r="S155">
        <v>1900000</v>
      </c>
      <c r="T155">
        <v>2015</v>
      </c>
      <c r="U155" t="s">
        <v>989</v>
      </c>
      <c r="V155">
        <v>17</v>
      </c>
      <c r="W155">
        <v>90</v>
      </c>
      <c r="X155">
        <v>44938712</v>
      </c>
      <c r="Y155">
        <v>9.7899999999999991</v>
      </c>
      <c r="Z155">
        <v>41339571</v>
      </c>
      <c r="AA155">
        <v>-38.416097000000001</v>
      </c>
      <c r="AB155">
        <v>-63.616672000000001</v>
      </c>
    </row>
    <row r="156" spans="1:28" x14ac:dyDescent="0.3">
      <c r="A156">
        <v>155</v>
      </c>
      <c r="B156" t="s">
        <v>194</v>
      </c>
      <c r="C156">
        <v>30700000</v>
      </c>
      <c r="D156">
        <v>16793072362</v>
      </c>
      <c r="E156" t="s">
        <v>977</v>
      </c>
      <c r="F156" t="s">
        <v>194</v>
      </c>
      <c r="G156">
        <v>92</v>
      </c>
      <c r="H156" t="s">
        <v>984</v>
      </c>
      <c r="I156" t="s">
        <v>985</v>
      </c>
      <c r="J156" t="s">
        <v>977</v>
      </c>
      <c r="K156">
        <v>169</v>
      </c>
      <c r="L156">
        <v>45</v>
      </c>
      <c r="M156">
        <v>50</v>
      </c>
      <c r="N156">
        <v>188837000</v>
      </c>
      <c r="O156">
        <v>47200</v>
      </c>
      <c r="P156">
        <v>755300</v>
      </c>
      <c r="Q156">
        <v>566500</v>
      </c>
      <c r="R156">
        <v>9100000</v>
      </c>
      <c r="S156">
        <v>100000</v>
      </c>
      <c r="T156">
        <v>2009</v>
      </c>
      <c r="U156" t="s">
        <v>1010</v>
      </c>
      <c r="V156">
        <v>3</v>
      </c>
      <c r="W156">
        <v>88.2</v>
      </c>
      <c r="X156">
        <v>328239523</v>
      </c>
      <c r="Y156">
        <v>14.7</v>
      </c>
      <c r="Z156">
        <v>270663028</v>
      </c>
      <c r="AA156">
        <v>37.090240000000001</v>
      </c>
      <c r="AB156">
        <v>-95.712890999999999</v>
      </c>
    </row>
    <row r="157" spans="1:28" x14ac:dyDescent="0.3">
      <c r="A157">
        <v>156</v>
      </c>
      <c r="B157" t="s">
        <v>341</v>
      </c>
      <c r="C157">
        <v>30700000</v>
      </c>
      <c r="D157">
        <v>12355992466</v>
      </c>
      <c r="E157" t="s">
        <v>987</v>
      </c>
      <c r="F157" t="s">
        <v>341</v>
      </c>
      <c r="G157">
        <v>578</v>
      </c>
      <c r="H157" t="s">
        <v>984</v>
      </c>
      <c r="I157" t="s">
        <v>985</v>
      </c>
      <c r="J157" t="s">
        <v>988</v>
      </c>
      <c r="K157">
        <v>313</v>
      </c>
      <c r="L157">
        <v>45</v>
      </c>
      <c r="M157">
        <v>45</v>
      </c>
      <c r="N157">
        <v>102998000</v>
      </c>
      <c r="O157">
        <v>25700</v>
      </c>
      <c r="P157">
        <v>412000</v>
      </c>
      <c r="Q157">
        <v>309000</v>
      </c>
      <c r="R157">
        <v>4900000</v>
      </c>
      <c r="S157">
        <v>200000</v>
      </c>
      <c r="T157">
        <v>2016</v>
      </c>
      <c r="U157" t="s">
        <v>1029</v>
      </c>
      <c r="V157">
        <v>27</v>
      </c>
      <c r="W157">
        <v>88.2</v>
      </c>
      <c r="X157">
        <v>328239523</v>
      </c>
      <c r="Y157">
        <v>14.7</v>
      </c>
      <c r="Z157">
        <v>270663028</v>
      </c>
      <c r="AA157">
        <v>37.090240000000001</v>
      </c>
      <c r="AB157">
        <v>-95.712890999999999</v>
      </c>
    </row>
    <row r="158" spans="1:28" x14ac:dyDescent="0.3">
      <c r="A158">
        <v>157</v>
      </c>
      <c r="B158" t="s">
        <v>581</v>
      </c>
      <c r="C158">
        <v>30700000</v>
      </c>
      <c r="D158">
        <v>3145161634</v>
      </c>
      <c r="E158" t="s">
        <v>1044</v>
      </c>
      <c r="F158" t="s">
        <v>581</v>
      </c>
      <c r="G158">
        <v>67</v>
      </c>
      <c r="H158" t="s">
        <v>978</v>
      </c>
      <c r="I158" t="s">
        <v>979</v>
      </c>
      <c r="J158" t="s">
        <v>988</v>
      </c>
      <c r="K158">
        <v>2687</v>
      </c>
      <c r="L158">
        <v>41</v>
      </c>
      <c r="M158">
        <v>45</v>
      </c>
      <c r="N158">
        <v>31822000</v>
      </c>
      <c r="O158">
        <v>8000</v>
      </c>
      <c r="P158">
        <v>127300</v>
      </c>
      <c r="Q158">
        <v>95500</v>
      </c>
      <c r="R158">
        <v>1500000</v>
      </c>
      <c r="S158">
        <v>300000</v>
      </c>
      <c r="T158">
        <v>2016</v>
      </c>
      <c r="U158" t="s">
        <v>1025</v>
      </c>
      <c r="V158">
        <v>20</v>
      </c>
      <c r="W158">
        <v>28.1</v>
      </c>
      <c r="X158">
        <v>1366417754</v>
      </c>
      <c r="Y158">
        <v>5.36</v>
      </c>
      <c r="Z158">
        <v>471031528</v>
      </c>
      <c r="AA158">
        <v>20.593684</v>
      </c>
      <c r="AB158">
        <v>78.962879999999998</v>
      </c>
    </row>
    <row r="159" spans="1:28" x14ac:dyDescent="0.3">
      <c r="A159">
        <v>158</v>
      </c>
      <c r="B159" t="s">
        <v>68</v>
      </c>
      <c r="C159">
        <v>30500000</v>
      </c>
      <c r="D159">
        <v>16709857823</v>
      </c>
      <c r="E159" t="s">
        <v>1026</v>
      </c>
      <c r="F159" t="s">
        <v>68</v>
      </c>
      <c r="G159">
        <v>180092</v>
      </c>
      <c r="H159" t="s">
        <v>978</v>
      </c>
      <c r="I159" t="s">
        <v>979</v>
      </c>
      <c r="J159" t="s">
        <v>1027</v>
      </c>
      <c r="K159">
        <v>168</v>
      </c>
      <c r="L159">
        <v>41</v>
      </c>
      <c r="M159">
        <v>4</v>
      </c>
      <c r="N159">
        <v>461472000</v>
      </c>
      <c r="O159">
        <v>115400</v>
      </c>
      <c r="P159">
        <v>1800000</v>
      </c>
      <c r="Q159">
        <v>1400000</v>
      </c>
      <c r="R159">
        <v>22200000</v>
      </c>
      <c r="S159">
        <v>600000</v>
      </c>
      <c r="T159">
        <v>2007</v>
      </c>
      <c r="U159" t="s">
        <v>1008</v>
      </c>
      <c r="V159">
        <v>19</v>
      </c>
      <c r="W159">
        <v>28.1</v>
      </c>
      <c r="X159">
        <v>1366417754</v>
      </c>
      <c r="Y159">
        <v>5.36</v>
      </c>
      <c r="Z159">
        <v>471031528</v>
      </c>
      <c r="AA159">
        <v>20.593684</v>
      </c>
      <c r="AB159">
        <v>78.962879999999998</v>
      </c>
    </row>
    <row r="160" spans="1:28" x14ac:dyDescent="0.3">
      <c r="A160">
        <v>159</v>
      </c>
      <c r="B160" t="s">
        <v>238</v>
      </c>
      <c r="C160">
        <v>30500000</v>
      </c>
      <c r="D160">
        <v>4521573939</v>
      </c>
      <c r="E160" t="s">
        <v>996</v>
      </c>
      <c r="F160" t="s">
        <v>238</v>
      </c>
      <c r="G160">
        <v>641</v>
      </c>
      <c r="H160" t="s">
        <v>1093</v>
      </c>
      <c r="I160" t="s">
        <v>1094</v>
      </c>
      <c r="J160" t="s">
        <v>988</v>
      </c>
      <c r="K160">
        <v>1573</v>
      </c>
      <c r="L160">
        <v>1</v>
      </c>
      <c r="M160">
        <v>7</v>
      </c>
      <c r="N160">
        <v>157908000</v>
      </c>
      <c r="O160">
        <v>39500</v>
      </c>
      <c r="P160">
        <v>631600</v>
      </c>
      <c r="Q160">
        <v>473700</v>
      </c>
      <c r="R160">
        <v>7600000</v>
      </c>
      <c r="S160">
        <v>1300000</v>
      </c>
      <c r="T160">
        <v>2016</v>
      </c>
      <c r="U160" t="s">
        <v>1015</v>
      </c>
      <c r="V160">
        <v>28</v>
      </c>
      <c r="W160">
        <v>54.4</v>
      </c>
      <c r="X160">
        <v>4207083</v>
      </c>
      <c r="Y160">
        <v>2.1800000000000002</v>
      </c>
      <c r="Z160">
        <v>4207083</v>
      </c>
      <c r="AA160">
        <v>29.31166</v>
      </c>
      <c r="AB160">
        <v>47.481766</v>
      </c>
    </row>
    <row r="161" spans="1:28" x14ac:dyDescent="0.3">
      <c r="A161">
        <v>160</v>
      </c>
      <c r="B161" t="s">
        <v>657</v>
      </c>
      <c r="C161">
        <v>30400000</v>
      </c>
      <c r="D161">
        <v>4332274962</v>
      </c>
      <c r="E161" t="s">
        <v>988</v>
      </c>
      <c r="F161" t="s">
        <v>657</v>
      </c>
      <c r="G161">
        <v>2197</v>
      </c>
      <c r="H161" t="s">
        <v>1081</v>
      </c>
      <c r="I161" t="s">
        <v>1082</v>
      </c>
      <c r="J161" t="s">
        <v>988</v>
      </c>
      <c r="K161">
        <v>1701</v>
      </c>
      <c r="L161">
        <v>4</v>
      </c>
      <c r="M161">
        <v>46</v>
      </c>
      <c r="N161">
        <v>21440000</v>
      </c>
      <c r="O161">
        <v>5400</v>
      </c>
      <c r="P161">
        <v>85800</v>
      </c>
      <c r="Q161">
        <v>64300</v>
      </c>
      <c r="R161">
        <v>1000000</v>
      </c>
      <c r="S161" t="s">
        <v>987</v>
      </c>
      <c r="T161">
        <v>2014</v>
      </c>
      <c r="U161" t="s">
        <v>1003</v>
      </c>
      <c r="V161">
        <v>26</v>
      </c>
      <c r="W161">
        <v>36.299999999999997</v>
      </c>
      <c r="X161">
        <v>270203917</v>
      </c>
      <c r="Y161">
        <v>4.6900000000000004</v>
      </c>
      <c r="Z161">
        <v>151509724</v>
      </c>
      <c r="AA161">
        <v>-0.78927499999999995</v>
      </c>
      <c r="AB161">
        <v>113.92132700000001</v>
      </c>
    </row>
    <row r="162" spans="1:28" x14ac:dyDescent="0.3">
      <c r="A162">
        <v>161</v>
      </c>
      <c r="B162" t="s">
        <v>510</v>
      </c>
      <c r="C162">
        <v>30400000</v>
      </c>
      <c r="D162">
        <v>14037426379</v>
      </c>
      <c r="E162" t="s">
        <v>977</v>
      </c>
      <c r="F162" t="s">
        <v>510</v>
      </c>
      <c r="G162">
        <v>2725</v>
      </c>
      <c r="H162" t="s">
        <v>984</v>
      </c>
      <c r="I162" t="s">
        <v>985</v>
      </c>
      <c r="J162" t="s">
        <v>977</v>
      </c>
      <c r="K162">
        <v>255</v>
      </c>
      <c r="L162">
        <v>46</v>
      </c>
      <c r="M162">
        <v>51</v>
      </c>
      <c r="N162">
        <v>45822000</v>
      </c>
      <c r="O162">
        <v>11500</v>
      </c>
      <c r="P162">
        <v>183300</v>
      </c>
      <c r="Q162">
        <v>137500</v>
      </c>
      <c r="R162">
        <v>2200000</v>
      </c>
      <c r="S162" t="s">
        <v>987</v>
      </c>
      <c r="T162">
        <v>2012</v>
      </c>
      <c r="U162" t="s">
        <v>991</v>
      </c>
      <c r="V162">
        <v>23</v>
      </c>
      <c r="W162">
        <v>88.2</v>
      </c>
      <c r="X162">
        <v>328239523</v>
      </c>
      <c r="Y162">
        <v>14.7</v>
      </c>
      <c r="Z162">
        <v>270663028</v>
      </c>
      <c r="AA162">
        <v>37.090240000000001</v>
      </c>
      <c r="AB162">
        <v>-95.712890999999999</v>
      </c>
    </row>
    <row r="163" spans="1:28" x14ac:dyDescent="0.3">
      <c r="A163">
        <v>162</v>
      </c>
      <c r="B163" t="s">
        <v>1095</v>
      </c>
      <c r="C163">
        <v>30400000</v>
      </c>
      <c r="D163">
        <v>17999961915</v>
      </c>
      <c r="E163" t="s">
        <v>987</v>
      </c>
      <c r="F163" t="s">
        <v>1095</v>
      </c>
      <c r="G163">
        <v>532</v>
      </c>
      <c r="H163" t="s">
        <v>984</v>
      </c>
      <c r="I163" t="s">
        <v>985</v>
      </c>
      <c r="J163" t="s">
        <v>988</v>
      </c>
      <c r="K163">
        <v>147</v>
      </c>
      <c r="L163">
        <v>46</v>
      </c>
      <c r="M163">
        <v>46</v>
      </c>
      <c r="N163">
        <v>122926000</v>
      </c>
      <c r="O163">
        <v>30700</v>
      </c>
      <c r="P163">
        <v>491700</v>
      </c>
      <c r="Q163">
        <v>368800</v>
      </c>
      <c r="R163">
        <v>5900000</v>
      </c>
      <c r="S163">
        <v>300000</v>
      </c>
      <c r="T163">
        <v>2018</v>
      </c>
      <c r="U163" t="s">
        <v>1029</v>
      </c>
      <c r="V163">
        <v>3</v>
      </c>
      <c r="W163">
        <v>88.2</v>
      </c>
      <c r="X163">
        <v>328239523</v>
      </c>
      <c r="Y163">
        <v>14.7</v>
      </c>
      <c r="Z163">
        <v>270663028</v>
      </c>
      <c r="AA163">
        <v>37.090240000000001</v>
      </c>
      <c r="AB163">
        <v>-95.712890999999999</v>
      </c>
    </row>
    <row r="164" spans="1:28" x14ac:dyDescent="0.3">
      <c r="A164">
        <v>163</v>
      </c>
      <c r="B164" t="s">
        <v>651</v>
      </c>
      <c r="C164">
        <v>30300000</v>
      </c>
      <c r="D164">
        <v>13546549817</v>
      </c>
      <c r="E164" t="s">
        <v>988</v>
      </c>
      <c r="F164" t="s">
        <v>651</v>
      </c>
      <c r="G164">
        <v>223</v>
      </c>
      <c r="H164" t="s">
        <v>984</v>
      </c>
      <c r="I164" t="s">
        <v>985</v>
      </c>
      <c r="J164" t="s">
        <v>988</v>
      </c>
      <c r="K164">
        <v>269</v>
      </c>
      <c r="L164">
        <v>47</v>
      </c>
      <c r="M164">
        <v>47</v>
      </c>
      <c r="N164">
        <v>22724000</v>
      </c>
      <c r="O164">
        <v>5700</v>
      </c>
      <c r="P164">
        <v>90900</v>
      </c>
      <c r="Q164">
        <v>68200</v>
      </c>
      <c r="R164">
        <v>1100000</v>
      </c>
      <c r="S164" t="s">
        <v>987</v>
      </c>
      <c r="T164">
        <v>2012</v>
      </c>
      <c r="U164" t="s">
        <v>989</v>
      </c>
      <c r="V164">
        <v>21</v>
      </c>
      <c r="W164">
        <v>88.2</v>
      </c>
      <c r="X164">
        <v>328239523</v>
      </c>
      <c r="Y164">
        <v>14.7</v>
      </c>
      <c r="Z164">
        <v>270663028</v>
      </c>
      <c r="AA164">
        <v>37.090240000000001</v>
      </c>
      <c r="AB164">
        <v>-95.712890999999999</v>
      </c>
    </row>
    <row r="165" spans="1:28" x14ac:dyDescent="0.3">
      <c r="A165">
        <v>164</v>
      </c>
      <c r="B165" t="s">
        <v>268</v>
      </c>
      <c r="C165">
        <v>30200000</v>
      </c>
      <c r="D165">
        <v>14199108016</v>
      </c>
      <c r="E165" t="s">
        <v>977</v>
      </c>
      <c r="F165" t="s">
        <v>268</v>
      </c>
      <c r="G165">
        <v>15</v>
      </c>
      <c r="H165" t="s">
        <v>1013</v>
      </c>
      <c r="I165" t="s">
        <v>1014</v>
      </c>
      <c r="J165" t="s">
        <v>977</v>
      </c>
      <c r="K165">
        <v>248</v>
      </c>
      <c r="L165">
        <v>6</v>
      </c>
      <c r="M165">
        <v>53</v>
      </c>
      <c r="N165">
        <v>137099000</v>
      </c>
      <c r="O165">
        <v>34300</v>
      </c>
      <c r="P165">
        <v>548400</v>
      </c>
      <c r="Q165">
        <v>411300</v>
      </c>
      <c r="R165">
        <v>6600000</v>
      </c>
      <c r="S165">
        <v>100000</v>
      </c>
      <c r="T165">
        <v>2008</v>
      </c>
      <c r="U165" t="s">
        <v>999</v>
      </c>
      <c r="V165">
        <v>4</v>
      </c>
      <c r="W165">
        <v>60</v>
      </c>
      <c r="X165">
        <v>66834405</v>
      </c>
      <c r="Y165">
        <v>3.85</v>
      </c>
      <c r="Z165">
        <v>55908316</v>
      </c>
      <c r="AA165">
        <v>55.378050999999999</v>
      </c>
      <c r="AB165">
        <v>-3.4359730000000002</v>
      </c>
    </row>
    <row r="166" spans="1:28" x14ac:dyDescent="0.3">
      <c r="A166">
        <v>165</v>
      </c>
      <c r="B166" t="s">
        <v>889</v>
      </c>
      <c r="C166">
        <v>30200000</v>
      </c>
      <c r="D166">
        <v>15199330166</v>
      </c>
      <c r="E166" t="s">
        <v>1044</v>
      </c>
      <c r="F166" t="s">
        <v>1096</v>
      </c>
      <c r="G166">
        <v>2</v>
      </c>
      <c r="H166" t="s">
        <v>984</v>
      </c>
      <c r="I166" t="s">
        <v>985</v>
      </c>
      <c r="J166" t="s">
        <v>988</v>
      </c>
      <c r="K166">
        <v>4057345</v>
      </c>
      <c r="L166">
        <v>7736</v>
      </c>
      <c r="M166">
        <v>6776</v>
      </c>
      <c r="N166" t="s">
        <v>987</v>
      </c>
      <c r="O166">
        <v>0</v>
      </c>
      <c r="P166">
        <v>0</v>
      </c>
      <c r="Q166">
        <v>0</v>
      </c>
      <c r="R166">
        <v>0</v>
      </c>
      <c r="S166" t="s">
        <v>987</v>
      </c>
      <c r="T166">
        <v>2008</v>
      </c>
      <c r="U166" t="s">
        <v>1008</v>
      </c>
      <c r="V166">
        <v>27</v>
      </c>
      <c r="W166">
        <v>88.2</v>
      </c>
      <c r="X166">
        <v>328239523</v>
      </c>
      <c r="Y166">
        <v>14.7</v>
      </c>
      <c r="Z166">
        <v>270663028</v>
      </c>
      <c r="AA166">
        <v>37.090240000000001</v>
      </c>
      <c r="AB166">
        <v>-95.712890999999999</v>
      </c>
    </row>
    <row r="167" spans="1:28" x14ac:dyDescent="0.3">
      <c r="A167">
        <v>166</v>
      </c>
      <c r="B167" t="s">
        <v>1097</v>
      </c>
      <c r="C167">
        <v>30200000</v>
      </c>
      <c r="D167">
        <v>27684955537</v>
      </c>
      <c r="E167" t="s">
        <v>988</v>
      </c>
      <c r="F167" t="s">
        <v>1097</v>
      </c>
      <c r="G167">
        <v>3254</v>
      </c>
      <c r="H167" t="s">
        <v>1098</v>
      </c>
      <c r="I167" t="s">
        <v>1099</v>
      </c>
      <c r="J167" t="s">
        <v>977</v>
      </c>
      <c r="K167">
        <v>51</v>
      </c>
      <c r="L167">
        <v>1</v>
      </c>
      <c r="M167">
        <v>52</v>
      </c>
      <c r="N167">
        <v>116434000</v>
      </c>
      <c r="O167">
        <v>29100</v>
      </c>
      <c r="P167">
        <v>465700</v>
      </c>
      <c r="Q167">
        <v>349300</v>
      </c>
      <c r="R167">
        <v>5600000</v>
      </c>
      <c r="S167">
        <v>100000</v>
      </c>
      <c r="T167">
        <v>2008</v>
      </c>
      <c r="U167" t="s">
        <v>1029</v>
      </c>
      <c r="V167">
        <v>24</v>
      </c>
      <c r="W167">
        <v>34.4</v>
      </c>
      <c r="X167">
        <v>10101694</v>
      </c>
      <c r="Y167">
        <v>14.72</v>
      </c>
      <c r="Z167">
        <v>9213048</v>
      </c>
      <c r="AA167">
        <v>30.585163999999999</v>
      </c>
      <c r="AB167">
        <v>36.238413999999999</v>
      </c>
    </row>
    <row r="168" spans="1:28" x14ac:dyDescent="0.3">
      <c r="A168">
        <v>167</v>
      </c>
      <c r="B168" t="s">
        <v>937</v>
      </c>
      <c r="C168">
        <v>30100000</v>
      </c>
      <c r="D168">
        <v>7277493940</v>
      </c>
      <c r="E168" t="s">
        <v>996</v>
      </c>
      <c r="F168" t="s">
        <v>1100</v>
      </c>
      <c r="G168">
        <v>0</v>
      </c>
      <c r="H168" t="s">
        <v>987</v>
      </c>
      <c r="I168" t="s">
        <v>987</v>
      </c>
      <c r="J168" t="s">
        <v>987</v>
      </c>
      <c r="K168">
        <v>4057944</v>
      </c>
      <c r="L168" t="s">
        <v>987</v>
      </c>
      <c r="M168" t="s">
        <v>987</v>
      </c>
      <c r="N168" t="s">
        <v>987</v>
      </c>
      <c r="O168">
        <v>0</v>
      </c>
      <c r="P168">
        <v>0</v>
      </c>
      <c r="Q168">
        <v>0</v>
      </c>
      <c r="R168">
        <v>0</v>
      </c>
      <c r="S168">
        <v>6</v>
      </c>
      <c r="T168">
        <v>2006</v>
      </c>
      <c r="U168" t="s">
        <v>1010</v>
      </c>
      <c r="V168">
        <v>10</v>
      </c>
      <c r="W168" t="s">
        <v>987</v>
      </c>
      <c r="X168" t="s">
        <v>987</v>
      </c>
      <c r="Y168" t="s">
        <v>987</v>
      </c>
      <c r="Z168" t="s">
        <v>987</v>
      </c>
      <c r="AA168" t="s">
        <v>987</v>
      </c>
      <c r="AB168" t="s">
        <v>987</v>
      </c>
    </row>
    <row r="169" spans="1:28" x14ac:dyDescent="0.3">
      <c r="A169">
        <v>168</v>
      </c>
      <c r="B169" t="s">
        <v>342</v>
      </c>
      <c r="C169">
        <v>30100000</v>
      </c>
      <c r="D169">
        <v>19607009165</v>
      </c>
      <c r="E169" t="s">
        <v>977</v>
      </c>
      <c r="F169" t="s">
        <v>342</v>
      </c>
      <c r="G169">
        <v>11501</v>
      </c>
      <c r="H169" t="s">
        <v>1101</v>
      </c>
      <c r="I169" t="s">
        <v>1102</v>
      </c>
      <c r="J169" t="s">
        <v>977</v>
      </c>
      <c r="K169">
        <v>127</v>
      </c>
      <c r="L169">
        <v>1</v>
      </c>
      <c r="M169">
        <v>54</v>
      </c>
      <c r="N169">
        <v>100040000</v>
      </c>
      <c r="O169">
        <v>25000</v>
      </c>
      <c r="P169">
        <v>400200</v>
      </c>
      <c r="Q169">
        <v>300100</v>
      </c>
      <c r="R169">
        <v>4800000</v>
      </c>
      <c r="S169">
        <v>100000</v>
      </c>
      <c r="T169">
        <v>2007</v>
      </c>
      <c r="U169" t="s">
        <v>1015</v>
      </c>
      <c r="V169">
        <v>12</v>
      </c>
      <c r="W169">
        <v>85</v>
      </c>
      <c r="X169">
        <v>17332850</v>
      </c>
      <c r="Y169">
        <v>3.2</v>
      </c>
      <c r="Z169">
        <v>15924729</v>
      </c>
      <c r="AA169">
        <v>52.132632999999998</v>
      </c>
      <c r="AB169">
        <v>5.2912660000000002</v>
      </c>
    </row>
    <row r="170" spans="1:28" x14ac:dyDescent="0.3">
      <c r="A170">
        <v>169</v>
      </c>
      <c r="B170" t="s">
        <v>325</v>
      </c>
      <c r="C170">
        <v>30100000</v>
      </c>
      <c r="D170">
        <v>22593193994</v>
      </c>
      <c r="E170" t="s">
        <v>990</v>
      </c>
      <c r="F170" t="s">
        <v>325</v>
      </c>
      <c r="G170">
        <v>1349</v>
      </c>
      <c r="H170" t="s">
        <v>984</v>
      </c>
      <c r="I170" t="s">
        <v>985</v>
      </c>
      <c r="J170" t="s">
        <v>990</v>
      </c>
      <c r="K170">
        <v>95</v>
      </c>
      <c r="L170">
        <v>49</v>
      </c>
      <c r="M170">
        <v>12</v>
      </c>
      <c r="N170">
        <v>107525000</v>
      </c>
      <c r="O170">
        <v>26900</v>
      </c>
      <c r="P170">
        <v>430100</v>
      </c>
      <c r="Q170">
        <v>322600</v>
      </c>
      <c r="R170">
        <v>5200000</v>
      </c>
      <c r="S170" t="s">
        <v>987</v>
      </c>
      <c r="T170">
        <v>2015</v>
      </c>
      <c r="U170" t="s">
        <v>1005</v>
      </c>
      <c r="V170">
        <v>14</v>
      </c>
      <c r="W170">
        <v>88.2</v>
      </c>
      <c r="X170">
        <v>328239523</v>
      </c>
      <c r="Y170">
        <v>14.7</v>
      </c>
      <c r="Z170">
        <v>270663028</v>
      </c>
      <c r="AA170">
        <v>37.090240000000001</v>
      </c>
      <c r="AB170">
        <v>-95.712890999999999</v>
      </c>
    </row>
    <row r="171" spans="1:28" x14ac:dyDescent="0.3">
      <c r="A171">
        <v>170</v>
      </c>
      <c r="B171" t="s">
        <v>550</v>
      </c>
      <c r="C171">
        <v>30100000</v>
      </c>
      <c r="D171">
        <v>16246625836</v>
      </c>
      <c r="E171" t="s">
        <v>996</v>
      </c>
      <c r="F171" t="s">
        <v>550</v>
      </c>
      <c r="G171">
        <v>5114</v>
      </c>
      <c r="H171" t="s">
        <v>987</v>
      </c>
      <c r="I171" t="s">
        <v>987</v>
      </c>
      <c r="J171" t="s">
        <v>986</v>
      </c>
      <c r="K171">
        <v>183</v>
      </c>
      <c r="L171">
        <v>2</v>
      </c>
      <c r="M171">
        <v>14</v>
      </c>
      <c r="N171">
        <v>40425000</v>
      </c>
      <c r="O171">
        <v>10100</v>
      </c>
      <c r="P171">
        <v>161700</v>
      </c>
      <c r="Q171">
        <v>121300</v>
      </c>
      <c r="R171">
        <v>1900000</v>
      </c>
      <c r="S171">
        <v>100000</v>
      </c>
      <c r="T171">
        <v>2007</v>
      </c>
      <c r="U171" t="s">
        <v>989</v>
      </c>
      <c r="V171">
        <v>24</v>
      </c>
      <c r="W171" t="s">
        <v>987</v>
      </c>
      <c r="X171" t="s">
        <v>987</v>
      </c>
      <c r="Y171" t="s">
        <v>987</v>
      </c>
      <c r="Z171" t="s">
        <v>987</v>
      </c>
      <c r="AA171" t="s">
        <v>987</v>
      </c>
      <c r="AB171" t="s">
        <v>987</v>
      </c>
    </row>
    <row r="172" spans="1:28" x14ac:dyDescent="0.3">
      <c r="A172">
        <v>171</v>
      </c>
      <c r="B172" t="s">
        <v>371</v>
      </c>
      <c r="C172">
        <v>30000000</v>
      </c>
      <c r="D172">
        <v>12831200855</v>
      </c>
      <c r="E172" t="s">
        <v>977</v>
      </c>
      <c r="F172" t="s">
        <v>371</v>
      </c>
      <c r="G172">
        <v>133</v>
      </c>
      <c r="H172" t="s">
        <v>1017</v>
      </c>
      <c r="I172" t="s">
        <v>1018</v>
      </c>
      <c r="J172" t="s">
        <v>977</v>
      </c>
      <c r="K172">
        <v>295</v>
      </c>
      <c r="L172">
        <v>4</v>
      </c>
      <c r="M172">
        <v>55</v>
      </c>
      <c r="N172">
        <v>88749000</v>
      </c>
      <c r="O172">
        <v>22200</v>
      </c>
      <c r="P172">
        <v>355000</v>
      </c>
      <c r="Q172">
        <v>266200</v>
      </c>
      <c r="R172">
        <v>4300000</v>
      </c>
      <c r="S172" t="s">
        <v>987</v>
      </c>
      <c r="T172">
        <v>2011</v>
      </c>
      <c r="U172" t="s">
        <v>1003</v>
      </c>
      <c r="V172">
        <v>19</v>
      </c>
      <c r="W172">
        <v>68.900000000000006</v>
      </c>
      <c r="X172">
        <v>36991981</v>
      </c>
      <c r="Y172">
        <v>5.56</v>
      </c>
      <c r="Z172">
        <v>30628482</v>
      </c>
      <c r="AA172">
        <v>56.130366000000002</v>
      </c>
      <c r="AB172">
        <v>-106.346771</v>
      </c>
    </row>
    <row r="173" spans="1:28" x14ac:dyDescent="0.3">
      <c r="A173">
        <v>172</v>
      </c>
      <c r="B173" t="s">
        <v>627</v>
      </c>
      <c r="C173">
        <v>29800000</v>
      </c>
      <c r="D173">
        <v>4457913639</v>
      </c>
      <c r="E173" t="s">
        <v>1044</v>
      </c>
      <c r="F173" t="s">
        <v>627</v>
      </c>
      <c r="G173">
        <v>151</v>
      </c>
      <c r="H173" t="s">
        <v>978</v>
      </c>
      <c r="I173" t="s">
        <v>979</v>
      </c>
      <c r="J173" t="s">
        <v>1044</v>
      </c>
      <c r="K173">
        <v>1622</v>
      </c>
      <c r="L173">
        <v>42</v>
      </c>
      <c r="M173">
        <v>8</v>
      </c>
      <c r="N173">
        <v>26171000</v>
      </c>
      <c r="O173">
        <v>6500</v>
      </c>
      <c r="P173">
        <v>104700</v>
      </c>
      <c r="Q173">
        <v>78500</v>
      </c>
      <c r="R173">
        <v>1300000</v>
      </c>
      <c r="S173">
        <v>100000</v>
      </c>
      <c r="T173">
        <v>2009</v>
      </c>
      <c r="U173" t="s">
        <v>1015</v>
      </c>
      <c r="V173">
        <v>6</v>
      </c>
      <c r="W173">
        <v>28.1</v>
      </c>
      <c r="X173">
        <v>1366417754</v>
      </c>
      <c r="Y173">
        <v>5.36</v>
      </c>
      <c r="Z173">
        <v>471031528</v>
      </c>
      <c r="AA173">
        <v>20.593684</v>
      </c>
      <c r="AB173">
        <v>78.962879999999998</v>
      </c>
    </row>
    <row r="174" spans="1:28" x14ac:dyDescent="0.3">
      <c r="A174">
        <v>173</v>
      </c>
      <c r="B174" t="s">
        <v>398</v>
      </c>
      <c r="C174">
        <v>29600000</v>
      </c>
      <c r="D174">
        <v>17208027242</v>
      </c>
      <c r="E174" t="s">
        <v>977</v>
      </c>
      <c r="F174" t="s">
        <v>398</v>
      </c>
      <c r="G174">
        <v>4903</v>
      </c>
      <c r="H174" t="s">
        <v>984</v>
      </c>
      <c r="I174" t="s">
        <v>985</v>
      </c>
      <c r="J174" t="s">
        <v>977</v>
      </c>
      <c r="K174">
        <v>165</v>
      </c>
      <c r="L174">
        <v>50</v>
      </c>
      <c r="M174">
        <v>56</v>
      </c>
      <c r="N174">
        <v>81884000</v>
      </c>
      <c r="O174">
        <v>20500</v>
      </c>
      <c r="P174">
        <v>327500</v>
      </c>
      <c r="Q174">
        <v>245700</v>
      </c>
      <c r="R174">
        <v>3900000</v>
      </c>
      <c r="S174" t="s">
        <v>987</v>
      </c>
      <c r="T174">
        <v>2006</v>
      </c>
      <c r="U174" t="s">
        <v>1025</v>
      </c>
      <c r="V174">
        <v>24</v>
      </c>
      <c r="W174">
        <v>88.2</v>
      </c>
      <c r="X174">
        <v>328239523</v>
      </c>
      <c r="Y174">
        <v>14.7</v>
      </c>
      <c r="Z174">
        <v>270663028</v>
      </c>
      <c r="AA174">
        <v>37.090240000000001</v>
      </c>
      <c r="AB174">
        <v>-95.712890999999999</v>
      </c>
    </row>
    <row r="175" spans="1:28" x14ac:dyDescent="0.3">
      <c r="A175">
        <v>174</v>
      </c>
      <c r="B175" t="s">
        <v>1103</v>
      </c>
      <c r="C175">
        <v>29300000</v>
      </c>
      <c r="D175">
        <v>0</v>
      </c>
      <c r="E175" t="s">
        <v>987</v>
      </c>
      <c r="F175" t="s">
        <v>1104</v>
      </c>
      <c r="G175">
        <v>3</v>
      </c>
      <c r="H175" t="s">
        <v>987</v>
      </c>
      <c r="I175" t="s">
        <v>987</v>
      </c>
      <c r="J175" t="s">
        <v>990</v>
      </c>
      <c r="K175">
        <v>4019724</v>
      </c>
      <c r="L175" t="s">
        <v>987</v>
      </c>
      <c r="M175">
        <v>4847</v>
      </c>
      <c r="N175">
        <v>1</v>
      </c>
      <c r="O175">
        <v>0</v>
      </c>
      <c r="P175">
        <v>0</v>
      </c>
      <c r="Q175">
        <v>0</v>
      </c>
      <c r="R175">
        <v>0.05</v>
      </c>
      <c r="S175" t="s">
        <v>987</v>
      </c>
      <c r="T175">
        <v>2017</v>
      </c>
      <c r="U175" t="s">
        <v>1010</v>
      </c>
      <c r="V175">
        <v>7</v>
      </c>
      <c r="W175" t="s">
        <v>987</v>
      </c>
      <c r="X175" t="s">
        <v>987</v>
      </c>
      <c r="Y175" t="s">
        <v>987</v>
      </c>
      <c r="Z175" t="s">
        <v>987</v>
      </c>
      <c r="AA175" t="s">
        <v>987</v>
      </c>
      <c r="AB175" t="s">
        <v>987</v>
      </c>
    </row>
    <row r="176" spans="1:28" x14ac:dyDescent="0.3">
      <c r="A176">
        <v>175</v>
      </c>
      <c r="B176" t="s">
        <v>846</v>
      </c>
      <c r="C176">
        <v>29300000</v>
      </c>
      <c r="D176">
        <v>21226945136</v>
      </c>
      <c r="E176" t="s">
        <v>977</v>
      </c>
      <c r="F176" t="s">
        <v>1105</v>
      </c>
      <c r="G176">
        <v>14</v>
      </c>
      <c r="H176" t="s">
        <v>1023</v>
      </c>
      <c r="I176" t="s">
        <v>1024</v>
      </c>
      <c r="J176" t="s">
        <v>1002</v>
      </c>
      <c r="K176">
        <v>4051498</v>
      </c>
      <c r="L176">
        <v>3624</v>
      </c>
      <c r="M176">
        <v>7658</v>
      </c>
      <c r="N176">
        <v>15</v>
      </c>
      <c r="O176">
        <v>0</v>
      </c>
      <c r="P176">
        <v>0.06</v>
      </c>
      <c r="Q176">
        <v>0.05</v>
      </c>
      <c r="R176">
        <v>0.72</v>
      </c>
      <c r="S176" t="s">
        <v>987</v>
      </c>
      <c r="T176">
        <v>2015</v>
      </c>
      <c r="U176" t="s">
        <v>1025</v>
      </c>
      <c r="V176">
        <v>31</v>
      </c>
      <c r="W176">
        <v>90</v>
      </c>
      <c r="X176">
        <v>44938712</v>
      </c>
      <c r="Y176">
        <v>9.7899999999999991</v>
      </c>
      <c r="Z176">
        <v>41339571</v>
      </c>
      <c r="AA176">
        <v>-38.416097000000001</v>
      </c>
      <c r="AB176">
        <v>-63.616672000000001</v>
      </c>
    </row>
    <row r="177" spans="1:28" x14ac:dyDescent="0.3">
      <c r="A177">
        <v>176</v>
      </c>
      <c r="B177" t="s">
        <v>893</v>
      </c>
      <c r="C177">
        <v>29200000</v>
      </c>
      <c r="D177">
        <v>14727238483</v>
      </c>
      <c r="E177" t="s">
        <v>988</v>
      </c>
      <c r="F177" t="s">
        <v>893</v>
      </c>
      <c r="G177">
        <v>1513</v>
      </c>
      <c r="H177" t="s">
        <v>984</v>
      </c>
      <c r="I177" t="s">
        <v>985</v>
      </c>
      <c r="J177" t="s">
        <v>988</v>
      </c>
      <c r="K177">
        <v>230</v>
      </c>
      <c r="L177">
        <v>51</v>
      </c>
      <c r="M177">
        <v>48</v>
      </c>
      <c r="N177">
        <v>180519000</v>
      </c>
      <c r="O177">
        <v>0</v>
      </c>
      <c r="P177">
        <v>0</v>
      </c>
      <c r="Q177">
        <v>0</v>
      </c>
      <c r="R177">
        <v>0</v>
      </c>
      <c r="S177">
        <v>1000000</v>
      </c>
      <c r="T177">
        <v>2015</v>
      </c>
      <c r="U177" t="s">
        <v>1003</v>
      </c>
      <c r="V177">
        <v>19</v>
      </c>
      <c r="W177">
        <v>88.2</v>
      </c>
      <c r="X177">
        <v>328239523</v>
      </c>
      <c r="Y177">
        <v>14.7</v>
      </c>
      <c r="Z177">
        <v>270663028</v>
      </c>
      <c r="AA177">
        <v>37.090240000000001</v>
      </c>
      <c r="AB177">
        <v>-95.712890999999999</v>
      </c>
    </row>
    <row r="178" spans="1:28" x14ac:dyDescent="0.3">
      <c r="A178">
        <v>177</v>
      </c>
      <c r="B178" t="s">
        <v>125</v>
      </c>
      <c r="C178">
        <v>29200000</v>
      </c>
      <c r="D178">
        <v>11627437847</v>
      </c>
      <c r="E178" t="s">
        <v>1044</v>
      </c>
      <c r="F178" t="s">
        <v>125</v>
      </c>
      <c r="G178">
        <v>3654</v>
      </c>
      <c r="H178" t="s">
        <v>1019</v>
      </c>
      <c r="I178" t="s">
        <v>1020</v>
      </c>
      <c r="J178" t="s">
        <v>986</v>
      </c>
      <c r="K178">
        <v>338</v>
      </c>
      <c r="L178">
        <v>10</v>
      </c>
      <c r="M178">
        <v>15</v>
      </c>
      <c r="N178">
        <v>303100000</v>
      </c>
      <c r="O178">
        <v>75800</v>
      </c>
      <c r="P178">
        <v>1200000</v>
      </c>
      <c r="Q178">
        <v>909300</v>
      </c>
      <c r="R178">
        <v>14500000</v>
      </c>
      <c r="S178">
        <v>1000000</v>
      </c>
      <c r="T178">
        <v>2012</v>
      </c>
      <c r="U178" t="s">
        <v>1029</v>
      </c>
      <c r="V178">
        <v>7</v>
      </c>
      <c r="W178">
        <v>51.3</v>
      </c>
      <c r="X178">
        <v>212559417</v>
      </c>
      <c r="Y178">
        <v>12.08</v>
      </c>
      <c r="Z178">
        <v>183241641</v>
      </c>
      <c r="AA178">
        <v>-14.235004</v>
      </c>
      <c r="AB178">
        <v>-51.925280000000001</v>
      </c>
    </row>
    <row r="179" spans="1:28" x14ac:dyDescent="0.3">
      <c r="A179">
        <v>178</v>
      </c>
      <c r="B179" t="s">
        <v>710</v>
      </c>
      <c r="C179">
        <v>29200000</v>
      </c>
      <c r="D179">
        <v>4079141673</v>
      </c>
      <c r="E179" t="s">
        <v>1044</v>
      </c>
      <c r="F179" t="s">
        <v>710</v>
      </c>
      <c r="G179">
        <v>404</v>
      </c>
      <c r="H179" t="s">
        <v>1065</v>
      </c>
      <c r="I179" t="s">
        <v>1066</v>
      </c>
      <c r="J179" t="s">
        <v>1044</v>
      </c>
      <c r="K179">
        <v>1852</v>
      </c>
      <c r="L179">
        <v>3</v>
      </c>
      <c r="M179">
        <v>9</v>
      </c>
      <c r="N179">
        <v>12143000</v>
      </c>
      <c r="O179">
        <v>3000</v>
      </c>
      <c r="P179">
        <v>48600</v>
      </c>
      <c r="Q179">
        <v>36400</v>
      </c>
      <c r="R179">
        <v>582900</v>
      </c>
      <c r="S179" t="s">
        <v>987</v>
      </c>
      <c r="T179">
        <v>2006</v>
      </c>
      <c r="U179" t="s">
        <v>989</v>
      </c>
      <c r="V179">
        <v>28</v>
      </c>
      <c r="W179">
        <v>88.9</v>
      </c>
      <c r="X179">
        <v>47076781</v>
      </c>
      <c r="Y179">
        <v>13.96</v>
      </c>
      <c r="Z179">
        <v>37927409</v>
      </c>
      <c r="AA179">
        <v>40.463667000000001</v>
      </c>
      <c r="AB179">
        <v>-3.7492200000000002</v>
      </c>
    </row>
    <row r="180" spans="1:28" x14ac:dyDescent="0.3">
      <c r="A180">
        <v>179</v>
      </c>
      <c r="B180" t="s">
        <v>800</v>
      </c>
      <c r="C180">
        <v>29000000</v>
      </c>
      <c r="D180">
        <v>19466238065</v>
      </c>
      <c r="E180" t="s">
        <v>1044</v>
      </c>
      <c r="F180" t="s">
        <v>1106</v>
      </c>
      <c r="G180">
        <v>42</v>
      </c>
      <c r="H180" t="s">
        <v>987</v>
      </c>
      <c r="I180" t="s">
        <v>987</v>
      </c>
      <c r="J180" t="s">
        <v>987</v>
      </c>
      <c r="K180">
        <v>3997024</v>
      </c>
      <c r="L180" t="s">
        <v>987</v>
      </c>
      <c r="M180" t="s">
        <v>987</v>
      </c>
      <c r="N180">
        <v>60805</v>
      </c>
      <c r="O180">
        <v>15</v>
      </c>
      <c r="P180">
        <v>243</v>
      </c>
      <c r="Q180">
        <v>182</v>
      </c>
      <c r="R180">
        <v>2900</v>
      </c>
      <c r="S180">
        <v>151</v>
      </c>
      <c r="T180">
        <v>2021</v>
      </c>
      <c r="U180" t="s">
        <v>1003</v>
      </c>
      <c r="V180">
        <v>28</v>
      </c>
      <c r="W180" t="s">
        <v>987</v>
      </c>
      <c r="X180" t="s">
        <v>987</v>
      </c>
      <c r="Y180" t="s">
        <v>987</v>
      </c>
      <c r="Z180" t="s">
        <v>987</v>
      </c>
      <c r="AA180" t="s">
        <v>987</v>
      </c>
      <c r="AB180" t="s">
        <v>987</v>
      </c>
    </row>
    <row r="181" spans="1:28" x14ac:dyDescent="0.3">
      <c r="A181">
        <v>180</v>
      </c>
      <c r="B181" t="s">
        <v>319</v>
      </c>
      <c r="C181">
        <v>28900000</v>
      </c>
      <c r="D181">
        <v>17930570614</v>
      </c>
      <c r="E181" t="s">
        <v>990</v>
      </c>
      <c r="F181" t="s">
        <v>319</v>
      </c>
      <c r="G181">
        <v>555</v>
      </c>
      <c r="H181" t="s">
        <v>978</v>
      </c>
      <c r="I181" t="s">
        <v>979</v>
      </c>
      <c r="J181" t="s">
        <v>990</v>
      </c>
      <c r="K181">
        <v>149</v>
      </c>
      <c r="L181">
        <v>44</v>
      </c>
      <c r="M181">
        <v>13</v>
      </c>
      <c r="N181">
        <v>109828000</v>
      </c>
      <c r="O181">
        <v>27500</v>
      </c>
      <c r="P181">
        <v>439300</v>
      </c>
      <c r="Q181">
        <v>329500</v>
      </c>
      <c r="R181">
        <v>5300000</v>
      </c>
      <c r="S181">
        <v>200000</v>
      </c>
      <c r="T181">
        <v>2014</v>
      </c>
      <c r="U181" t="s">
        <v>980</v>
      </c>
      <c r="V181">
        <v>13</v>
      </c>
      <c r="W181">
        <v>28.1</v>
      </c>
      <c r="X181">
        <v>1366417754</v>
      </c>
      <c r="Y181">
        <v>5.36</v>
      </c>
      <c r="Z181">
        <v>471031528</v>
      </c>
      <c r="AA181">
        <v>20.593684</v>
      </c>
      <c r="AB181">
        <v>78.962879999999998</v>
      </c>
    </row>
    <row r="182" spans="1:28" x14ac:dyDescent="0.3">
      <c r="A182">
        <v>181</v>
      </c>
      <c r="B182" t="s">
        <v>927</v>
      </c>
      <c r="C182">
        <v>28500000</v>
      </c>
      <c r="D182">
        <v>25857994495</v>
      </c>
      <c r="E182" t="s">
        <v>977</v>
      </c>
      <c r="F182" t="s">
        <v>1107</v>
      </c>
      <c r="G182">
        <v>0</v>
      </c>
      <c r="H182" t="s">
        <v>987</v>
      </c>
      <c r="I182" t="s">
        <v>987</v>
      </c>
      <c r="J182" t="s">
        <v>977</v>
      </c>
      <c r="K182">
        <v>4057944</v>
      </c>
      <c r="L182" t="s">
        <v>987</v>
      </c>
      <c r="M182">
        <v>4721</v>
      </c>
      <c r="N182" t="s">
        <v>987</v>
      </c>
      <c r="O182">
        <v>0</v>
      </c>
      <c r="P182">
        <v>0</v>
      </c>
      <c r="Q182">
        <v>0</v>
      </c>
      <c r="R182">
        <v>0</v>
      </c>
      <c r="S182" t="s">
        <v>987</v>
      </c>
      <c r="T182">
        <v>2010</v>
      </c>
      <c r="U182" t="s">
        <v>1005</v>
      </c>
      <c r="V182">
        <v>16</v>
      </c>
      <c r="W182" t="s">
        <v>987</v>
      </c>
      <c r="X182" t="s">
        <v>987</v>
      </c>
      <c r="Y182" t="s">
        <v>987</v>
      </c>
      <c r="Z182" t="s">
        <v>987</v>
      </c>
      <c r="AA182" t="s">
        <v>987</v>
      </c>
      <c r="AB182" t="s">
        <v>987</v>
      </c>
    </row>
    <row r="183" spans="1:28" x14ac:dyDescent="0.3">
      <c r="A183">
        <v>182</v>
      </c>
      <c r="B183" t="s">
        <v>614</v>
      </c>
      <c r="C183">
        <v>28400000</v>
      </c>
      <c r="D183">
        <v>9956764048</v>
      </c>
      <c r="E183" t="s">
        <v>988</v>
      </c>
      <c r="F183" t="s">
        <v>614</v>
      </c>
      <c r="G183">
        <v>5809</v>
      </c>
      <c r="H183" t="s">
        <v>984</v>
      </c>
      <c r="I183" t="s">
        <v>985</v>
      </c>
      <c r="J183" t="s">
        <v>988</v>
      </c>
      <c r="K183">
        <v>445</v>
      </c>
      <c r="L183">
        <v>53</v>
      </c>
      <c r="M183">
        <v>49</v>
      </c>
      <c r="N183">
        <v>26435000</v>
      </c>
      <c r="O183">
        <v>6600</v>
      </c>
      <c r="P183">
        <v>105700</v>
      </c>
      <c r="Q183">
        <v>79300</v>
      </c>
      <c r="R183">
        <v>1300000</v>
      </c>
      <c r="S183" t="s">
        <v>987</v>
      </c>
      <c r="T183">
        <v>2006</v>
      </c>
      <c r="U183" t="s">
        <v>1029</v>
      </c>
      <c r="V183">
        <v>21</v>
      </c>
      <c r="W183">
        <v>88.2</v>
      </c>
      <c r="X183">
        <v>328239523</v>
      </c>
      <c r="Y183">
        <v>14.7</v>
      </c>
      <c r="Z183">
        <v>270663028</v>
      </c>
      <c r="AA183">
        <v>37.090240000000001</v>
      </c>
      <c r="AB183">
        <v>-95.712890999999999</v>
      </c>
    </row>
    <row r="184" spans="1:28" x14ac:dyDescent="0.3">
      <c r="A184">
        <v>183</v>
      </c>
      <c r="B184" t="s">
        <v>170</v>
      </c>
      <c r="C184">
        <v>28400000</v>
      </c>
      <c r="D184">
        <v>10062770060</v>
      </c>
      <c r="E184" t="s">
        <v>1108</v>
      </c>
      <c r="F184" t="s">
        <v>170</v>
      </c>
      <c r="G184">
        <v>5436</v>
      </c>
      <c r="H184" t="s">
        <v>978</v>
      </c>
      <c r="I184" t="s">
        <v>979</v>
      </c>
      <c r="J184" t="s">
        <v>1022</v>
      </c>
      <c r="K184">
        <v>432</v>
      </c>
      <c r="L184">
        <v>45</v>
      </c>
      <c r="M184">
        <v>11</v>
      </c>
      <c r="N184">
        <v>227355000</v>
      </c>
      <c r="O184">
        <v>56800</v>
      </c>
      <c r="P184">
        <v>909400</v>
      </c>
      <c r="Q184">
        <v>682100</v>
      </c>
      <c r="R184">
        <v>10900000</v>
      </c>
      <c r="S184">
        <v>500000</v>
      </c>
      <c r="T184">
        <v>2012</v>
      </c>
      <c r="U184" t="s">
        <v>989</v>
      </c>
      <c r="V184">
        <v>23</v>
      </c>
      <c r="W184">
        <v>28.1</v>
      </c>
      <c r="X184">
        <v>1366417754</v>
      </c>
      <c r="Y184">
        <v>5.36</v>
      </c>
      <c r="Z184">
        <v>471031528</v>
      </c>
      <c r="AA184">
        <v>20.593684</v>
      </c>
      <c r="AB184">
        <v>78.962879999999998</v>
      </c>
    </row>
    <row r="185" spans="1:28" x14ac:dyDescent="0.3">
      <c r="A185">
        <v>184</v>
      </c>
      <c r="B185" t="s">
        <v>867</v>
      </c>
      <c r="C185">
        <v>28300000</v>
      </c>
      <c r="D185">
        <v>13577142726</v>
      </c>
      <c r="E185" t="s">
        <v>982</v>
      </c>
      <c r="F185" t="s">
        <v>1109</v>
      </c>
      <c r="G185">
        <v>6</v>
      </c>
      <c r="H185" t="s">
        <v>987</v>
      </c>
      <c r="I185" t="s">
        <v>987</v>
      </c>
      <c r="J185" t="s">
        <v>987</v>
      </c>
      <c r="K185">
        <v>4057907</v>
      </c>
      <c r="L185" t="s">
        <v>987</v>
      </c>
      <c r="M185" t="s">
        <v>987</v>
      </c>
      <c r="N185">
        <v>2</v>
      </c>
      <c r="O185">
        <v>0</v>
      </c>
      <c r="P185">
        <v>0.01</v>
      </c>
      <c r="Q185">
        <v>0.01</v>
      </c>
      <c r="R185">
        <v>0.1</v>
      </c>
      <c r="S185" t="s">
        <v>987</v>
      </c>
      <c r="T185">
        <v>2019</v>
      </c>
      <c r="U185" t="s">
        <v>1015</v>
      </c>
      <c r="V185">
        <v>21</v>
      </c>
      <c r="W185" t="s">
        <v>987</v>
      </c>
      <c r="X185" t="s">
        <v>987</v>
      </c>
      <c r="Y185" t="s">
        <v>987</v>
      </c>
      <c r="Z185" t="s">
        <v>987</v>
      </c>
      <c r="AA185" t="s">
        <v>987</v>
      </c>
      <c r="AB185" t="s">
        <v>987</v>
      </c>
    </row>
    <row r="186" spans="1:28" x14ac:dyDescent="0.3">
      <c r="A186">
        <v>185</v>
      </c>
      <c r="B186" t="s">
        <v>127</v>
      </c>
      <c r="C186">
        <v>28300000</v>
      </c>
      <c r="D186">
        <v>14814192034</v>
      </c>
      <c r="E186" t="s">
        <v>990</v>
      </c>
      <c r="F186" t="s">
        <v>127</v>
      </c>
      <c r="G186">
        <v>505</v>
      </c>
      <c r="H186" t="s">
        <v>978</v>
      </c>
      <c r="I186" t="s">
        <v>979</v>
      </c>
      <c r="J186" t="s">
        <v>990</v>
      </c>
      <c r="K186">
        <v>223</v>
      </c>
      <c r="L186">
        <v>45</v>
      </c>
      <c r="M186">
        <v>14</v>
      </c>
      <c r="N186">
        <v>288110000</v>
      </c>
      <c r="O186">
        <v>72000</v>
      </c>
      <c r="P186">
        <v>1200000</v>
      </c>
      <c r="Q186">
        <v>864300</v>
      </c>
      <c r="R186">
        <v>13800000</v>
      </c>
      <c r="S186">
        <v>800000</v>
      </c>
      <c r="T186">
        <v>2014</v>
      </c>
      <c r="U186" t="s">
        <v>980</v>
      </c>
      <c r="V186">
        <v>13</v>
      </c>
      <c r="W186">
        <v>28.1</v>
      </c>
      <c r="X186">
        <v>1366417754</v>
      </c>
      <c r="Y186">
        <v>5.36</v>
      </c>
      <c r="Z186">
        <v>471031528</v>
      </c>
      <c r="AA186">
        <v>20.593684</v>
      </c>
      <c r="AB186">
        <v>78.962879999999998</v>
      </c>
    </row>
    <row r="187" spans="1:28" x14ac:dyDescent="0.3">
      <c r="A187">
        <v>186</v>
      </c>
      <c r="B187" t="s">
        <v>41</v>
      </c>
      <c r="C187">
        <v>28300000</v>
      </c>
      <c r="D187">
        <v>23844936965</v>
      </c>
      <c r="E187" t="s">
        <v>988</v>
      </c>
      <c r="F187" t="s">
        <v>41</v>
      </c>
      <c r="G187">
        <v>106983</v>
      </c>
      <c r="H187" t="s">
        <v>1041</v>
      </c>
      <c r="I187" t="s">
        <v>1042</v>
      </c>
      <c r="J187" t="s">
        <v>988</v>
      </c>
      <c r="K187">
        <v>80</v>
      </c>
      <c r="L187">
        <v>3</v>
      </c>
      <c r="M187">
        <v>49</v>
      </c>
      <c r="N187">
        <v>684860000</v>
      </c>
      <c r="O187">
        <v>171200</v>
      </c>
      <c r="P187">
        <v>2700000</v>
      </c>
      <c r="Q187">
        <v>2100000</v>
      </c>
      <c r="R187">
        <v>32900000</v>
      </c>
      <c r="S187">
        <v>700000</v>
      </c>
      <c r="T187">
        <v>2011</v>
      </c>
      <c r="U187" t="s">
        <v>995</v>
      </c>
      <c r="V187">
        <v>25</v>
      </c>
      <c r="W187">
        <v>9</v>
      </c>
      <c r="X187">
        <v>216565318</v>
      </c>
      <c r="Y187">
        <v>4.45</v>
      </c>
      <c r="Z187">
        <v>79927762</v>
      </c>
      <c r="AA187">
        <v>30.375321</v>
      </c>
      <c r="AB187">
        <v>69.345116000000004</v>
      </c>
    </row>
    <row r="188" spans="1:28" x14ac:dyDescent="0.3">
      <c r="A188">
        <v>187</v>
      </c>
      <c r="B188" t="s">
        <v>197</v>
      </c>
      <c r="C188">
        <v>28200000</v>
      </c>
      <c r="D188">
        <v>7600740993</v>
      </c>
      <c r="E188" t="s">
        <v>988</v>
      </c>
      <c r="F188" t="s">
        <v>197</v>
      </c>
      <c r="G188">
        <v>3009</v>
      </c>
      <c r="H188" t="s">
        <v>978</v>
      </c>
      <c r="I188" t="s">
        <v>979</v>
      </c>
      <c r="J188" t="s">
        <v>1022</v>
      </c>
      <c r="K188">
        <v>721</v>
      </c>
      <c r="L188">
        <v>46</v>
      </c>
      <c r="M188">
        <v>13</v>
      </c>
      <c r="N188">
        <v>184966000</v>
      </c>
      <c r="O188">
        <v>46200</v>
      </c>
      <c r="P188">
        <v>739900</v>
      </c>
      <c r="Q188">
        <v>554900</v>
      </c>
      <c r="R188">
        <v>8900000</v>
      </c>
      <c r="S188">
        <v>500000</v>
      </c>
      <c r="T188">
        <v>2011</v>
      </c>
      <c r="U188" t="s">
        <v>980</v>
      </c>
      <c r="V188">
        <v>1</v>
      </c>
      <c r="W188">
        <v>28.1</v>
      </c>
      <c r="X188">
        <v>1366417754</v>
      </c>
      <c r="Y188">
        <v>5.36</v>
      </c>
      <c r="Z188">
        <v>471031528</v>
      </c>
      <c r="AA188">
        <v>20.593684</v>
      </c>
      <c r="AB188">
        <v>78.962879999999998</v>
      </c>
    </row>
    <row r="189" spans="1:28" x14ac:dyDescent="0.3">
      <c r="A189">
        <v>188</v>
      </c>
      <c r="B189" t="s">
        <v>237</v>
      </c>
      <c r="C189">
        <v>28200000</v>
      </c>
      <c r="D189">
        <v>14412474625</v>
      </c>
      <c r="E189" t="s">
        <v>977</v>
      </c>
      <c r="F189" t="s">
        <v>237</v>
      </c>
      <c r="G189">
        <v>15</v>
      </c>
      <c r="H189" t="s">
        <v>984</v>
      </c>
      <c r="I189" t="s">
        <v>985</v>
      </c>
      <c r="J189" t="s">
        <v>977</v>
      </c>
      <c r="K189">
        <v>242</v>
      </c>
      <c r="L189">
        <v>54</v>
      </c>
      <c r="M189">
        <v>59</v>
      </c>
      <c r="N189">
        <v>158591000</v>
      </c>
      <c r="O189">
        <v>39600</v>
      </c>
      <c r="P189">
        <v>634400</v>
      </c>
      <c r="Q189">
        <v>475800</v>
      </c>
      <c r="R189">
        <v>7600000</v>
      </c>
      <c r="S189">
        <v>200000</v>
      </c>
      <c r="T189">
        <v>2005</v>
      </c>
      <c r="U189" t="s">
        <v>1008</v>
      </c>
      <c r="V189">
        <v>22</v>
      </c>
      <c r="W189">
        <v>88.2</v>
      </c>
      <c r="X189">
        <v>328239523</v>
      </c>
      <c r="Y189">
        <v>14.7</v>
      </c>
      <c r="Z189">
        <v>270663028</v>
      </c>
      <c r="AA189">
        <v>37.090240000000001</v>
      </c>
      <c r="AB189">
        <v>-95.712890999999999</v>
      </c>
    </row>
    <row r="190" spans="1:28" x14ac:dyDescent="0.3">
      <c r="A190">
        <v>189</v>
      </c>
      <c r="B190" t="s">
        <v>843</v>
      </c>
      <c r="C190">
        <v>28100000</v>
      </c>
      <c r="D190">
        <v>15318895118</v>
      </c>
      <c r="E190" t="s">
        <v>977</v>
      </c>
      <c r="F190" t="s">
        <v>1110</v>
      </c>
      <c r="G190">
        <v>3</v>
      </c>
      <c r="H190" t="s">
        <v>987</v>
      </c>
      <c r="I190" t="s">
        <v>987</v>
      </c>
      <c r="J190" t="s">
        <v>1022</v>
      </c>
      <c r="K190">
        <v>4011030</v>
      </c>
      <c r="L190" t="s">
        <v>987</v>
      </c>
      <c r="M190">
        <v>4909</v>
      </c>
      <c r="N190">
        <v>31</v>
      </c>
      <c r="O190">
        <v>0.01</v>
      </c>
      <c r="P190">
        <v>0.12</v>
      </c>
      <c r="Q190">
        <v>0.09</v>
      </c>
      <c r="R190">
        <v>1</v>
      </c>
      <c r="S190">
        <v>1</v>
      </c>
      <c r="T190">
        <v>2005</v>
      </c>
      <c r="U190" t="s">
        <v>991</v>
      </c>
      <c r="V190">
        <v>23</v>
      </c>
      <c r="W190" t="s">
        <v>987</v>
      </c>
      <c r="X190" t="s">
        <v>987</v>
      </c>
      <c r="Y190" t="s">
        <v>987</v>
      </c>
      <c r="Z190" t="s">
        <v>987</v>
      </c>
      <c r="AA190" t="s">
        <v>987</v>
      </c>
      <c r="AB190" t="s">
        <v>987</v>
      </c>
    </row>
    <row r="191" spans="1:28" x14ac:dyDescent="0.3">
      <c r="A191">
        <v>190</v>
      </c>
      <c r="B191" t="s">
        <v>286</v>
      </c>
      <c r="C191">
        <v>28000000</v>
      </c>
      <c r="D191">
        <v>8603468420</v>
      </c>
      <c r="E191" t="s">
        <v>982</v>
      </c>
      <c r="F191" t="s">
        <v>286</v>
      </c>
      <c r="G191">
        <v>3878</v>
      </c>
      <c r="H191" t="s">
        <v>987</v>
      </c>
      <c r="I191" t="s">
        <v>987</v>
      </c>
      <c r="J191" t="s">
        <v>1022</v>
      </c>
      <c r="K191">
        <v>587</v>
      </c>
      <c r="L191" t="s">
        <v>987</v>
      </c>
      <c r="M191">
        <v>14</v>
      </c>
      <c r="N191">
        <v>129211000</v>
      </c>
      <c r="O191">
        <v>32300</v>
      </c>
      <c r="P191">
        <v>516800</v>
      </c>
      <c r="Q191">
        <v>387600</v>
      </c>
      <c r="R191">
        <v>6200000</v>
      </c>
      <c r="S191">
        <v>400000</v>
      </c>
      <c r="T191">
        <v>2016</v>
      </c>
      <c r="U191" t="s">
        <v>1029</v>
      </c>
      <c r="V191">
        <v>26</v>
      </c>
      <c r="W191" t="s">
        <v>987</v>
      </c>
      <c r="X191" t="s">
        <v>987</v>
      </c>
      <c r="Y191" t="s">
        <v>987</v>
      </c>
      <c r="Z191" t="s">
        <v>987</v>
      </c>
      <c r="AA191" t="s">
        <v>987</v>
      </c>
      <c r="AB191" t="s">
        <v>987</v>
      </c>
    </row>
    <row r="192" spans="1:28" x14ac:dyDescent="0.3">
      <c r="A192">
        <v>191</v>
      </c>
      <c r="B192" t="s">
        <v>895</v>
      </c>
      <c r="C192">
        <v>27800000</v>
      </c>
      <c r="D192">
        <v>2303069221</v>
      </c>
      <c r="E192" t="s">
        <v>994</v>
      </c>
      <c r="F192" t="s">
        <v>1111</v>
      </c>
      <c r="G192">
        <v>0</v>
      </c>
      <c r="H192" t="s">
        <v>1112</v>
      </c>
      <c r="I192" t="s">
        <v>1113</v>
      </c>
      <c r="J192" t="s">
        <v>987</v>
      </c>
      <c r="K192">
        <v>4057944</v>
      </c>
      <c r="L192">
        <v>3017</v>
      </c>
      <c r="M192" t="s">
        <v>987</v>
      </c>
      <c r="N192" t="s">
        <v>987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2008</v>
      </c>
      <c r="U192" t="s">
        <v>1003</v>
      </c>
      <c r="V192">
        <v>2</v>
      </c>
      <c r="W192">
        <v>84.8</v>
      </c>
      <c r="X192">
        <v>5703569</v>
      </c>
      <c r="Y192">
        <v>4.1100000000000003</v>
      </c>
      <c r="Z192">
        <v>5703569</v>
      </c>
      <c r="AA192">
        <v>1.3520829999999999</v>
      </c>
      <c r="AB192">
        <v>103.819836</v>
      </c>
    </row>
    <row r="193" spans="1:28" x14ac:dyDescent="0.3">
      <c r="A193">
        <v>192</v>
      </c>
      <c r="B193" t="s">
        <v>289</v>
      </c>
      <c r="C193">
        <v>27800000</v>
      </c>
      <c r="D193">
        <v>21037851468</v>
      </c>
      <c r="E193" t="s">
        <v>977</v>
      </c>
      <c r="F193" t="s">
        <v>289</v>
      </c>
      <c r="G193">
        <v>292</v>
      </c>
      <c r="H193" t="s">
        <v>1114</v>
      </c>
      <c r="I193" t="s">
        <v>1115</v>
      </c>
      <c r="J193" t="s">
        <v>977</v>
      </c>
      <c r="K193">
        <v>111</v>
      </c>
      <c r="L193">
        <v>1</v>
      </c>
      <c r="M193">
        <v>61</v>
      </c>
      <c r="N193">
        <v>127441000</v>
      </c>
      <c r="O193">
        <v>31900</v>
      </c>
      <c r="P193">
        <v>509800</v>
      </c>
      <c r="Q193">
        <v>382300</v>
      </c>
      <c r="R193">
        <v>6100000</v>
      </c>
      <c r="S193" t="s">
        <v>987</v>
      </c>
      <c r="T193">
        <v>2013</v>
      </c>
      <c r="U193" t="s">
        <v>1003</v>
      </c>
      <c r="V193">
        <v>1</v>
      </c>
      <c r="W193">
        <v>113.1</v>
      </c>
      <c r="X193">
        <v>25766605</v>
      </c>
      <c r="Y193">
        <v>5.27</v>
      </c>
      <c r="Z193">
        <v>21844756</v>
      </c>
      <c r="AA193">
        <v>-25.274398000000001</v>
      </c>
      <c r="AB193">
        <v>133.775136</v>
      </c>
    </row>
    <row r="194" spans="1:28" x14ac:dyDescent="0.3">
      <c r="A194">
        <v>193</v>
      </c>
      <c r="B194" t="s">
        <v>218</v>
      </c>
      <c r="C194">
        <v>27700000</v>
      </c>
      <c r="D194">
        <v>15777682516</v>
      </c>
      <c r="E194" t="s">
        <v>977</v>
      </c>
      <c r="F194" t="s">
        <v>218</v>
      </c>
      <c r="G194">
        <v>619</v>
      </c>
      <c r="H194" t="s">
        <v>1051</v>
      </c>
      <c r="I194" t="s">
        <v>1052</v>
      </c>
      <c r="J194" t="s">
        <v>977</v>
      </c>
      <c r="K194">
        <v>197</v>
      </c>
      <c r="L194">
        <v>4</v>
      </c>
      <c r="M194">
        <v>62</v>
      </c>
      <c r="N194">
        <v>173836000</v>
      </c>
      <c r="O194">
        <v>43500</v>
      </c>
      <c r="P194">
        <v>695300</v>
      </c>
      <c r="Q194">
        <v>521500</v>
      </c>
      <c r="R194">
        <v>8300000</v>
      </c>
      <c r="S194">
        <v>200000</v>
      </c>
      <c r="T194">
        <v>2009</v>
      </c>
      <c r="U194" t="s">
        <v>1015</v>
      </c>
      <c r="V194">
        <v>7</v>
      </c>
      <c r="W194">
        <v>55.3</v>
      </c>
      <c r="X194">
        <v>50339443</v>
      </c>
      <c r="Y194">
        <v>9.7100000000000009</v>
      </c>
      <c r="Z194">
        <v>40827302</v>
      </c>
      <c r="AA194">
        <v>4.5708679999999999</v>
      </c>
      <c r="AB194">
        <v>-74.297332999999995</v>
      </c>
    </row>
    <row r="195" spans="1:28" x14ac:dyDescent="0.3">
      <c r="A195">
        <v>194</v>
      </c>
      <c r="B195" t="s">
        <v>908</v>
      </c>
      <c r="C195">
        <v>27500000</v>
      </c>
      <c r="D195">
        <v>4552581106</v>
      </c>
      <c r="E195" t="s">
        <v>994</v>
      </c>
      <c r="F195" t="s">
        <v>1116</v>
      </c>
      <c r="G195">
        <v>27</v>
      </c>
      <c r="H195" t="s">
        <v>984</v>
      </c>
      <c r="I195" t="s">
        <v>985</v>
      </c>
      <c r="J195" t="s">
        <v>977</v>
      </c>
      <c r="K195">
        <v>2161873</v>
      </c>
      <c r="L195">
        <v>5889</v>
      </c>
      <c r="M195">
        <v>4311</v>
      </c>
      <c r="N195">
        <v>649</v>
      </c>
      <c r="O195">
        <v>0</v>
      </c>
      <c r="P195">
        <v>0</v>
      </c>
      <c r="Q195">
        <v>0</v>
      </c>
      <c r="R195">
        <v>0</v>
      </c>
      <c r="S195" t="s">
        <v>987</v>
      </c>
      <c r="T195">
        <v>2011</v>
      </c>
      <c r="U195" t="s">
        <v>1008</v>
      </c>
      <c r="V195">
        <v>23</v>
      </c>
      <c r="W195">
        <v>88.2</v>
      </c>
      <c r="X195">
        <v>328239523</v>
      </c>
      <c r="Y195">
        <v>14.7</v>
      </c>
      <c r="Z195">
        <v>270663028</v>
      </c>
      <c r="AA195">
        <v>37.090240000000001</v>
      </c>
      <c r="AB195">
        <v>-95.712890999999999</v>
      </c>
    </row>
    <row r="196" spans="1:28" x14ac:dyDescent="0.3">
      <c r="A196">
        <v>195</v>
      </c>
      <c r="B196" t="s">
        <v>372</v>
      </c>
      <c r="C196">
        <v>27500000</v>
      </c>
      <c r="D196">
        <v>13379395501</v>
      </c>
      <c r="E196" t="s">
        <v>977</v>
      </c>
      <c r="F196" t="s">
        <v>372</v>
      </c>
      <c r="G196">
        <v>682</v>
      </c>
      <c r="H196" t="s">
        <v>984</v>
      </c>
      <c r="I196" t="s">
        <v>985</v>
      </c>
      <c r="J196" t="s">
        <v>977</v>
      </c>
      <c r="K196">
        <v>275</v>
      </c>
      <c r="L196">
        <v>57</v>
      </c>
      <c r="M196">
        <v>63</v>
      </c>
      <c r="N196">
        <v>90450000</v>
      </c>
      <c r="O196">
        <v>22600</v>
      </c>
      <c r="P196">
        <v>361800</v>
      </c>
      <c r="Q196">
        <v>271300</v>
      </c>
      <c r="R196">
        <v>4300000</v>
      </c>
      <c r="S196">
        <v>100000</v>
      </c>
      <c r="T196">
        <v>2008</v>
      </c>
      <c r="U196" t="s">
        <v>995</v>
      </c>
      <c r="V196">
        <v>9</v>
      </c>
      <c r="W196">
        <v>88.2</v>
      </c>
      <c r="X196">
        <v>328239523</v>
      </c>
      <c r="Y196">
        <v>14.7</v>
      </c>
      <c r="Z196">
        <v>270663028</v>
      </c>
      <c r="AA196">
        <v>37.090240000000001</v>
      </c>
      <c r="AB196">
        <v>-95.712890999999999</v>
      </c>
    </row>
    <row r="197" spans="1:28" x14ac:dyDescent="0.3">
      <c r="A197">
        <v>196</v>
      </c>
      <c r="B197" t="s">
        <v>121</v>
      </c>
      <c r="C197">
        <v>27400000</v>
      </c>
      <c r="D197">
        <v>19883150017</v>
      </c>
      <c r="E197" t="s">
        <v>977</v>
      </c>
      <c r="F197" t="s">
        <v>121</v>
      </c>
      <c r="G197">
        <v>1753</v>
      </c>
      <c r="H197" t="s">
        <v>1006</v>
      </c>
      <c r="I197" t="s">
        <v>1007</v>
      </c>
      <c r="J197" t="s">
        <v>977</v>
      </c>
      <c r="K197">
        <v>124</v>
      </c>
      <c r="L197">
        <v>4</v>
      </c>
      <c r="M197">
        <v>64</v>
      </c>
      <c r="N197">
        <v>307631000</v>
      </c>
      <c r="O197">
        <v>76900</v>
      </c>
      <c r="P197">
        <v>1200000</v>
      </c>
      <c r="Q197">
        <v>922900</v>
      </c>
      <c r="R197">
        <v>14800000</v>
      </c>
      <c r="S197">
        <v>200000</v>
      </c>
      <c r="T197">
        <v>2008</v>
      </c>
      <c r="U197" t="s">
        <v>1003</v>
      </c>
      <c r="V197">
        <v>25</v>
      </c>
      <c r="W197">
        <v>94.3</v>
      </c>
      <c r="X197">
        <v>51709098</v>
      </c>
      <c r="Y197">
        <v>4.1500000000000004</v>
      </c>
      <c r="Z197">
        <v>42106719</v>
      </c>
      <c r="AA197">
        <v>35.907756999999997</v>
      </c>
      <c r="AB197">
        <v>127.76692199999999</v>
      </c>
    </row>
    <row r="198" spans="1:28" x14ac:dyDescent="0.3">
      <c r="A198">
        <v>197</v>
      </c>
      <c r="B198" t="s">
        <v>1117</v>
      </c>
      <c r="C198">
        <v>27400000</v>
      </c>
      <c r="D198">
        <v>10336420490</v>
      </c>
      <c r="E198" t="s">
        <v>994</v>
      </c>
      <c r="F198" t="s">
        <v>1117</v>
      </c>
      <c r="G198">
        <v>642</v>
      </c>
      <c r="H198" t="s">
        <v>984</v>
      </c>
      <c r="I198" t="s">
        <v>985</v>
      </c>
      <c r="J198" t="s">
        <v>988</v>
      </c>
      <c r="K198">
        <v>418</v>
      </c>
      <c r="L198">
        <v>58</v>
      </c>
      <c r="M198">
        <v>50</v>
      </c>
      <c r="N198">
        <v>175844000</v>
      </c>
      <c r="O198">
        <v>44000</v>
      </c>
      <c r="P198">
        <v>703400</v>
      </c>
      <c r="Q198">
        <v>527500</v>
      </c>
      <c r="R198">
        <v>8400000</v>
      </c>
      <c r="S198">
        <v>400000</v>
      </c>
      <c r="T198">
        <v>2015</v>
      </c>
      <c r="U198" t="s">
        <v>995</v>
      </c>
      <c r="V198">
        <v>12</v>
      </c>
      <c r="W198">
        <v>88.2</v>
      </c>
      <c r="X198">
        <v>328239523</v>
      </c>
      <c r="Y198">
        <v>14.7</v>
      </c>
      <c r="Z198">
        <v>270663028</v>
      </c>
      <c r="AA198">
        <v>37.090240000000001</v>
      </c>
      <c r="AB198">
        <v>-95.712890999999999</v>
      </c>
    </row>
    <row r="199" spans="1:28" x14ac:dyDescent="0.3">
      <c r="A199">
        <v>198</v>
      </c>
      <c r="B199" t="s">
        <v>406</v>
      </c>
      <c r="C199">
        <v>27400000</v>
      </c>
      <c r="D199">
        <v>19417887510</v>
      </c>
      <c r="E199" t="s">
        <v>996</v>
      </c>
      <c r="F199" t="s">
        <v>406</v>
      </c>
      <c r="G199">
        <v>3664</v>
      </c>
      <c r="H199" t="s">
        <v>1013</v>
      </c>
      <c r="I199" t="s">
        <v>1014</v>
      </c>
      <c r="J199" t="s">
        <v>986</v>
      </c>
      <c r="K199">
        <v>132</v>
      </c>
      <c r="L199">
        <v>7</v>
      </c>
      <c r="M199">
        <v>16</v>
      </c>
      <c r="N199">
        <v>78668000</v>
      </c>
      <c r="O199">
        <v>19700</v>
      </c>
      <c r="P199">
        <v>314700</v>
      </c>
      <c r="Q199">
        <v>236000</v>
      </c>
      <c r="R199">
        <v>3800000</v>
      </c>
      <c r="S199">
        <v>500000</v>
      </c>
      <c r="T199">
        <v>2012</v>
      </c>
      <c r="U199" t="s">
        <v>1015</v>
      </c>
      <c r="V199">
        <v>14</v>
      </c>
      <c r="W199">
        <v>60</v>
      </c>
      <c r="X199">
        <v>66834405</v>
      </c>
      <c r="Y199">
        <v>3.85</v>
      </c>
      <c r="Z199">
        <v>55908316</v>
      </c>
      <c r="AA199">
        <v>55.378050999999999</v>
      </c>
      <c r="AB199">
        <v>-3.4359730000000002</v>
      </c>
    </row>
    <row r="200" spans="1:28" x14ac:dyDescent="0.3">
      <c r="A200">
        <v>199</v>
      </c>
      <c r="B200" t="s">
        <v>540</v>
      </c>
      <c r="C200">
        <v>27300000</v>
      </c>
      <c r="D200">
        <v>22440611155</v>
      </c>
      <c r="E200" t="s">
        <v>982</v>
      </c>
      <c r="F200" t="s">
        <v>540</v>
      </c>
      <c r="G200">
        <v>5438</v>
      </c>
      <c r="H200" t="s">
        <v>984</v>
      </c>
      <c r="I200" t="s">
        <v>985</v>
      </c>
      <c r="J200" t="s">
        <v>988</v>
      </c>
      <c r="K200">
        <v>100</v>
      </c>
      <c r="L200">
        <v>59</v>
      </c>
      <c r="M200">
        <v>51</v>
      </c>
      <c r="N200">
        <v>42546000</v>
      </c>
      <c r="O200">
        <v>10600</v>
      </c>
      <c r="P200">
        <v>170200</v>
      </c>
      <c r="Q200">
        <v>127600</v>
      </c>
      <c r="R200">
        <v>2000000</v>
      </c>
      <c r="S200">
        <v>200000</v>
      </c>
      <c r="T200">
        <v>2012</v>
      </c>
      <c r="U200" t="s">
        <v>991</v>
      </c>
      <c r="V200">
        <v>27</v>
      </c>
      <c r="W200">
        <v>88.2</v>
      </c>
      <c r="X200">
        <v>328239523</v>
      </c>
      <c r="Y200">
        <v>14.7</v>
      </c>
      <c r="Z200">
        <v>270663028</v>
      </c>
      <c r="AA200">
        <v>37.090240000000001</v>
      </c>
      <c r="AB200">
        <v>-95.712890999999999</v>
      </c>
    </row>
    <row r="201" spans="1:28" x14ac:dyDescent="0.3">
      <c r="A201">
        <v>200</v>
      </c>
      <c r="B201" t="s">
        <v>340</v>
      </c>
      <c r="C201">
        <v>27300000</v>
      </c>
      <c r="D201">
        <v>7705492350</v>
      </c>
      <c r="E201" t="s">
        <v>988</v>
      </c>
      <c r="F201" t="s">
        <v>340</v>
      </c>
      <c r="G201">
        <v>1259</v>
      </c>
      <c r="H201" t="s">
        <v>978</v>
      </c>
      <c r="I201" t="s">
        <v>979</v>
      </c>
      <c r="J201" t="s">
        <v>1089</v>
      </c>
      <c r="K201">
        <v>707</v>
      </c>
      <c r="L201">
        <v>48</v>
      </c>
      <c r="M201">
        <v>2</v>
      </c>
      <c r="N201">
        <v>102235000</v>
      </c>
      <c r="O201">
        <v>25600</v>
      </c>
      <c r="P201">
        <v>408900</v>
      </c>
      <c r="Q201">
        <v>306700</v>
      </c>
      <c r="R201">
        <v>4900000</v>
      </c>
      <c r="S201">
        <v>100000</v>
      </c>
      <c r="T201">
        <v>2017</v>
      </c>
      <c r="U201" t="s">
        <v>991</v>
      </c>
      <c r="V201">
        <v>10</v>
      </c>
      <c r="W201">
        <v>28.1</v>
      </c>
      <c r="X201">
        <v>1366417754</v>
      </c>
      <c r="Y201">
        <v>5.36</v>
      </c>
      <c r="Z201">
        <v>471031528</v>
      </c>
      <c r="AA201">
        <v>20.593684</v>
      </c>
      <c r="AB201">
        <v>78.962879999999998</v>
      </c>
    </row>
    <row r="202" spans="1:28" x14ac:dyDescent="0.3">
      <c r="A202">
        <v>201</v>
      </c>
      <c r="B202" t="s">
        <v>847</v>
      </c>
      <c r="C202">
        <v>27100000</v>
      </c>
      <c r="D202">
        <v>15916882228</v>
      </c>
      <c r="E202" t="s">
        <v>988</v>
      </c>
      <c r="F202" t="s">
        <v>1118</v>
      </c>
      <c r="G202">
        <v>2</v>
      </c>
      <c r="H202" t="s">
        <v>987</v>
      </c>
      <c r="I202" t="s">
        <v>987</v>
      </c>
      <c r="J202" t="s">
        <v>1002</v>
      </c>
      <c r="K202">
        <v>4052296</v>
      </c>
      <c r="L202" t="s">
        <v>987</v>
      </c>
      <c r="M202">
        <v>7692</v>
      </c>
      <c r="N202">
        <v>14</v>
      </c>
      <c r="O202">
        <v>0</v>
      </c>
      <c r="P202">
        <v>0.06</v>
      </c>
      <c r="Q202">
        <v>0.04</v>
      </c>
      <c r="R202">
        <v>0.67</v>
      </c>
      <c r="S202" t="s">
        <v>987</v>
      </c>
      <c r="T202">
        <v>2017</v>
      </c>
      <c r="U202" t="s">
        <v>1008</v>
      </c>
      <c r="V202">
        <v>7</v>
      </c>
      <c r="W202" t="s">
        <v>987</v>
      </c>
      <c r="X202" t="s">
        <v>987</v>
      </c>
      <c r="Y202" t="s">
        <v>987</v>
      </c>
      <c r="Z202" t="s">
        <v>987</v>
      </c>
      <c r="AA202" t="s">
        <v>987</v>
      </c>
      <c r="AB202" t="s">
        <v>987</v>
      </c>
    </row>
    <row r="203" spans="1:28" x14ac:dyDescent="0.3">
      <c r="A203">
        <v>202</v>
      </c>
      <c r="B203" t="s">
        <v>74</v>
      </c>
      <c r="C203">
        <v>27100000</v>
      </c>
      <c r="D203">
        <v>17318452893</v>
      </c>
      <c r="E203" t="s">
        <v>988</v>
      </c>
      <c r="F203" t="s">
        <v>74</v>
      </c>
      <c r="G203">
        <v>889</v>
      </c>
      <c r="H203" t="s">
        <v>978</v>
      </c>
      <c r="I203" t="s">
        <v>979</v>
      </c>
      <c r="J203" t="s">
        <v>988</v>
      </c>
      <c r="K203">
        <v>159</v>
      </c>
      <c r="L203">
        <v>49</v>
      </c>
      <c r="M203">
        <v>52</v>
      </c>
      <c r="N203">
        <v>429692000</v>
      </c>
      <c r="O203">
        <v>107400</v>
      </c>
      <c r="P203">
        <v>1700000</v>
      </c>
      <c r="Q203">
        <v>1300000</v>
      </c>
      <c r="R203">
        <v>20600000</v>
      </c>
      <c r="S203">
        <v>700000</v>
      </c>
      <c r="T203">
        <v>2015</v>
      </c>
      <c r="U203" t="s">
        <v>991</v>
      </c>
      <c r="V203">
        <v>26</v>
      </c>
      <c r="W203">
        <v>28.1</v>
      </c>
      <c r="X203">
        <v>1366417754</v>
      </c>
      <c r="Y203">
        <v>5.36</v>
      </c>
      <c r="Z203">
        <v>471031528</v>
      </c>
      <c r="AA203">
        <v>20.593684</v>
      </c>
      <c r="AB203">
        <v>78.962879999999998</v>
      </c>
    </row>
    <row r="204" spans="1:28" x14ac:dyDescent="0.3">
      <c r="A204">
        <v>203</v>
      </c>
      <c r="B204" t="s">
        <v>58</v>
      </c>
      <c r="C204">
        <v>27100000</v>
      </c>
      <c r="D204">
        <v>12732444881</v>
      </c>
      <c r="E204" t="s">
        <v>1011</v>
      </c>
      <c r="F204" t="s">
        <v>58</v>
      </c>
      <c r="G204">
        <v>545</v>
      </c>
      <c r="H204" t="s">
        <v>987</v>
      </c>
      <c r="I204" t="s">
        <v>987</v>
      </c>
      <c r="J204" t="s">
        <v>1053</v>
      </c>
      <c r="K204">
        <v>296</v>
      </c>
      <c r="L204" t="s">
        <v>987</v>
      </c>
      <c r="M204">
        <v>5</v>
      </c>
      <c r="N204">
        <v>502779000</v>
      </c>
      <c r="O204">
        <v>125700</v>
      </c>
      <c r="P204">
        <v>2000000</v>
      </c>
      <c r="Q204">
        <v>1500000</v>
      </c>
      <c r="R204">
        <v>24100000</v>
      </c>
      <c r="S204">
        <v>1300000</v>
      </c>
      <c r="T204">
        <v>2018</v>
      </c>
      <c r="U204" t="s">
        <v>999</v>
      </c>
      <c r="V204">
        <v>9</v>
      </c>
      <c r="W204" t="s">
        <v>987</v>
      </c>
      <c r="X204" t="s">
        <v>987</v>
      </c>
      <c r="Y204" t="s">
        <v>987</v>
      </c>
      <c r="Z204" t="s">
        <v>987</v>
      </c>
      <c r="AA204" t="s">
        <v>987</v>
      </c>
      <c r="AB204" t="s">
        <v>987</v>
      </c>
    </row>
    <row r="205" spans="1:28" x14ac:dyDescent="0.3">
      <c r="A205">
        <v>204</v>
      </c>
      <c r="B205" t="s">
        <v>254</v>
      </c>
      <c r="C205">
        <v>27000000</v>
      </c>
      <c r="D205">
        <v>6570935979</v>
      </c>
      <c r="E205" t="s">
        <v>1044</v>
      </c>
      <c r="F205" t="s">
        <v>254</v>
      </c>
      <c r="G205">
        <v>554</v>
      </c>
      <c r="H205" t="s">
        <v>984</v>
      </c>
      <c r="I205" t="s">
        <v>985</v>
      </c>
      <c r="J205" t="s">
        <v>988</v>
      </c>
      <c r="K205">
        <v>909</v>
      </c>
      <c r="L205">
        <v>60</v>
      </c>
      <c r="M205">
        <v>53</v>
      </c>
      <c r="N205">
        <v>144453000</v>
      </c>
      <c r="O205">
        <v>36100</v>
      </c>
      <c r="P205">
        <v>577800</v>
      </c>
      <c r="Q205">
        <v>433400</v>
      </c>
      <c r="R205">
        <v>6900000</v>
      </c>
      <c r="S205">
        <v>300000</v>
      </c>
      <c r="T205">
        <v>2009</v>
      </c>
      <c r="U205" t="s">
        <v>1010</v>
      </c>
      <c r="V205">
        <v>1</v>
      </c>
      <c r="W205">
        <v>88.2</v>
      </c>
      <c r="X205">
        <v>328239523</v>
      </c>
      <c r="Y205">
        <v>14.7</v>
      </c>
      <c r="Z205">
        <v>270663028</v>
      </c>
      <c r="AA205">
        <v>37.090240000000001</v>
      </c>
      <c r="AB205">
        <v>-95.712890999999999</v>
      </c>
    </row>
    <row r="206" spans="1:28" x14ac:dyDescent="0.3">
      <c r="A206">
        <v>205</v>
      </c>
      <c r="B206" t="s">
        <v>393</v>
      </c>
      <c r="C206">
        <v>26900000</v>
      </c>
      <c r="D206">
        <v>7938616641</v>
      </c>
      <c r="E206" t="s">
        <v>988</v>
      </c>
      <c r="F206" t="s">
        <v>393</v>
      </c>
      <c r="G206">
        <v>3956</v>
      </c>
      <c r="H206" t="s">
        <v>1019</v>
      </c>
      <c r="I206" t="s">
        <v>1020</v>
      </c>
      <c r="J206" t="s">
        <v>988</v>
      </c>
      <c r="K206">
        <v>664</v>
      </c>
      <c r="L206">
        <v>11</v>
      </c>
      <c r="M206">
        <v>54</v>
      </c>
      <c r="N206">
        <v>82912000</v>
      </c>
      <c r="O206">
        <v>20700</v>
      </c>
      <c r="P206">
        <v>331600</v>
      </c>
      <c r="Q206">
        <v>248700</v>
      </c>
      <c r="R206">
        <v>4000000</v>
      </c>
      <c r="S206">
        <v>200000</v>
      </c>
      <c r="T206">
        <v>2011</v>
      </c>
      <c r="U206" t="s">
        <v>991</v>
      </c>
      <c r="V206">
        <v>29</v>
      </c>
      <c r="W206">
        <v>51.3</v>
      </c>
      <c r="X206">
        <v>212559417</v>
      </c>
      <c r="Y206">
        <v>12.08</v>
      </c>
      <c r="Z206">
        <v>183241641</v>
      </c>
      <c r="AA206">
        <v>-14.235004</v>
      </c>
      <c r="AB206">
        <v>-51.925280000000001</v>
      </c>
    </row>
    <row r="207" spans="1:28" x14ac:dyDescent="0.3">
      <c r="A207">
        <v>206</v>
      </c>
      <c r="B207" t="s">
        <v>131</v>
      </c>
      <c r="C207">
        <v>26700000</v>
      </c>
      <c r="D207">
        <v>4388047013</v>
      </c>
      <c r="E207" t="s">
        <v>994</v>
      </c>
      <c r="F207" t="s">
        <v>131</v>
      </c>
      <c r="G207">
        <v>241</v>
      </c>
      <c r="H207" t="s">
        <v>984</v>
      </c>
      <c r="I207" t="s">
        <v>985</v>
      </c>
      <c r="J207" t="s">
        <v>988</v>
      </c>
      <c r="K207">
        <v>1632</v>
      </c>
      <c r="L207">
        <v>61</v>
      </c>
      <c r="M207">
        <v>54</v>
      </c>
      <c r="N207">
        <v>276187000</v>
      </c>
      <c r="O207">
        <v>69000</v>
      </c>
      <c r="P207">
        <v>1100000</v>
      </c>
      <c r="Q207">
        <v>828600</v>
      </c>
      <c r="R207">
        <v>13300000</v>
      </c>
      <c r="S207">
        <v>1200000</v>
      </c>
      <c r="T207">
        <v>2016</v>
      </c>
      <c r="U207" t="s">
        <v>999</v>
      </c>
      <c r="V207">
        <v>24</v>
      </c>
      <c r="W207">
        <v>88.2</v>
      </c>
      <c r="X207">
        <v>328239523</v>
      </c>
      <c r="Y207">
        <v>14.7</v>
      </c>
      <c r="Z207">
        <v>270663028</v>
      </c>
      <c r="AA207">
        <v>37.090240000000001</v>
      </c>
      <c r="AB207">
        <v>-95.712890999999999</v>
      </c>
    </row>
    <row r="208" spans="1:28" x14ac:dyDescent="0.3">
      <c r="A208">
        <v>207</v>
      </c>
      <c r="B208" t="s">
        <v>641</v>
      </c>
      <c r="C208">
        <v>26700000</v>
      </c>
      <c r="D208">
        <v>10317306313</v>
      </c>
      <c r="E208" t="s">
        <v>1044</v>
      </c>
      <c r="F208" t="s">
        <v>641</v>
      </c>
      <c r="G208">
        <v>975</v>
      </c>
      <c r="H208" t="s">
        <v>1051</v>
      </c>
      <c r="I208" t="s">
        <v>1052</v>
      </c>
      <c r="J208" t="s">
        <v>1044</v>
      </c>
      <c r="K208">
        <v>420</v>
      </c>
      <c r="L208">
        <v>5</v>
      </c>
      <c r="M208">
        <v>11</v>
      </c>
      <c r="N208">
        <v>24363000</v>
      </c>
      <c r="O208">
        <v>6100</v>
      </c>
      <c r="P208">
        <v>97500</v>
      </c>
      <c r="Q208">
        <v>73100</v>
      </c>
      <c r="R208">
        <v>1200000</v>
      </c>
      <c r="S208" t="s">
        <v>987</v>
      </c>
      <c r="T208">
        <v>2011</v>
      </c>
      <c r="U208" t="s">
        <v>1029</v>
      </c>
      <c r="V208">
        <v>13</v>
      </c>
      <c r="W208">
        <v>55.3</v>
      </c>
      <c r="X208">
        <v>50339443</v>
      </c>
      <c r="Y208">
        <v>9.7100000000000009</v>
      </c>
      <c r="Z208">
        <v>40827302</v>
      </c>
      <c r="AA208">
        <v>4.5708679999999999</v>
      </c>
      <c r="AB208">
        <v>-74.297332999999995</v>
      </c>
    </row>
    <row r="209" spans="1:28" x14ac:dyDescent="0.3">
      <c r="A209">
        <v>208</v>
      </c>
      <c r="B209" t="s">
        <v>298</v>
      </c>
      <c r="C209">
        <v>26700000</v>
      </c>
      <c r="D209">
        <v>7173668905</v>
      </c>
      <c r="E209" t="s">
        <v>988</v>
      </c>
      <c r="F209" t="s">
        <v>298</v>
      </c>
      <c r="G209">
        <v>6471</v>
      </c>
      <c r="H209" t="s">
        <v>984</v>
      </c>
      <c r="I209" t="s">
        <v>985</v>
      </c>
      <c r="J209" t="s">
        <v>988</v>
      </c>
      <c r="K209">
        <v>797</v>
      </c>
      <c r="L209">
        <v>62</v>
      </c>
      <c r="M209">
        <v>55</v>
      </c>
      <c r="N209">
        <v>118226000</v>
      </c>
      <c r="O209">
        <v>29600</v>
      </c>
      <c r="P209">
        <v>472900</v>
      </c>
      <c r="Q209">
        <v>354700</v>
      </c>
      <c r="R209">
        <v>5700000</v>
      </c>
      <c r="S209">
        <v>200000</v>
      </c>
      <c r="T209">
        <v>2012</v>
      </c>
      <c r="U209" t="s">
        <v>1015</v>
      </c>
      <c r="V209">
        <v>17</v>
      </c>
      <c r="W209">
        <v>88.2</v>
      </c>
      <c r="X209">
        <v>328239523</v>
      </c>
      <c r="Y209">
        <v>14.7</v>
      </c>
      <c r="Z209">
        <v>270663028</v>
      </c>
      <c r="AA209">
        <v>37.090240000000001</v>
      </c>
      <c r="AB209">
        <v>-95.712890999999999</v>
      </c>
    </row>
    <row r="210" spans="1:28" x14ac:dyDescent="0.3">
      <c r="A210">
        <v>209</v>
      </c>
      <c r="B210" t="s">
        <v>230</v>
      </c>
      <c r="C210">
        <v>26500000</v>
      </c>
      <c r="D210">
        <v>15065753455</v>
      </c>
      <c r="E210" t="s">
        <v>1026</v>
      </c>
      <c r="F210" t="s">
        <v>230</v>
      </c>
      <c r="G210">
        <v>10022</v>
      </c>
      <c r="H210" t="s">
        <v>1045</v>
      </c>
      <c r="I210" t="s">
        <v>1046</v>
      </c>
      <c r="J210" t="s">
        <v>1027</v>
      </c>
      <c r="K210">
        <v>219</v>
      </c>
      <c r="L210">
        <v>3</v>
      </c>
      <c r="M210">
        <v>5</v>
      </c>
      <c r="N210">
        <v>163130000</v>
      </c>
      <c r="O210">
        <v>40800</v>
      </c>
      <c r="P210">
        <v>652500</v>
      </c>
      <c r="Q210">
        <v>489400</v>
      </c>
      <c r="R210">
        <v>7800000</v>
      </c>
      <c r="S210">
        <v>300000</v>
      </c>
      <c r="T210">
        <v>2016</v>
      </c>
      <c r="U210" t="s">
        <v>999</v>
      </c>
      <c r="V210">
        <v>20</v>
      </c>
      <c r="W210">
        <v>35.5</v>
      </c>
      <c r="X210">
        <v>108116615</v>
      </c>
      <c r="Y210">
        <v>2.15</v>
      </c>
      <c r="Z210">
        <v>50975903</v>
      </c>
      <c r="AA210">
        <v>12.879721</v>
      </c>
      <c r="AB210">
        <v>121.774017</v>
      </c>
    </row>
    <row r="211" spans="1:28" x14ac:dyDescent="0.3">
      <c r="A211">
        <v>210</v>
      </c>
      <c r="B211" t="s">
        <v>370</v>
      </c>
      <c r="C211">
        <v>26500000</v>
      </c>
      <c r="D211">
        <v>20358117330</v>
      </c>
      <c r="E211" t="s">
        <v>977</v>
      </c>
      <c r="F211" t="s">
        <v>370</v>
      </c>
      <c r="G211">
        <v>6873</v>
      </c>
      <c r="H211" t="s">
        <v>984</v>
      </c>
      <c r="I211" t="s">
        <v>985</v>
      </c>
      <c r="J211" t="s">
        <v>977</v>
      </c>
      <c r="K211">
        <v>117</v>
      </c>
      <c r="L211">
        <v>63</v>
      </c>
      <c r="M211">
        <v>65</v>
      </c>
      <c r="N211">
        <v>89098000</v>
      </c>
      <c r="O211">
        <v>22300</v>
      </c>
      <c r="P211">
        <v>356400</v>
      </c>
      <c r="Q211">
        <v>267300</v>
      </c>
      <c r="R211">
        <v>4300000</v>
      </c>
      <c r="S211" t="s">
        <v>987</v>
      </c>
      <c r="T211">
        <v>2008</v>
      </c>
      <c r="U211" t="s">
        <v>1029</v>
      </c>
      <c r="V211">
        <v>8</v>
      </c>
      <c r="W211">
        <v>88.2</v>
      </c>
      <c r="X211">
        <v>328239523</v>
      </c>
      <c r="Y211">
        <v>14.7</v>
      </c>
      <c r="Z211">
        <v>270663028</v>
      </c>
      <c r="AA211">
        <v>37.090240000000001</v>
      </c>
      <c r="AB211">
        <v>-95.712890999999999</v>
      </c>
    </row>
    <row r="212" spans="1:28" x14ac:dyDescent="0.3">
      <c r="A212">
        <v>211</v>
      </c>
      <c r="B212" t="s">
        <v>344</v>
      </c>
      <c r="C212">
        <v>26400000</v>
      </c>
      <c r="D212">
        <v>8595760553</v>
      </c>
      <c r="E212" t="s">
        <v>982</v>
      </c>
      <c r="F212" t="s">
        <v>344</v>
      </c>
      <c r="G212">
        <v>3622</v>
      </c>
      <c r="H212" t="s">
        <v>978</v>
      </c>
      <c r="I212" t="s">
        <v>979</v>
      </c>
      <c r="J212" t="s">
        <v>1022</v>
      </c>
      <c r="K212">
        <v>588</v>
      </c>
      <c r="L212">
        <v>50</v>
      </c>
      <c r="M212">
        <v>15</v>
      </c>
      <c r="N212">
        <v>99677000</v>
      </c>
      <c r="O212">
        <v>24900</v>
      </c>
      <c r="P212">
        <v>398700</v>
      </c>
      <c r="Q212">
        <v>299000</v>
      </c>
      <c r="R212">
        <v>4800000</v>
      </c>
      <c r="S212">
        <v>400000</v>
      </c>
      <c r="T212">
        <v>2015</v>
      </c>
      <c r="U212" t="s">
        <v>1015</v>
      </c>
      <c r="V212">
        <v>22</v>
      </c>
      <c r="W212">
        <v>28.1</v>
      </c>
      <c r="X212">
        <v>1366417754</v>
      </c>
      <c r="Y212">
        <v>5.36</v>
      </c>
      <c r="Z212">
        <v>471031528</v>
      </c>
      <c r="AA212">
        <v>20.593684</v>
      </c>
      <c r="AB212">
        <v>78.962879999999998</v>
      </c>
    </row>
    <row r="213" spans="1:28" x14ac:dyDescent="0.3">
      <c r="A213">
        <v>212</v>
      </c>
      <c r="B213" t="s">
        <v>22</v>
      </c>
      <c r="C213">
        <v>26400000</v>
      </c>
      <c r="D213">
        <v>27006526665</v>
      </c>
      <c r="E213" t="s">
        <v>1044</v>
      </c>
      <c r="F213" t="s">
        <v>22</v>
      </c>
      <c r="G213">
        <v>865</v>
      </c>
      <c r="H213" t="s">
        <v>984</v>
      </c>
      <c r="I213" t="s">
        <v>985</v>
      </c>
      <c r="J213" t="s">
        <v>1044</v>
      </c>
      <c r="K213">
        <v>61</v>
      </c>
      <c r="L213">
        <v>63</v>
      </c>
      <c r="M213">
        <v>12</v>
      </c>
      <c r="N213">
        <v>1046000000</v>
      </c>
      <c r="O213">
        <v>261500</v>
      </c>
      <c r="P213">
        <v>4200000</v>
      </c>
      <c r="Q213">
        <v>3100000</v>
      </c>
      <c r="R213">
        <v>50200000</v>
      </c>
      <c r="S213">
        <v>1300000</v>
      </c>
      <c r="T213">
        <v>2020</v>
      </c>
      <c r="U213" t="s">
        <v>989</v>
      </c>
      <c r="V213">
        <v>3</v>
      </c>
      <c r="W213">
        <v>88.2</v>
      </c>
      <c r="X213">
        <v>328239523</v>
      </c>
      <c r="Y213">
        <v>14.7</v>
      </c>
      <c r="Z213">
        <v>270663028</v>
      </c>
      <c r="AA213">
        <v>37.090240000000001</v>
      </c>
      <c r="AB213">
        <v>-95.712890999999999</v>
      </c>
    </row>
    <row r="214" spans="1:28" x14ac:dyDescent="0.3">
      <c r="A214">
        <v>213</v>
      </c>
      <c r="B214" t="s">
        <v>16</v>
      </c>
      <c r="C214">
        <v>26400000</v>
      </c>
      <c r="D214">
        <v>17211600007</v>
      </c>
      <c r="E214" t="s">
        <v>988</v>
      </c>
      <c r="F214" t="s">
        <v>16</v>
      </c>
      <c r="G214">
        <v>967</v>
      </c>
      <c r="H214" t="s">
        <v>1119</v>
      </c>
      <c r="I214" t="s">
        <v>1120</v>
      </c>
      <c r="J214" t="s">
        <v>988</v>
      </c>
      <c r="K214">
        <v>158</v>
      </c>
      <c r="L214">
        <v>1</v>
      </c>
      <c r="M214">
        <v>55</v>
      </c>
      <c r="N214">
        <v>1225000000</v>
      </c>
      <c r="O214">
        <v>306400</v>
      </c>
      <c r="P214">
        <v>4900000</v>
      </c>
      <c r="Q214">
        <v>3700000</v>
      </c>
      <c r="R214">
        <v>58800000</v>
      </c>
      <c r="S214">
        <v>2000000</v>
      </c>
      <c r="T214">
        <v>2020</v>
      </c>
      <c r="U214" t="s">
        <v>1005</v>
      </c>
      <c r="V214">
        <v>5</v>
      </c>
      <c r="W214">
        <v>61.9</v>
      </c>
      <c r="X214">
        <v>60297396</v>
      </c>
      <c r="Y214">
        <v>9.89</v>
      </c>
      <c r="Z214">
        <v>42651966</v>
      </c>
      <c r="AA214">
        <v>41.871940000000002</v>
      </c>
      <c r="AB214">
        <v>12.56738</v>
      </c>
    </row>
    <row r="215" spans="1:28" x14ac:dyDescent="0.3">
      <c r="A215">
        <v>214</v>
      </c>
      <c r="B215" t="s">
        <v>674</v>
      </c>
      <c r="C215">
        <v>26300000</v>
      </c>
      <c r="D215">
        <v>4749833967</v>
      </c>
      <c r="E215" t="s">
        <v>988</v>
      </c>
      <c r="F215" t="s">
        <v>674</v>
      </c>
      <c r="G215">
        <v>190</v>
      </c>
      <c r="H215" t="s">
        <v>978</v>
      </c>
      <c r="I215" t="s">
        <v>979</v>
      </c>
      <c r="J215" t="s">
        <v>988</v>
      </c>
      <c r="K215">
        <v>1462</v>
      </c>
      <c r="L215">
        <v>51</v>
      </c>
      <c r="M215">
        <v>57</v>
      </c>
      <c r="N215">
        <v>17264000</v>
      </c>
      <c r="O215">
        <v>4300</v>
      </c>
      <c r="P215">
        <v>69100</v>
      </c>
      <c r="Q215">
        <v>51800</v>
      </c>
      <c r="R215">
        <v>828600</v>
      </c>
      <c r="S215" t="s">
        <v>987</v>
      </c>
      <c r="T215">
        <v>2015</v>
      </c>
      <c r="U215" t="s">
        <v>1008</v>
      </c>
      <c r="V215">
        <v>20</v>
      </c>
      <c r="W215">
        <v>28.1</v>
      </c>
      <c r="X215">
        <v>1366417754</v>
      </c>
      <c r="Y215">
        <v>5.36</v>
      </c>
      <c r="Z215">
        <v>471031528</v>
      </c>
      <c r="AA215">
        <v>20.593684</v>
      </c>
      <c r="AB215">
        <v>78.962879999999998</v>
      </c>
    </row>
    <row r="216" spans="1:28" x14ac:dyDescent="0.3">
      <c r="A216">
        <v>215</v>
      </c>
      <c r="B216" t="s">
        <v>62</v>
      </c>
      <c r="C216">
        <v>26200000</v>
      </c>
      <c r="D216">
        <v>31977463002</v>
      </c>
      <c r="E216" t="s">
        <v>987</v>
      </c>
      <c r="F216" t="s">
        <v>62</v>
      </c>
      <c r="G216">
        <v>775</v>
      </c>
      <c r="H216" t="s">
        <v>984</v>
      </c>
      <c r="I216" t="s">
        <v>985</v>
      </c>
      <c r="J216" t="s">
        <v>988</v>
      </c>
      <c r="K216">
        <v>33</v>
      </c>
      <c r="L216">
        <v>64</v>
      </c>
      <c r="M216">
        <v>58</v>
      </c>
      <c r="N216">
        <v>487076000</v>
      </c>
      <c r="O216">
        <v>121800</v>
      </c>
      <c r="P216">
        <v>1900000</v>
      </c>
      <c r="Q216">
        <v>1500000</v>
      </c>
      <c r="R216">
        <v>23400000</v>
      </c>
      <c r="S216">
        <v>200000</v>
      </c>
      <c r="T216">
        <v>2019</v>
      </c>
      <c r="U216" t="s">
        <v>1015</v>
      </c>
      <c r="V216">
        <v>27</v>
      </c>
      <c r="W216">
        <v>88.2</v>
      </c>
      <c r="X216">
        <v>328239523</v>
      </c>
      <c r="Y216">
        <v>14.7</v>
      </c>
      <c r="Z216">
        <v>270663028</v>
      </c>
      <c r="AA216">
        <v>37.090240000000001</v>
      </c>
      <c r="AB216">
        <v>-95.712890999999999</v>
      </c>
    </row>
    <row r="217" spans="1:28" x14ac:dyDescent="0.3">
      <c r="A217">
        <v>216</v>
      </c>
      <c r="B217" t="s">
        <v>36</v>
      </c>
      <c r="C217">
        <v>26200000</v>
      </c>
      <c r="D217">
        <v>16097531087</v>
      </c>
      <c r="E217" t="s">
        <v>988</v>
      </c>
      <c r="F217" t="s">
        <v>36</v>
      </c>
      <c r="G217">
        <v>5985</v>
      </c>
      <c r="H217" t="s">
        <v>997</v>
      </c>
      <c r="I217" t="s">
        <v>998</v>
      </c>
      <c r="J217" t="s">
        <v>988</v>
      </c>
      <c r="K217">
        <v>184</v>
      </c>
      <c r="L217">
        <v>2</v>
      </c>
      <c r="M217">
        <v>56</v>
      </c>
      <c r="N217">
        <v>721848000</v>
      </c>
      <c r="O217">
        <v>180500</v>
      </c>
      <c r="P217">
        <v>2900000</v>
      </c>
      <c r="Q217">
        <v>2200000</v>
      </c>
      <c r="R217">
        <v>34600000</v>
      </c>
      <c r="S217">
        <v>1100000</v>
      </c>
      <c r="T217">
        <v>2020</v>
      </c>
      <c r="U217" t="s">
        <v>991</v>
      </c>
      <c r="V217">
        <v>14</v>
      </c>
      <c r="W217">
        <v>63.2</v>
      </c>
      <c r="X217">
        <v>126226568</v>
      </c>
      <c r="Y217">
        <v>2.29</v>
      </c>
      <c r="Z217">
        <v>115782416</v>
      </c>
      <c r="AA217">
        <v>36.204824000000002</v>
      </c>
      <c r="AB217">
        <v>138.25292400000001</v>
      </c>
    </row>
    <row r="218" spans="1:28" x14ac:dyDescent="0.3">
      <c r="A218">
        <v>217</v>
      </c>
      <c r="B218" t="s">
        <v>427</v>
      </c>
      <c r="C218">
        <v>26100000</v>
      </c>
      <c r="D218">
        <v>10435474336</v>
      </c>
      <c r="E218" t="s">
        <v>1044</v>
      </c>
      <c r="F218" t="s">
        <v>427</v>
      </c>
      <c r="G218">
        <v>1619</v>
      </c>
      <c r="H218" t="s">
        <v>984</v>
      </c>
      <c r="I218" t="s">
        <v>985</v>
      </c>
      <c r="J218" t="s">
        <v>1044</v>
      </c>
      <c r="K218">
        <v>410</v>
      </c>
      <c r="L218">
        <v>65</v>
      </c>
      <c r="M218">
        <v>13</v>
      </c>
      <c r="N218">
        <v>68156000</v>
      </c>
      <c r="O218">
        <v>17000</v>
      </c>
      <c r="P218">
        <v>272600</v>
      </c>
      <c r="Q218">
        <v>204500</v>
      </c>
      <c r="R218">
        <v>3300000</v>
      </c>
      <c r="S218">
        <v>400000</v>
      </c>
      <c r="T218">
        <v>2005</v>
      </c>
      <c r="U218" t="s">
        <v>1029</v>
      </c>
      <c r="V218">
        <v>19</v>
      </c>
      <c r="W218">
        <v>88.2</v>
      </c>
      <c r="X218">
        <v>328239523</v>
      </c>
      <c r="Y218">
        <v>14.7</v>
      </c>
      <c r="Z218">
        <v>270663028</v>
      </c>
      <c r="AA218">
        <v>37.090240000000001</v>
      </c>
      <c r="AB218">
        <v>-95.712890999999999</v>
      </c>
    </row>
    <row r="219" spans="1:28" x14ac:dyDescent="0.3">
      <c r="A219">
        <v>218</v>
      </c>
      <c r="B219" t="s">
        <v>940</v>
      </c>
      <c r="C219">
        <v>26100000</v>
      </c>
      <c r="D219">
        <v>7886440199</v>
      </c>
      <c r="E219" t="s">
        <v>988</v>
      </c>
      <c r="F219" t="s">
        <v>940</v>
      </c>
      <c r="G219">
        <v>0</v>
      </c>
      <c r="H219" t="s">
        <v>1071</v>
      </c>
      <c r="I219" t="s">
        <v>1072</v>
      </c>
      <c r="J219" t="s">
        <v>977</v>
      </c>
      <c r="K219">
        <v>4057944</v>
      </c>
      <c r="L219">
        <v>3695</v>
      </c>
      <c r="M219">
        <v>5641</v>
      </c>
      <c r="N219" t="s">
        <v>987</v>
      </c>
      <c r="O219">
        <v>0</v>
      </c>
      <c r="P219">
        <v>0</v>
      </c>
      <c r="Q219">
        <v>0</v>
      </c>
      <c r="R219">
        <v>0</v>
      </c>
      <c r="S219" t="s">
        <v>987</v>
      </c>
      <c r="T219">
        <v>2019</v>
      </c>
      <c r="U219" t="s">
        <v>1015</v>
      </c>
      <c r="V219">
        <v>13</v>
      </c>
      <c r="W219">
        <v>68</v>
      </c>
      <c r="X219">
        <v>34268528</v>
      </c>
      <c r="Y219">
        <v>5.93</v>
      </c>
      <c r="Z219">
        <v>28807838</v>
      </c>
      <c r="AA219">
        <v>23.885942</v>
      </c>
      <c r="AB219">
        <v>45.079161999999997</v>
      </c>
    </row>
    <row r="220" spans="1:28" x14ac:dyDescent="0.3">
      <c r="A220">
        <v>219</v>
      </c>
      <c r="B220" t="s">
        <v>46</v>
      </c>
      <c r="C220">
        <v>26000000</v>
      </c>
      <c r="D220">
        <v>14101010609</v>
      </c>
      <c r="E220" t="s">
        <v>994</v>
      </c>
      <c r="F220" t="s">
        <v>46</v>
      </c>
      <c r="G220">
        <v>868</v>
      </c>
      <c r="H220" t="s">
        <v>987</v>
      </c>
      <c r="I220" t="s">
        <v>987</v>
      </c>
      <c r="J220" t="s">
        <v>1002</v>
      </c>
      <c r="K220">
        <v>249</v>
      </c>
      <c r="L220" t="s">
        <v>987</v>
      </c>
      <c r="M220">
        <v>6</v>
      </c>
      <c r="N220">
        <v>606362000</v>
      </c>
      <c r="O220">
        <v>151600</v>
      </c>
      <c r="P220">
        <v>2400000</v>
      </c>
      <c r="Q220">
        <v>1800000</v>
      </c>
      <c r="R220">
        <v>29100000</v>
      </c>
      <c r="S220">
        <v>1100000</v>
      </c>
      <c r="T220">
        <v>2018</v>
      </c>
      <c r="U220" t="s">
        <v>991</v>
      </c>
      <c r="V220">
        <v>25</v>
      </c>
      <c r="W220" t="s">
        <v>987</v>
      </c>
      <c r="X220" t="s">
        <v>987</v>
      </c>
      <c r="Y220" t="s">
        <v>987</v>
      </c>
      <c r="Z220" t="s">
        <v>987</v>
      </c>
      <c r="AA220" t="s">
        <v>987</v>
      </c>
      <c r="AB220" t="s">
        <v>987</v>
      </c>
    </row>
    <row r="221" spans="1:28" x14ac:dyDescent="0.3">
      <c r="A221">
        <v>220</v>
      </c>
      <c r="B221" t="s">
        <v>469</v>
      </c>
      <c r="C221">
        <v>26000000</v>
      </c>
      <c r="D221">
        <v>17308961985</v>
      </c>
      <c r="E221" t="s">
        <v>977</v>
      </c>
      <c r="F221" t="s">
        <v>469</v>
      </c>
      <c r="G221">
        <v>240</v>
      </c>
      <c r="H221" t="s">
        <v>984</v>
      </c>
      <c r="I221" t="s">
        <v>985</v>
      </c>
      <c r="J221" t="s">
        <v>977</v>
      </c>
      <c r="K221">
        <v>163</v>
      </c>
      <c r="L221">
        <v>66</v>
      </c>
      <c r="M221">
        <v>66</v>
      </c>
      <c r="N221">
        <v>55454000</v>
      </c>
      <c r="O221">
        <v>13900</v>
      </c>
      <c r="P221">
        <v>221800</v>
      </c>
      <c r="Q221">
        <v>166400</v>
      </c>
      <c r="R221">
        <v>2700000</v>
      </c>
      <c r="S221" t="s">
        <v>987</v>
      </c>
      <c r="T221">
        <v>2005</v>
      </c>
      <c r="U221" t="s">
        <v>1029</v>
      </c>
      <c r="V221">
        <v>7</v>
      </c>
      <c r="W221">
        <v>88.2</v>
      </c>
      <c r="X221">
        <v>328239523</v>
      </c>
      <c r="Y221">
        <v>14.7</v>
      </c>
      <c r="Z221">
        <v>270663028</v>
      </c>
      <c r="AA221">
        <v>37.090240000000001</v>
      </c>
      <c r="AB221">
        <v>-95.712890999999999</v>
      </c>
    </row>
    <row r="222" spans="1:28" x14ac:dyDescent="0.3">
      <c r="A222">
        <v>221</v>
      </c>
      <c r="B222" t="s">
        <v>862</v>
      </c>
      <c r="C222">
        <v>26000000</v>
      </c>
      <c r="D222">
        <v>18597534412</v>
      </c>
      <c r="E222" t="s">
        <v>977</v>
      </c>
      <c r="F222" t="s">
        <v>1121</v>
      </c>
      <c r="G222">
        <v>1</v>
      </c>
      <c r="H222" t="s">
        <v>987</v>
      </c>
      <c r="I222" t="s">
        <v>987</v>
      </c>
      <c r="J222" t="s">
        <v>977</v>
      </c>
      <c r="K222">
        <v>4057142</v>
      </c>
      <c r="L222" t="s">
        <v>987</v>
      </c>
      <c r="M222">
        <v>4914</v>
      </c>
      <c r="N222">
        <v>3</v>
      </c>
      <c r="O222">
        <v>0</v>
      </c>
      <c r="P222">
        <v>0.01</v>
      </c>
      <c r="Q222">
        <v>0.01</v>
      </c>
      <c r="R222">
        <v>0.14000000000000001</v>
      </c>
      <c r="S222">
        <v>3</v>
      </c>
      <c r="T222">
        <v>2008</v>
      </c>
      <c r="U222" t="s">
        <v>1008</v>
      </c>
      <c r="V222">
        <v>14</v>
      </c>
      <c r="W222" t="s">
        <v>987</v>
      </c>
      <c r="X222" t="s">
        <v>987</v>
      </c>
      <c r="Y222" t="s">
        <v>987</v>
      </c>
      <c r="Z222" t="s">
        <v>987</v>
      </c>
      <c r="AA222" t="s">
        <v>987</v>
      </c>
      <c r="AB222" t="s">
        <v>987</v>
      </c>
    </row>
    <row r="223" spans="1:28" x14ac:dyDescent="0.3">
      <c r="A223">
        <v>222</v>
      </c>
      <c r="B223" t="s">
        <v>167</v>
      </c>
      <c r="C223">
        <v>25900000</v>
      </c>
      <c r="D223">
        <v>11372071889</v>
      </c>
      <c r="E223" t="s">
        <v>977</v>
      </c>
      <c r="F223" t="s">
        <v>167</v>
      </c>
      <c r="G223">
        <v>65286</v>
      </c>
      <c r="H223" t="s">
        <v>1081</v>
      </c>
      <c r="I223" t="s">
        <v>1082</v>
      </c>
      <c r="J223" t="s">
        <v>988</v>
      </c>
      <c r="K223">
        <v>358</v>
      </c>
      <c r="L223">
        <v>5</v>
      </c>
      <c r="M223">
        <v>60</v>
      </c>
      <c r="N223">
        <v>230183000</v>
      </c>
      <c r="O223">
        <v>57500</v>
      </c>
      <c r="P223">
        <v>920700</v>
      </c>
      <c r="Q223">
        <v>690500</v>
      </c>
      <c r="R223">
        <v>11000000</v>
      </c>
      <c r="S223">
        <v>600000</v>
      </c>
      <c r="T223">
        <v>2013</v>
      </c>
      <c r="U223" t="s">
        <v>991</v>
      </c>
      <c r="V223">
        <v>23</v>
      </c>
      <c r="W223">
        <v>36.299999999999997</v>
      </c>
      <c r="X223">
        <v>270203917</v>
      </c>
      <c r="Y223">
        <v>4.6900000000000004</v>
      </c>
      <c r="Z223">
        <v>151509724</v>
      </c>
      <c r="AA223">
        <v>-0.78927499999999995</v>
      </c>
      <c r="AB223">
        <v>113.92132700000001</v>
      </c>
    </row>
    <row r="224" spans="1:28" x14ac:dyDescent="0.3">
      <c r="A224">
        <v>223</v>
      </c>
      <c r="B224" t="s">
        <v>471</v>
      </c>
      <c r="C224">
        <v>25800000</v>
      </c>
      <c r="D224">
        <v>15541421838</v>
      </c>
      <c r="E224" t="s">
        <v>996</v>
      </c>
      <c r="F224" t="s">
        <v>471</v>
      </c>
      <c r="G224">
        <v>1762</v>
      </c>
      <c r="H224" t="s">
        <v>1017</v>
      </c>
      <c r="I224" t="s">
        <v>1018</v>
      </c>
      <c r="J224" t="s">
        <v>986</v>
      </c>
      <c r="K224">
        <v>206</v>
      </c>
      <c r="L224">
        <v>5</v>
      </c>
      <c r="M224">
        <v>17</v>
      </c>
      <c r="N224">
        <v>54947000</v>
      </c>
      <c r="O224">
        <v>13700</v>
      </c>
      <c r="P224">
        <v>219800</v>
      </c>
      <c r="Q224">
        <v>164800</v>
      </c>
      <c r="R224">
        <v>2600000</v>
      </c>
      <c r="S224" t="s">
        <v>987</v>
      </c>
      <c r="T224">
        <v>2011</v>
      </c>
      <c r="U224" t="s">
        <v>991</v>
      </c>
      <c r="V224">
        <v>15</v>
      </c>
      <c r="W224">
        <v>68.900000000000006</v>
      </c>
      <c r="X224">
        <v>36991981</v>
      </c>
      <c r="Y224">
        <v>5.56</v>
      </c>
      <c r="Z224">
        <v>30628482</v>
      </c>
      <c r="AA224">
        <v>56.130366000000002</v>
      </c>
      <c r="AB224">
        <v>-106.346771</v>
      </c>
    </row>
    <row r="225" spans="1:28" x14ac:dyDescent="0.3">
      <c r="A225">
        <v>224</v>
      </c>
      <c r="B225" t="s">
        <v>229</v>
      </c>
      <c r="C225">
        <v>25700000</v>
      </c>
      <c r="D225">
        <v>17793809548</v>
      </c>
      <c r="E225" t="s">
        <v>977</v>
      </c>
      <c r="F225" t="s">
        <v>229</v>
      </c>
      <c r="G225">
        <v>749</v>
      </c>
      <c r="H225" t="s">
        <v>984</v>
      </c>
      <c r="I225" t="s">
        <v>985</v>
      </c>
      <c r="J225" t="s">
        <v>977</v>
      </c>
      <c r="K225">
        <v>153</v>
      </c>
      <c r="L225">
        <v>67</v>
      </c>
      <c r="M225">
        <v>67</v>
      </c>
      <c r="N225">
        <v>164215000</v>
      </c>
      <c r="O225">
        <v>41100</v>
      </c>
      <c r="P225">
        <v>656900</v>
      </c>
      <c r="Q225">
        <v>492600</v>
      </c>
      <c r="R225">
        <v>7900000</v>
      </c>
      <c r="S225">
        <v>100000</v>
      </c>
      <c r="T225">
        <v>2009</v>
      </c>
      <c r="U225" t="s">
        <v>1005</v>
      </c>
      <c r="V225">
        <v>11</v>
      </c>
      <c r="W225">
        <v>88.2</v>
      </c>
      <c r="X225">
        <v>328239523</v>
      </c>
      <c r="Y225">
        <v>14.7</v>
      </c>
      <c r="Z225">
        <v>270663028</v>
      </c>
      <c r="AA225">
        <v>37.090240000000001</v>
      </c>
      <c r="AB225">
        <v>-95.712890999999999</v>
      </c>
    </row>
    <row r="226" spans="1:28" x14ac:dyDescent="0.3">
      <c r="A226">
        <v>225</v>
      </c>
      <c r="B226" t="s">
        <v>588</v>
      </c>
      <c r="C226">
        <v>25700000</v>
      </c>
      <c r="D226">
        <v>7466926260</v>
      </c>
      <c r="E226" t="s">
        <v>994</v>
      </c>
      <c r="F226" t="s">
        <v>588</v>
      </c>
      <c r="G226">
        <v>982</v>
      </c>
      <c r="H226" t="s">
        <v>1058</v>
      </c>
      <c r="I226" t="s">
        <v>1059</v>
      </c>
      <c r="J226" t="s">
        <v>1002</v>
      </c>
      <c r="K226">
        <v>746</v>
      </c>
      <c r="L226">
        <v>8</v>
      </c>
      <c r="M226">
        <v>7</v>
      </c>
      <c r="N226">
        <v>30501000</v>
      </c>
      <c r="O226">
        <v>7600</v>
      </c>
      <c r="P226">
        <v>122000</v>
      </c>
      <c r="Q226">
        <v>91500</v>
      </c>
      <c r="R226">
        <v>1500000</v>
      </c>
      <c r="S226" t="s">
        <v>987</v>
      </c>
      <c r="T226">
        <v>2012</v>
      </c>
      <c r="U226" t="s">
        <v>1005</v>
      </c>
      <c r="V226">
        <v>16</v>
      </c>
      <c r="W226">
        <v>40.200000000000003</v>
      </c>
      <c r="X226">
        <v>126014024</v>
      </c>
      <c r="Y226">
        <v>3.42</v>
      </c>
      <c r="Z226">
        <v>102626859</v>
      </c>
      <c r="AA226">
        <v>23.634501</v>
      </c>
      <c r="AB226">
        <v>-102.552784</v>
      </c>
    </row>
    <row r="227" spans="1:28" x14ac:dyDescent="0.3">
      <c r="A227">
        <v>226</v>
      </c>
      <c r="B227" t="s">
        <v>332</v>
      </c>
      <c r="C227">
        <v>25700000</v>
      </c>
      <c r="D227">
        <v>10242981063</v>
      </c>
      <c r="E227" t="s">
        <v>977</v>
      </c>
      <c r="F227" t="s">
        <v>332</v>
      </c>
      <c r="G227">
        <v>42</v>
      </c>
      <c r="H227" t="s">
        <v>984</v>
      </c>
      <c r="I227" t="s">
        <v>985</v>
      </c>
      <c r="J227" t="s">
        <v>977</v>
      </c>
      <c r="K227">
        <v>425</v>
      </c>
      <c r="L227">
        <v>67</v>
      </c>
      <c r="M227">
        <v>67</v>
      </c>
      <c r="N227">
        <v>103631000</v>
      </c>
      <c r="O227">
        <v>25900</v>
      </c>
      <c r="P227">
        <v>414500</v>
      </c>
      <c r="Q227">
        <v>310900</v>
      </c>
      <c r="R227">
        <v>5000000</v>
      </c>
      <c r="S227">
        <v>100000</v>
      </c>
      <c r="T227">
        <v>2013</v>
      </c>
      <c r="U227" t="s">
        <v>1010</v>
      </c>
      <c r="V227">
        <v>28</v>
      </c>
      <c r="W227">
        <v>88.2</v>
      </c>
      <c r="X227">
        <v>328239523</v>
      </c>
      <c r="Y227">
        <v>14.7</v>
      </c>
      <c r="Z227">
        <v>270663028</v>
      </c>
      <c r="AA227">
        <v>37.090240000000001</v>
      </c>
      <c r="AB227">
        <v>-95.712890999999999</v>
      </c>
    </row>
    <row r="228" spans="1:28" x14ac:dyDescent="0.3">
      <c r="A228">
        <v>227</v>
      </c>
      <c r="B228" t="s">
        <v>923</v>
      </c>
      <c r="C228">
        <v>25600000</v>
      </c>
      <c r="D228">
        <v>7962725960</v>
      </c>
      <c r="E228" t="s">
        <v>1011</v>
      </c>
      <c r="F228" t="s">
        <v>923</v>
      </c>
      <c r="G228">
        <v>0</v>
      </c>
      <c r="H228" t="s">
        <v>987</v>
      </c>
      <c r="I228" t="s">
        <v>987</v>
      </c>
      <c r="J228" t="s">
        <v>987</v>
      </c>
      <c r="K228">
        <v>4057944</v>
      </c>
      <c r="L228" t="s">
        <v>987</v>
      </c>
      <c r="M228" t="s">
        <v>987</v>
      </c>
      <c r="N228" t="s">
        <v>987</v>
      </c>
      <c r="O228">
        <v>0</v>
      </c>
      <c r="P228">
        <v>0</v>
      </c>
      <c r="Q228">
        <v>0</v>
      </c>
      <c r="R228">
        <v>0</v>
      </c>
      <c r="S228">
        <v>2</v>
      </c>
      <c r="T228">
        <v>2019</v>
      </c>
      <c r="U228" t="s">
        <v>1010</v>
      </c>
      <c r="V228">
        <v>1</v>
      </c>
      <c r="W228" t="s">
        <v>987</v>
      </c>
      <c r="X228" t="s">
        <v>987</v>
      </c>
      <c r="Y228" t="s">
        <v>987</v>
      </c>
      <c r="Z228" t="s">
        <v>987</v>
      </c>
      <c r="AA228" t="s">
        <v>987</v>
      </c>
      <c r="AB228" t="s">
        <v>987</v>
      </c>
    </row>
    <row r="229" spans="1:28" x14ac:dyDescent="0.3">
      <c r="A229">
        <v>228</v>
      </c>
      <c r="B229" t="s">
        <v>116</v>
      </c>
      <c r="C229">
        <v>25600000</v>
      </c>
      <c r="D229">
        <v>25592378292</v>
      </c>
      <c r="E229" t="s">
        <v>977</v>
      </c>
      <c r="F229" t="s">
        <v>116</v>
      </c>
      <c r="G229">
        <v>287</v>
      </c>
      <c r="H229" t="s">
        <v>984</v>
      </c>
      <c r="I229" t="s">
        <v>985</v>
      </c>
      <c r="J229" t="s">
        <v>977</v>
      </c>
      <c r="K229">
        <v>67</v>
      </c>
      <c r="L229">
        <v>68</v>
      </c>
      <c r="M229">
        <v>68</v>
      </c>
      <c r="N229">
        <v>318593000</v>
      </c>
      <c r="O229">
        <v>79600</v>
      </c>
      <c r="P229">
        <v>1300000</v>
      </c>
      <c r="Q229">
        <v>955800</v>
      </c>
      <c r="R229">
        <v>15300000</v>
      </c>
      <c r="S229">
        <v>100000</v>
      </c>
      <c r="T229">
        <v>2009</v>
      </c>
      <c r="U229" t="s">
        <v>995</v>
      </c>
      <c r="V229">
        <v>12</v>
      </c>
      <c r="W229">
        <v>88.2</v>
      </c>
      <c r="X229">
        <v>328239523</v>
      </c>
      <c r="Y229">
        <v>14.7</v>
      </c>
      <c r="Z229">
        <v>270663028</v>
      </c>
      <c r="AA229">
        <v>37.090240000000001</v>
      </c>
      <c r="AB229">
        <v>-95.712890999999999</v>
      </c>
    </row>
    <row r="230" spans="1:28" x14ac:dyDescent="0.3">
      <c r="A230">
        <v>229</v>
      </c>
      <c r="B230" t="s">
        <v>844</v>
      </c>
      <c r="C230">
        <v>25500000</v>
      </c>
      <c r="D230">
        <v>2726917087</v>
      </c>
      <c r="E230" t="s">
        <v>982</v>
      </c>
      <c r="F230" t="s">
        <v>1122</v>
      </c>
      <c r="G230">
        <v>5</v>
      </c>
      <c r="H230" t="s">
        <v>987</v>
      </c>
      <c r="I230" t="s">
        <v>987</v>
      </c>
      <c r="J230" t="s">
        <v>988</v>
      </c>
      <c r="K230">
        <v>4042995</v>
      </c>
      <c r="L230" t="s">
        <v>987</v>
      </c>
      <c r="M230">
        <v>6739</v>
      </c>
      <c r="N230">
        <v>20</v>
      </c>
      <c r="O230">
        <v>0.01</v>
      </c>
      <c r="P230">
        <v>0.08</v>
      </c>
      <c r="Q230">
        <v>0.06</v>
      </c>
      <c r="R230">
        <v>0.96</v>
      </c>
      <c r="S230">
        <v>4</v>
      </c>
      <c r="T230">
        <v>2006</v>
      </c>
      <c r="U230" t="s">
        <v>1003</v>
      </c>
      <c r="V230">
        <v>24</v>
      </c>
      <c r="W230" t="s">
        <v>987</v>
      </c>
      <c r="X230" t="s">
        <v>987</v>
      </c>
      <c r="Y230" t="s">
        <v>987</v>
      </c>
      <c r="Z230" t="s">
        <v>987</v>
      </c>
      <c r="AA230" t="s">
        <v>987</v>
      </c>
      <c r="AB230" t="s">
        <v>987</v>
      </c>
    </row>
    <row r="231" spans="1:28" x14ac:dyDescent="0.3">
      <c r="A231">
        <v>230</v>
      </c>
      <c r="B231" t="s">
        <v>188</v>
      </c>
      <c r="C231">
        <v>25500000</v>
      </c>
      <c r="D231">
        <v>14401218086</v>
      </c>
      <c r="E231" t="s">
        <v>977</v>
      </c>
      <c r="F231" t="s">
        <v>188</v>
      </c>
      <c r="G231">
        <v>78</v>
      </c>
      <c r="H231" t="s">
        <v>984</v>
      </c>
      <c r="I231" t="s">
        <v>985</v>
      </c>
      <c r="J231" t="s">
        <v>977</v>
      </c>
      <c r="K231">
        <v>243</v>
      </c>
      <c r="L231">
        <v>69</v>
      </c>
      <c r="M231">
        <v>69</v>
      </c>
      <c r="N231">
        <v>195499000</v>
      </c>
      <c r="O231">
        <v>48900</v>
      </c>
      <c r="P231">
        <v>782000</v>
      </c>
      <c r="Q231">
        <v>586500</v>
      </c>
      <c r="R231">
        <v>9400000</v>
      </c>
      <c r="S231">
        <v>100000</v>
      </c>
      <c r="T231">
        <v>2011</v>
      </c>
      <c r="U231" t="s">
        <v>1005</v>
      </c>
      <c r="V231">
        <v>15</v>
      </c>
      <c r="W231">
        <v>88.2</v>
      </c>
      <c r="X231">
        <v>328239523</v>
      </c>
      <c r="Y231">
        <v>14.7</v>
      </c>
      <c r="Z231">
        <v>270663028</v>
      </c>
      <c r="AA231">
        <v>37.090240000000001</v>
      </c>
      <c r="AB231">
        <v>-95.712890999999999</v>
      </c>
    </row>
    <row r="232" spans="1:28" x14ac:dyDescent="0.3">
      <c r="A232">
        <v>231</v>
      </c>
      <c r="B232" t="s">
        <v>454</v>
      </c>
      <c r="C232">
        <v>25400000</v>
      </c>
      <c r="D232">
        <v>6430853035</v>
      </c>
      <c r="E232" t="s">
        <v>994</v>
      </c>
      <c r="F232" t="s">
        <v>454</v>
      </c>
      <c r="G232">
        <v>3716</v>
      </c>
      <c r="H232" t="s">
        <v>1081</v>
      </c>
      <c r="I232" t="s">
        <v>1082</v>
      </c>
      <c r="J232" t="s">
        <v>988</v>
      </c>
      <c r="K232">
        <v>942</v>
      </c>
      <c r="L232">
        <v>6</v>
      </c>
      <c r="M232">
        <v>62</v>
      </c>
      <c r="N232">
        <v>58487000</v>
      </c>
      <c r="O232">
        <v>14600</v>
      </c>
      <c r="P232">
        <v>233900</v>
      </c>
      <c r="Q232">
        <v>175500</v>
      </c>
      <c r="R232">
        <v>2800000</v>
      </c>
      <c r="S232">
        <v>100000</v>
      </c>
      <c r="T232">
        <v>2015</v>
      </c>
      <c r="U232" t="s">
        <v>1005</v>
      </c>
      <c r="V232">
        <v>27</v>
      </c>
      <c r="W232">
        <v>36.299999999999997</v>
      </c>
      <c r="X232">
        <v>270203917</v>
      </c>
      <c r="Y232">
        <v>4.6900000000000004</v>
      </c>
      <c r="Z232">
        <v>151509724</v>
      </c>
      <c r="AA232">
        <v>-0.78927499999999995</v>
      </c>
      <c r="AB232">
        <v>113.92132700000001</v>
      </c>
    </row>
    <row r="233" spans="1:28" x14ac:dyDescent="0.3">
      <c r="A233">
        <v>232</v>
      </c>
      <c r="B233" t="s">
        <v>28</v>
      </c>
      <c r="C233">
        <v>25400000</v>
      </c>
      <c r="D233">
        <v>34300482066</v>
      </c>
      <c r="E233" t="s">
        <v>1044</v>
      </c>
      <c r="F233" t="s">
        <v>28</v>
      </c>
      <c r="G233">
        <v>8775</v>
      </c>
      <c r="H233" t="s">
        <v>984</v>
      </c>
      <c r="I233" t="s">
        <v>985</v>
      </c>
      <c r="J233" t="s">
        <v>986</v>
      </c>
      <c r="K233">
        <v>29</v>
      </c>
      <c r="L233">
        <v>69</v>
      </c>
      <c r="M233">
        <v>18</v>
      </c>
      <c r="N233">
        <v>815341000</v>
      </c>
      <c r="O233">
        <v>203800</v>
      </c>
      <c r="P233">
        <v>3300000</v>
      </c>
      <c r="Q233">
        <v>2400000</v>
      </c>
      <c r="R233">
        <v>39100000</v>
      </c>
      <c r="S233">
        <v>600000</v>
      </c>
      <c r="T233">
        <v>2016</v>
      </c>
      <c r="U233" t="s">
        <v>1015</v>
      </c>
      <c r="V233">
        <v>30</v>
      </c>
      <c r="W233">
        <v>88.2</v>
      </c>
      <c r="X233">
        <v>328239523</v>
      </c>
      <c r="Y233">
        <v>14.7</v>
      </c>
      <c r="Z233">
        <v>270663028</v>
      </c>
      <c r="AA233">
        <v>37.090240000000001</v>
      </c>
      <c r="AB233">
        <v>-95.712890999999999</v>
      </c>
    </row>
    <row r="234" spans="1:28" x14ac:dyDescent="0.3">
      <c r="A234">
        <v>233</v>
      </c>
      <c r="B234" t="s">
        <v>187</v>
      </c>
      <c r="C234">
        <v>25300000</v>
      </c>
      <c r="D234">
        <v>17331663193</v>
      </c>
      <c r="E234" t="s">
        <v>977</v>
      </c>
      <c r="F234" t="s">
        <v>187</v>
      </c>
      <c r="G234">
        <v>398</v>
      </c>
      <c r="H234" t="s">
        <v>1013</v>
      </c>
      <c r="I234" t="s">
        <v>1014</v>
      </c>
      <c r="J234" t="s">
        <v>977</v>
      </c>
      <c r="K234">
        <v>160</v>
      </c>
      <c r="L234">
        <v>8</v>
      </c>
      <c r="M234">
        <v>70</v>
      </c>
      <c r="N234">
        <v>198875000</v>
      </c>
      <c r="O234">
        <v>49700</v>
      </c>
      <c r="P234">
        <v>795500</v>
      </c>
      <c r="Q234">
        <v>596600</v>
      </c>
      <c r="R234">
        <v>9500000</v>
      </c>
      <c r="S234">
        <v>100000</v>
      </c>
      <c r="T234">
        <v>2010</v>
      </c>
      <c r="U234" t="s">
        <v>1003</v>
      </c>
      <c r="V234">
        <v>3</v>
      </c>
      <c r="W234">
        <v>60</v>
      </c>
      <c r="X234">
        <v>66834405</v>
      </c>
      <c r="Y234">
        <v>3.85</v>
      </c>
      <c r="Z234">
        <v>55908316</v>
      </c>
      <c r="AA234">
        <v>55.378050999999999</v>
      </c>
      <c r="AB234">
        <v>-3.4359730000000002</v>
      </c>
    </row>
    <row r="235" spans="1:28" x14ac:dyDescent="0.3">
      <c r="A235">
        <v>234</v>
      </c>
      <c r="B235" t="s">
        <v>848</v>
      </c>
      <c r="C235">
        <v>25200000</v>
      </c>
      <c r="D235">
        <v>9602246828</v>
      </c>
      <c r="E235" t="s">
        <v>994</v>
      </c>
      <c r="F235" t="s">
        <v>1123</v>
      </c>
      <c r="G235">
        <v>4</v>
      </c>
      <c r="H235" t="s">
        <v>987</v>
      </c>
      <c r="I235" t="s">
        <v>987</v>
      </c>
      <c r="J235" t="s">
        <v>1002</v>
      </c>
      <c r="K235">
        <v>4051936</v>
      </c>
      <c r="L235" t="s">
        <v>987</v>
      </c>
      <c r="M235">
        <v>7690</v>
      </c>
      <c r="N235">
        <v>11</v>
      </c>
      <c r="O235">
        <v>0</v>
      </c>
      <c r="P235">
        <v>0.04</v>
      </c>
      <c r="Q235">
        <v>0.03</v>
      </c>
      <c r="R235">
        <v>0.53</v>
      </c>
      <c r="S235" t="s">
        <v>987</v>
      </c>
      <c r="T235">
        <v>2019</v>
      </c>
      <c r="U235" t="s">
        <v>995</v>
      </c>
      <c r="V235">
        <v>31</v>
      </c>
      <c r="W235" t="s">
        <v>987</v>
      </c>
      <c r="X235" t="s">
        <v>987</v>
      </c>
      <c r="Y235" t="s">
        <v>987</v>
      </c>
      <c r="Z235" t="s">
        <v>987</v>
      </c>
      <c r="AA235" t="s">
        <v>987</v>
      </c>
      <c r="AB235" t="s">
        <v>987</v>
      </c>
    </row>
    <row r="236" spans="1:28" x14ac:dyDescent="0.3">
      <c r="A236">
        <v>235</v>
      </c>
      <c r="B236" t="s">
        <v>260</v>
      </c>
      <c r="C236">
        <v>25200000</v>
      </c>
      <c r="D236">
        <v>11081602368</v>
      </c>
      <c r="E236" t="s">
        <v>994</v>
      </c>
      <c r="F236" t="s">
        <v>260</v>
      </c>
      <c r="G236">
        <v>2025</v>
      </c>
      <c r="H236" t="s">
        <v>984</v>
      </c>
      <c r="I236" t="s">
        <v>985</v>
      </c>
      <c r="J236" t="s">
        <v>1022</v>
      </c>
      <c r="K236">
        <v>375</v>
      </c>
      <c r="L236">
        <v>70</v>
      </c>
      <c r="M236">
        <v>16</v>
      </c>
      <c r="N236">
        <v>140319000</v>
      </c>
      <c r="O236">
        <v>35100</v>
      </c>
      <c r="P236">
        <v>561300</v>
      </c>
      <c r="Q236">
        <v>421000</v>
      </c>
      <c r="R236">
        <v>6700000</v>
      </c>
      <c r="S236">
        <v>300000</v>
      </c>
      <c r="T236">
        <v>2015</v>
      </c>
      <c r="U236" t="s">
        <v>980</v>
      </c>
      <c r="V236">
        <v>31</v>
      </c>
      <c r="W236">
        <v>88.2</v>
      </c>
      <c r="X236">
        <v>328239523</v>
      </c>
      <c r="Y236">
        <v>14.7</v>
      </c>
      <c r="Z236">
        <v>270663028</v>
      </c>
      <c r="AA236">
        <v>37.090240000000001</v>
      </c>
      <c r="AB236">
        <v>-95.712890999999999</v>
      </c>
    </row>
    <row r="237" spans="1:28" x14ac:dyDescent="0.3">
      <c r="A237">
        <v>236</v>
      </c>
      <c r="B237" t="s">
        <v>871</v>
      </c>
      <c r="C237">
        <v>25200000</v>
      </c>
      <c r="D237">
        <v>7968363381</v>
      </c>
      <c r="E237" t="s">
        <v>994</v>
      </c>
      <c r="F237" t="s">
        <v>871</v>
      </c>
      <c r="G237">
        <v>12</v>
      </c>
      <c r="H237" t="s">
        <v>987</v>
      </c>
      <c r="I237" t="s">
        <v>987</v>
      </c>
      <c r="J237" t="s">
        <v>1002</v>
      </c>
      <c r="K237">
        <v>4026389</v>
      </c>
      <c r="L237" t="s">
        <v>987</v>
      </c>
      <c r="M237">
        <v>7421</v>
      </c>
      <c r="N237">
        <v>2</v>
      </c>
      <c r="O237">
        <v>0</v>
      </c>
      <c r="P237">
        <v>0.01</v>
      </c>
      <c r="Q237">
        <v>0.01</v>
      </c>
      <c r="R237">
        <v>0.1</v>
      </c>
      <c r="S237" t="s">
        <v>987</v>
      </c>
      <c r="T237">
        <v>2014</v>
      </c>
      <c r="U237" t="s">
        <v>1015</v>
      </c>
      <c r="V237">
        <v>26</v>
      </c>
      <c r="W237" t="s">
        <v>987</v>
      </c>
      <c r="X237" t="s">
        <v>987</v>
      </c>
      <c r="Y237" t="s">
        <v>987</v>
      </c>
      <c r="Z237" t="s">
        <v>987</v>
      </c>
      <c r="AA237" t="s">
        <v>987</v>
      </c>
      <c r="AB237" t="s">
        <v>987</v>
      </c>
    </row>
    <row r="238" spans="1:28" x14ac:dyDescent="0.3">
      <c r="A238">
        <v>237</v>
      </c>
      <c r="B238" t="s">
        <v>1124</v>
      </c>
      <c r="C238">
        <v>25200000</v>
      </c>
      <c r="D238">
        <v>15520569496</v>
      </c>
      <c r="E238" t="s">
        <v>977</v>
      </c>
      <c r="F238" t="s">
        <v>1125</v>
      </c>
      <c r="G238">
        <v>0</v>
      </c>
      <c r="H238" t="s">
        <v>987</v>
      </c>
      <c r="I238" t="s">
        <v>987</v>
      </c>
      <c r="J238" t="s">
        <v>987</v>
      </c>
      <c r="K238">
        <v>3612215</v>
      </c>
      <c r="L238" t="s">
        <v>987</v>
      </c>
      <c r="M238" t="s">
        <v>987</v>
      </c>
      <c r="N238" t="s">
        <v>987</v>
      </c>
      <c r="O238">
        <v>0</v>
      </c>
      <c r="P238">
        <v>0</v>
      </c>
      <c r="Q238">
        <v>0</v>
      </c>
      <c r="R238">
        <v>0</v>
      </c>
      <c r="S238" t="s">
        <v>987</v>
      </c>
      <c r="T238" t="s">
        <v>987</v>
      </c>
      <c r="U238" t="s">
        <v>987</v>
      </c>
      <c r="V238" t="s">
        <v>987</v>
      </c>
      <c r="W238" t="s">
        <v>987</v>
      </c>
      <c r="X238" t="s">
        <v>987</v>
      </c>
      <c r="Y238" t="s">
        <v>987</v>
      </c>
      <c r="Z238" t="s">
        <v>987</v>
      </c>
      <c r="AA238" t="s">
        <v>987</v>
      </c>
      <c r="AB238" t="s">
        <v>987</v>
      </c>
    </row>
    <row r="239" spans="1:28" x14ac:dyDescent="0.3">
      <c r="A239">
        <v>238</v>
      </c>
      <c r="B239" t="s">
        <v>134</v>
      </c>
      <c r="C239">
        <v>25200000</v>
      </c>
      <c r="D239">
        <v>10409352249</v>
      </c>
      <c r="E239" t="s">
        <v>1026</v>
      </c>
      <c r="F239" t="s">
        <v>134</v>
      </c>
      <c r="G239">
        <v>51129</v>
      </c>
      <c r="H239" t="s">
        <v>978</v>
      </c>
      <c r="I239" t="s">
        <v>979</v>
      </c>
      <c r="J239" t="s">
        <v>1027</v>
      </c>
      <c r="K239">
        <v>408</v>
      </c>
      <c r="L239">
        <v>52</v>
      </c>
      <c r="M239">
        <v>6</v>
      </c>
      <c r="N239">
        <v>273920000</v>
      </c>
      <c r="O239">
        <v>68500</v>
      </c>
      <c r="P239">
        <v>1100000</v>
      </c>
      <c r="Q239">
        <v>821800</v>
      </c>
      <c r="R239">
        <v>13100000</v>
      </c>
      <c r="S239">
        <v>300000</v>
      </c>
      <c r="T239">
        <v>2015</v>
      </c>
      <c r="U239" t="s">
        <v>980</v>
      </c>
      <c r="V239">
        <v>23</v>
      </c>
      <c r="W239">
        <v>28.1</v>
      </c>
      <c r="X239">
        <v>1366417754</v>
      </c>
      <c r="Y239">
        <v>5.36</v>
      </c>
      <c r="Z239">
        <v>471031528</v>
      </c>
      <c r="AA239">
        <v>20.593684</v>
      </c>
      <c r="AB239">
        <v>78.962879999999998</v>
      </c>
    </row>
    <row r="240" spans="1:28" x14ac:dyDescent="0.3">
      <c r="A240">
        <v>239</v>
      </c>
      <c r="B240" t="s">
        <v>364</v>
      </c>
      <c r="C240">
        <v>25100000</v>
      </c>
      <c r="D240">
        <v>19458807708</v>
      </c>
      <c r="E240" t="s">
        <v>977</v>
      </c>
      <c r="F240" t="s">
        <v>364</v>
      </c>
      <c r="G240">
        <v>118</v>
      </c>
      <c r="H240" t="s">
        <v>984</v>
      </c>
      <c r="I240" t="s">
        <v>985</v>
      </c>
      <c r="J240" t="s">
        <v>977</v>
      </c>
      <c r="K240">
        <v>130</v>
      </c>
      <c r="L240">
        <v>71</v>
      </c>
      <c r="M240">
        <v>72</v>
      </c>
      <c r="N240">
        <v>94246000</v>
      </c>
      <c r="O240">
        <v>23600</v>
      </c>
      <c r="P240">
        <v>377000</v>
      </c>
      <c r="Q240">
        <v>282700</v>
      </c>
      <c r="R240">
        <v>4500000</v>
      </c>
      <c r="S240" t="s">
        <v>987</v>
      </c>
      <c r="T240">
        <v>2009</v>
      </c>
      <c r="U240" t="s">
        <v>995</v>
      </c>
      <c r="V240">
        <v>12</v>
      </c>
      <c r="W240">
        <v>88.2</v>
      </c>
      <c r="X240">
        <v>328239523</v>
      </c>
      <c r="Y240">
        <v>14.7</v>
      </c>
      <c r="Z240">
        <v>270663028</v>
      </c>
      <c r="AA240">
        <v>37.090240000000001</v>
      </c>
      <c r="AB240">
        <v>-95.712890999999999</v>
      </c>
    </row>
    <row r="241" spans="1:28" x14ac:dyDescent="0.3">
      <c r="A241">
        <v>240</v>
      </c>
      <c r="B241" t="s">
        <v>489</v>
      </c>
      <c r="C241">
        <v>25100000</v>
      </c>
      <c r="D241">
        <v>16357064198</v>
      </c>
      <c r="E241" t="s">
        <v>977</v>
      </c>
      <c r="F241" t="s">
        <v>489</v>
      </c>
      <c r="G241">
        <v>24837</v>
      </c>
      <c r="H241" t="s">
        <v>1017</v>
      </c>
      <c r="I241" t="s">
        <v>1018</v>
      </c>
      <c r="J241" t="s">
        <v>988</v>
      </c>
      <c r="K241">
        <v>180</v>
      </c>
      <c r="L241">
        <v>6</v>
      </c>
      <c r="M241">
        <v>64</v>
      </c>
      <c r="N241">
        <v>49009000</v>
      </c>
      <c r="O241">
        <v>12300</v>
      </c>
      <c r="P241">
        <v>196000</v>
      </c>
      <c r="Q241">
        <v>147000</v>
      </c>
      <c r="R241">
        <v>2400000</v>
      </c>
      <c r="S241" t="s">
        <v>987</v>
      </c>
      <c r="T241">
        <v>2007</v>
      </c>
      <c r="U241" t="s">
        <v>1003</v>
      </c>
      <c r="V241">
        <v>25</v>
      </c>
      <c r="W241">
        <v>68.900000000000006</v>
      </c>
      <c r="X241">
        <v>36991981</v>
      </c>
      <c r="Y241">
        <v>5.56</v>
      </c>
      <c r="Z241">
        <v>30628482</v>
      </c>
      <c r="AA241">
        <v>56.130366000000002</v>
      </c>
      <c r="AB241">
        <v>-106.346771</v>
      </c>
    </row>
    <row r="242" spans="1:28" x14ac:dyDescent="0.3">
      <c r="A242">
        <v>241</v>
      </c>
      <c r="B242" t="s">
        <v>293</v>
      </c>
      <c r="C242">
        <v>25000000</v>
      </c>
      <c r="D242">
        <v>14169516119</v>
      </c>
      <c r="E242" t="s">
        <v>988</v>
      </c>
      <c r="F242" t="s">
        <v>293</v>
      </c>
      <c r="G242">
        <v>89179</v>
      </c>
      <c r="H242" t="s">
        <v>1081</v>
      </c>
      <c r="I242" t="s">
        <v>1082</v>
      </c>
      <c r="J242" t="s">
        <v>988</v>
      </c>
      <c r="K242">
        <v>251</v>
      </c>
      <c r="L242">
        <v>7</v>
      </c>
      <c r="M242">
        <v>64</v>
      </c>
      <c r="N242">
        <v>123189000</v>
      </c>
      <c r="O242">
        <v>30800</v>
      </c>
      <c r="P242">
        <v>492800</v>
      </c>
      <c r="Q242">
        <v>369600</v>
      </c>
      <c r="R242">
        <v>5900000</v>
      </c>
      <c r="S242">
        <v>100000</v>
      </c>
      <c r="T242">
        <v>2014</v>
      </c>
      <c r="U242" t="s">
        <v>991</v>
      </c>
      <c r="V242">
        <v>4</v>
      </c>
      <c r="W242">
        <v>36.299999999999997</v>
      </c>
      <c r="X242">
        <v>270203917</v>
      </c>
      <c r="Y242">
        <v>4.6900000000000004</v>
      </c>
      <c r="Z242">
        <v>151509724</v>
      </c>
      <c r="AA242">
        <v>-0.78927499999999995</v>
      </c>
      <c r="AB242">
        <v>113.92132700000001</v>
      </c>
    </row>
    <row r="243" spans="1:28" x14ac:dyDescent="0.3">
      <c r="A243">
        <v>242</v>
      </c>
      <c r="B243" t="s">
        <v>129</v>
      </c>
      <c r="C243">
        <v>25000000</v>
      </c>
      <c r="D243">
        <v>14827085149</v>
      </c>
      <c r="E243" t="s">
        <v>977</v>
      </c>
      <c r="F243" t="s">
        <v>129</v>
      </c>
      <c r="G243">
        <v>147</v>
      </c>
      <c r="H243" t="s">
        <v>1051</v>
      </c>
      <c r="I243" t="s">
        <v>1052</v>
      </c>
      <c r="J243" t="s">
        <v>977</v>
      </c>
      <c r="K243">
        <v>225</v>
      </c>
      <c r="L243">
        <v>6</v>
      </c>
      <c r="M243">
        <v>73</v>
      </c>
      <c r="N243">
        <v>284144000</v>
      </c>
      <c r="O243">
        <v>71000</v>
      </c>
      <c r="P243">
        <v>1100000</v>
      </c>
      <c r="Q243">
        <v>852400</v>
      </c>
      <c r="R243">
        <v>13600000</v>
      </c>
      <c r="S243">
        <v>300000</v>
      </c>
      <c r="T243">
        <v>2016</v>
      </c>
      <c r="U243" t="s">
        <v>991</v>
      </c>
      <c r="V243">
        <v>8</v>
      </c>
      <c r="W243">
        <v>55.3</v>
      </c>
      <c r="X243">
        <v>50339443</v>
      </c>
      <c r="Y243">
        <v>9.7100000000000009</v>
      </c>
      <c r="Z243">
        <v>40827302</v>
      </c>
      <c r="AA243">
        <v>4.5708679999999999</v>
      </c>
      <c r="AB243">
        <v>-74.297332999999995</v>
      </c>
    </row>
    <row r="244" spans="1:28" x14ac:dyDescent="0.3">
      <c r="A244">
        <v>243</v>
      </c>
      <c r="B244" t="s">
        <v>108</v>
      </c>
      <c r="C244">
        <v>24800000</v>
      </c>
      <c r="D244">
        <v>17387583720</v>
      </c>
      <c r="E244" t="s">
        <v>988</v>
      </c>
      <c r="F244" t="s">
        <v>108</v>
      </c>
      <c r="G244">
        <v>1644</v>
      </c>
      <c r="H244" t="s">
        <v>1013</v>
      </c>
      <c r="I244" t="s">
        <v>1014</v>
      </c>
      <c r="J244" t="s">
        <v>988</v>
      </c>
      <c r="K244">
        <v>157</v>
      </c>
      <c r="L244">
        <v>9</v>
      </c>
      <c r="M244">
        <v>66</v>
      </c>
      <c r="N244">
        <v>331889000</v>
      </c>
      <c r="O244">
        <v>83000</v>
      </c>
      <c r="P244">
        <v>1300000</v>
      </c>
      <c r="Q244">
        <v>995700</v>
      </c>
      <c r="R244">
        <v>15900000</v>
      </c>
      <c r="S244">
        <v>500000</v>
      </c>
      <c r="T244">
        <v>2015</v>
      </c>
      <c r="U244" t="s">
        <v>1025</v>
      </c>
      <c r="V244">
        <v>30</v>
      </c>
      <c r="W244">
        <v>60</v>
      </c>
      <c r="X244">
        <v>66834405</v>
      </c>
      <c r="Y244">
        <v>3.85</v>
      </c>
      <c r="Z244">
        <v>55908316</v>
      </c>
      <c r="AA244">
        <v>55.378050999999999</v>
      </c>
      <c r="AB244">
        <v>-3.4359730000000002</v>
      </c>
    </row>
    <row r="245" spans="1:28" x14ac:dyDescent="0.3">
      <c r="A245">
        <v>244</v>
      </c>
      <c r="B245" t="s">
        <v>795</v>
      </c>
      <c r="C245">
        <v>24800000</v>
      </c>
      <c r="D245">
        <v>2588501115</v>
      </c>
      <c r="E245" t="s">
        <v>1011</v>
      </c>
      <c r="F245" t="s">
        <v>795</v>
      </c>
      <c r="G245">
        <v>672</v>
      </c>
      <c r="H245" t="s">
        <v>1058</v>
      </c>
      <c r="I245" t="s">
        <v>1059</v>
      </c>
      <c r="J245" t="s">
        <v>1053</v>
      </c>
      <c r="K245">
        <v>3505</v>
      </c>
      <c r="L245">
        <v>9</v>
      </c>
      <c r="M245">
        <v>6</v>
      </c>
      <c r="N245">
        <v>336291</v>
      </c>
      <c r="O245">
        <v>84</v>
      </c>
      <c r="P245">
        <v>1300</v>
      </c>
      <c r="Q245">
        <v>1000</v>
      </c>
      <c r="R245">
        <v>16100</v>
      </c>
      <c r="S245" t="s">
        <v>987</v>
      </c>
      <c r="T245">
        <v>2009</v>
      </c>
      <c r="U245" t="s">
        <v>991</v>
      </c>
      <c r="V245">
        <v>20</v>
      </c>
      <c r="W245">
        <v>40.200000000000003</v>
      </c>
      <c r="X245">
        <v>126014024</v>
      </c>
      <c r="Y245">
        <v>3.42</v>
      </c>
      <c r="Z245">
        <v>102626859</v>
      </c>
      <c r="AA245">
        <v>23.634501</v>
      </c>
      <c r="AB245">
        <v>-102.552784</v>
      </c>
    </row>
    <row r="246" spans="1:28" x14ac:dyDescent="0.3">
      <c r="A246">
        <v>245</v>
      </c>
      <c r="B246" t="s">
        <v>272</v>
      </c>
      <c r="C246">
        <v>24800000</v>
      </c>
      <c r="D246">
        <v>3699352704</v>
      </c>
      <c r="E246" t="s">
        <v>988</v>
      </c>
      <c r="F246" t="s">
        <v>272</v>
      </c>
      <c r="G246">
        <v>1894</v>
      </c>
      <c r="H246" t="s">
        <v>984</v>
      </c>
      <c r="I246" t="s">
        <v>985</v>
      </c>
      <c r="J246" t="s">
        <v>988</v>
      </c>
      <c r="K246">
        <v>2122</v>
      </c>
      <c r="L246">
        <v>72</v>
      </c>
      <c r="M246">
        <v>65</v>
      </c>
      <c r="N246">
        <v>134412000</v>
      </c>
      <c r="O246">
        <v>33600</v>
      </c>
      <c r="P246">
        <v>537600</v>
      </c>
      <c r="Q246">
        <v>403200</v>
      </c>
      <c r="R246">
        <v>6500000</v>
      </c>
      <c r="S246">
        <v>400000</v>
      </c>
      <c r="T246">
        <v>2006</v>
      </c>
      <c r="U246" t="s">
        <v>1008</v>
      </c>
      <c r="V246">
        <v>29</v>
      </c>
      <c r="W246">
        <v>88.2</v>
      </c>
      <c r="X246">
        <v>328239523</v>
      </c>
      <c r="Y246">
        <v>14.7</v>
      </c>
      <c r="Z246">
        <v>270663028</v>
      </c>
      <c r="AA246">
        <v>37.090240000000001</v>
      </c>
      <c r="AB246">
        <v>-95.712890999999999</v>
      </c>
    </row>
    <row r="247" spans="1:28" x14ac:dyDescent="0.3">
      <c r="A247">
        <v>246</v>
      </c>
      <c r="B247" t="s">
        <v>83</v>
      </c>
      <c r="C247">
        <v>24800000</v>
      </c>
      <c r="D247">
        <v>14655527943</v>
      </c>
      <c r="E247" t="s">
        <v>994</v>
      </c>
      <c r="F247" t="s">
        <v>83</v>
      </c>
      <c r="G247">
        <v>872</v>
      </c>
      <c r="H247" t="s">
        <v>987</v>
      </c>
      <c r="I247" t="s">
        <v>987</v>
      </c>
      <c r="J247" t="s">
        <v>1002</v>
      </c>
      <c r="K247">
        <v>234</v>
      </c>
      <c r="L247" t="s">
        <v>987</v>
      </c>
      <c r="M247">
        <v>8</v>
      </c>
      <c r="N247">
        <v>400222000</v>
      </c>
      <c r="O247">
        <v>100100</v>
      </c>
      <c r="P247">
        <v>1600000</v>
      </c>
      <c r="Q247">
        <v>1200000</v>
      </c>
      <c r="R247">
        <v>19200000</v>
      </c>
      <c r="S247">
        <v>900000</v>
      </c>
      <c r="T247">
        <v>2020</v>
      </c>
      <c r="U247" t="s">
        <v>995</v>
      </c>
      <c r="V247">
        <v>18</v>
      </c>
      <c r="W247" t="s">
        <v>987</v>
      </c>
      <c r="X247" t="s">
        <v>987</v>
      </c>
      <c r="Y247" t="s">
        <v>987</v>
      </c>
      <c r="Z247" t="s">
        <v>987</v>
      </c>
      <c r="AA247" t="s">
        <v>987</v>
      </c>
      <c r="AB247" t="s">
        <v>987</v>
      </c>
    </row>
    <row r="248" spans="1:28" x14ac:dyDescent="0.3">
      <c r="A248">
        <v>247</v>
      </c>
      <c r="B248" t="s">
        <v>266</v>
      </c>
      <c r="C248">
        <v>24700000</v>
      </c>
      <c r="D248">
        <v>20531704527</v>
      </c>
      <c r="E248" t="s">
        <v>977</v>
      </c>
      <c r="F248" t="s">
        <v>266</v>
      </c>
      <c r="G248">
        <v>104</v>
      </c>
      <c r="H248" t="s">
        <v>984</v>
      </c>
      <c r="I248" t="s">
        <v>985</v>
      </c>
      <c r="J248" t="s">
        <v>977</v>
      </c>
      <c r="K248">
        <v>115</v>
      </c>
      <c r="L248">
        <v>73</v>
      </c>
      <c r="M248">
        <v>74</v>
      </c>
      <c r="N248">
        <v>139443000</v>
      </c>
      <c r="O248">
        <v>34900</v>
      </c>
      <c r="P248">
        <v>557800</v>
      </c>
      <c r="Q248">
        <v>418300</v>
      </c>
      <c r="R248">
        <v>6700000</v>
      </c>
      <c r="S248">
        <v>100000</v>
      </c>
      <c r="T248">
        <v>2009</v>
      </c>
      <c r="U248" t="s">
        <v>995</v>
      </c>
      <c r="V248">
        <v>12</v>
      </c>
      <c r="W248">
        <v>88.2</v>
      </c>
      <c r="X248">
        <v>328239523</v>
      </c>
      <c r="Y248">
        <v>14.7</v>
      </c>
      <c r="Z248">
        <v>270663028</v>
      </c>
      <c r="AA248">
        <v>37.090240000000001</v>
      </c>
      <c r="AB248">
        <v>-95.712890999999999</v>
      </c>
    </row>
    <row r="249" spans="1:28" x14ac:dyDescent="0.3">
      <c r="A249">
        <v>248</v>
      </c>
      <c r="B249" t="s">
        <v>648</v>
      </c>
      <c r="C249">
        <v>24700000</v>
      </c>
      <c r="D249">
        <v>2994726412</v>
      </c>
      <c r="E249" t="s">
        <v>1011</v>
      </c>
      <c r="F249" t="s">
        <v>648</v>
      </c>
      <c r="G249">
        <v>412</v>
      </c>
      <c r="H249" t="s">
        <v>1114</v>
      </c>
      <c r="I249" t="s">
        <v>1115</v>
      </c>
      <c r="J249" t="s">
        <v>1053</v>
      </c>
      <c r="K249">
        <v>2897</v>
      </c>
      <c r="L249">
        <v>2</v>
      </c>
      <c r="M249">
        <v>7</v>
      </c>
      <c r="N249">
        <v>23263000</v>
      </c>
      <c r="O249">
        <v>5800</v>
      </c>
      <c r="P249">
        <v>93100</v>
      </c>
      <c r="Q249">
        <v>69800</v>
      </c>
      <c r="R249">
        <v>1100000</v>
      </c>
      <c r="S249" t="s">
        <v>987</v>
      </c>
      <c r="T249">
        <v>2011</v>
      </c>
      <c r="U249" t="s">
        <v>1010</v>
      </c>
      <c r="V249">
        <v>17</v>
      </c>
      <c r="W249">
        <v>113.1</v>
      </c>
      <c r="X249">
        <v>25766605</v>
      </c>
      <c r="Y249">
        <v>5.27</v>
      </c>
      <c r="Z249">
        <v>21844756</v>
      </c>
      <c r="AA249">
        <v>-25.274398000000001</v>
      </c>
      <c r="AB249">
        <v>133.775136</v>
      </c>
    </row>
    <row r="250" spans="1:28" x14ac:dyDescent="0.3">
      <c r="A250">
        <v>249</v>
      </c>
      <c r="B250" t="s">
        <v>374</v>
      </c>
      <c r="C250">
        <v>24600000</v>
      </c>
      <c r="D250">
        <v>23755792542</v>
      </c>
      <c r="E250" t="s">
        <v>977</v>
      </c>
      <c r="F250" t="s">
        <v>374</v>
      </c>
      <c r="G250">
        <v>175</v>
      </c>
      <c r="H250" t="s">
        <v>984</v>
      </c>
      <c r="I250" t="s">
        <v>985</v>
      </c>
      <c r="J250" t="s">
        <v>977</v>
      </c>
      <c r="K250">
        <v>82</v>
      </c>
      <c r="L250">
        <v>74</v>
      </c>
      <c r="M250">
        <v>75</v>
      </c>
      <c r="N250">
        <v>88940000</v>
      </c>
      <c r="O250">
        <v>22200</v>
      </c>
      <c r="P250">
        <v>355800</v>
      </c>
      <c r="Q250">
        <v>266800</v>
      </c>
      <c r="R250">
        <v>4300000</v>
      </c>
      <c r="S250">
        <v>100000</v>
      </c>
      <c r="T250">
        <v>2009</v>
      </c>
      <c r="U250" t="s">
        <v>1005</v>
      </c>
      <c r="V250">
        <v>13</v>
      </c>
      <c r="W250">
        <v>88.2</v>
      </c>
      <c r="X250">
        <v>328239523</v>
      </c>
      <c r="Y250">
        <v>14.7</v>
      </c>
      <c r="Z250">
        <v>270663028</v>
      </c>
      <c r="AA250">
        <v>37.090240000000001</v>
      </c>
      <c r="AB250">
        <v>-95.712890999999999</v>
      </c>
    </row>
    <row r="251" spans="1:28" x14ac:dyDescent="0.3">
      <c r="A251">
        <v>250</v>
      </c>
      <c r="B251" t="s">
        <v>375</v>
      </c>
      <c r="C251">
        <v>24600000</v>
      </c>
      <c r="D251">
        <v>3647987299</v>
      </c>
      <c r="E251" t="s">
        <v>1088</v>
      </c>
      <c r="F251" t="s">
        <v>375</v>
      </c>
      <c r="G251">
        <v>120</v>
      </c>
      <c r="H251" t="s">
        <v>984</v>
      </c>
      <c r="I251" t="s">
        <v>985</v>
      </c>
      <c r="J251" t="s">
        <v>1089</v>
      </c>
      <c r="K251">
        <v>2178</v>
      </c>
      <c r="L251">
        <v>74</v>
      </c>
      <c r="M251">
        <v>3</v>
      </c>
      <c r="N251">
        <v>88625000</v>
      </c>
      <c r="O251">
        <v>22200</v>
      </c>
      <c r="P251">
        <v>354500</v>
      </c>
      <c r="Q251">
        <v>265900</v>
      </c>
      <c r="R251">
        <v>4300000</v>
      </c>
      <c r="S251">
        <v>200000</v>
      </c>
      <c r="T251">
        <v>2011</v>
      </c>
      <c r="U251" t="s">
        <v>1025</v>
      </c>
      <c r="V251">
        <v>20</v>
      </c>
      <c r="W251">
        <v>88.2</v>
      </c>
      <c r="X251">
        <v>328239523</v>
      </c>
      <c r="Y251">
        <v>14.7</v>
      </c>
      <c r="Z251">
        <v>270663028</v>
      </c>
      <c r="AA251">
        <v>37.090240000000001</v>
      </c>
      <c r="AB251">
        <v>-95.712890999999999</v>
      </c>
    </row>
    <row r="252" spans="1:28" x14ac:dyDescent="0.3">
      <c r="A252">
        <v>251</v>
      </c>
      <c r="B252" t="s">
        <v>330</v>
      </c>
      <c r="C252">
        <v>24500000</v>
      </c>
      <c r="D252">
        <v>23962070944</v>
      </c>
      <c r="E252" t="s">
        <v>977</v>
      </c>
      <c r="F252" t="s">
        <v>330</v>
      </c>
      <c r="G252">
        <v>18950</v>
      </c>
      <c r="H252" t="s">
        <v>1006</v>
      </c>
      <c r="I252" t="s">
        <v>1007</v>
      </c>
      <c r="J252" t="s">
        <v>988</v>
      </c>
      <c r="K252">
        <v>79</v>
      </c>
      <c r="L252">
        <v>6</v>
      </c>
      <c r="M252">
        <v>67</v>
      </c>
      <c r="N252">
        <v>105567000</v>
      </c>
      <c r="O252">
        <v>26400</v>
      </c>
      <c r="P252">
        <v>422300</v>
      </c>
      <c r="Q252">
        <v>316700</v>
      </c>
      <c r="R252">
        <v>5100000</v>
      </c>
      <c r="S252" t="s">
        <v>987</v>
      </c>
      <c r="T252">
        <v>2011</v>
      </c>
      <c r="U252" t="s">
        <v>1003</v>
      </c>
      <c r="V252">
        <v>31</v>
      </c>
      <c r="W252">
        <v>94.3</v>
      </c>
      <c r="X252">
        <v>51709098</v>
      </c>
      <c r="Y252">
        <v>4.1500000000000004</v>
      </c>
      <c r="Z252">
        <v>42106719</v>
      </c>
      <c r="AA252">
        <v>35.907756999999997</v>
      </c>
      <c r="AB252">
        <v>127.76692199999999</v>
      </c>
    </row>
    <row r="253" spans="1:28" x14ac:dyDescent="0.3">
      <c r="A253">
        <v>252</v>
      </c>
      <c r="B253" t="s">
        <v>220</v>
      </c>
      <c r="C253">
        <v>24400000</v>
      </c>
      <c r="D253">
        <v>12385924995</v>
      </c>
      <c r="E253" t="s">
        <v>988</v>
      </c>
      <c r="F253" t="s">
        <v>220</v>
      </c>
      <c r="G253">
        <v>658</v>
      </c>
      <c r="H253" t="s">
        <v>984</v>
      </c>
      <c r="I253" t="s">
        <v>985</v>
      </c>
      <c r="J253" t="s">
        <v>988</v>
      </c>
      <c r="K253">
        <v>312</v>
      </c>
      <c r="L253">
        <v>75</v>
      </c>
      <c r="M253">
        <v>68</v>
      </c>
      <c r="N253">
        <v>169865000</v>
      </c>
      <c r="O253">
        <v>42500</v>
      </c>
      <c r="P253">
        <v>679500</v>
      </c>
      <c r="Q253">
        <v>509600</v>
      </c>
      <c r="R253">
        <v>8200000</v>
      </c>
      <c r="S253">
        <v>400000</v>
      </c>
      <c r="T253">
        <v>2018</v>
      </c>
      <c r="U253" t="s">
        <v>1005</v>
      </c>
      <c r="V253">
        <v>19</v>
      </c>
      <c r="W253">
        <v>88.2</v>
      </c>
      <c r="X253">
        <v>328239523</v>
      </c>
      <c r="Y253">
        <v>14.7</v>
      </c>
      <c r="Z253">
        <v>270663028</v>
      </c>
      <c r="AA253">
        <v>37.090240000000001</v>
      </c>
      <c r="AB253">
        <v>-95.712890999999999</v>
      </c>
    </row>
    <row r="254" spans="1:28" x14ac:dyDescent="0.3">
      <c r="A254">
        <v>253</v>
      </c>
      <c r="B254" t="s">
        <v>855</v>
      </c>
      <c r="C254">
        <v>24300000</v>
      </c>
      <c r="D254">
        <v>2380248899</v>
      </c>
      <c r="E254" t="s">
        <v>988</v>
      </c>
      <c r="F254" t="s">
        <v>855</v>
      </c>
      <c r="G254">
        <v>17</v>
      </c>
      <c r="H254" t="s">
        <v>987</v>
      </c>
      <c r="I254" t="s">
        <v>987</v>
      </c>
      <c r="J254" t="s">
        <v>1002</v>
      </c>
      <c r="K254">
        <v>4054185</v>
      </c>
      <c r="L254" t="s">
        <v>987</v>
      </c>
      <c r="M254">
        <v>7710</v>
      </c>
      <c r="N254">
        <v>5</v>
      </c>
      <c r="O254">
        <v>0</v>
      </c>
      <c r="P254">
        <v>0.02</v>
      </c>
      <c r="Q254">
        <v>0.02</v>
      </c>
      <c r="R254">
        <v>0.24</v>
      </c>
      <c r="S254" t="s">
        <v>987</v>
      </c>
      <c r="T254">
        <v>2009</v>
      </c>
      <c r="U254" t="s">
        <v>1005</v>
      </c>
      <c r="V254">
        <v>31</v>
      </c>
      <c r="W254" t="s">
        <v>987</v>
      </c>
      <c r="X254" t="s">
        <v>987</v>
      </c>
      <c r="Y254" t="s">
        <v>987</v>
      </c>
      <c r="Z254" t="s">
        <v>987</v>
      </c>
      <c r="AA254" t="s">
        <v>987</v>
      </c>
      <c r="AB254" t="s">
        <v>987</v>
      </c>
    </row>
    <row r="255" spans="1:28" x14ac:dyDescent="0.3">
      <c r="A255">
        <v>254</v>
      </c>
      <c r="B255" t="s">
        <v>361</v>
      </c>
      <c r="C255">
        <v>24300000</v>
      </c>
      <c r="D255">
        <v>6608773195</v>
      </c>
      <c r="E255" t="s">
        <v>982</v>
      </c>
      <c r="F255" t="s">
        <v>361</v>
      </c>
      <c r="G255">
        <v>1667</v>
      </c>
      <c r="H255" t="s">
        <v>978</v>
      </c>
      <c r="I255" t="s">
        <v>979</v>
      </c>
      <c r="J255" t="s">
        <v>1022</v>
      </c>
      <c r="K255">
        <v>903</v>
      </c>
      <c r="L255">
        <v>53</v>
      </c>
      <c r="M255">
        <v>17</v>
      </c>
      <c r="N255">
        <v>94853000</v>
      </c>
      <c r="O255">
        <v>23700</v>
      </c>
      <c r="P255">
        <v>379400</v>
      </c>
      <c r="Q255">
        <v>284600</v>
      </c>
      <c r="R255">
        <v>4600000</v>
      </c>
      <c r="S255">
        <v>300000</v>
      </c>
      <c r="T255">
        <v>2014</v>
      </c>
      <c r="U255" t="s">
        <v>980</v>
      </c>
      <c r="V255">
        <v>25</v>
      </c>
      <c r="W255">
        <v>28.1</v>
      </c>
      <c r="X255">
        <v>1366417754</v>
      </c>
      <c r="Y255">
        <v>5.36</v>
      </c>
      <c r="Z255">
        <v>471031528</v>
      </c>
      <c r="AA255">
        <v>20.593684</v>
      </c>
      <c r="AB255">
        <v>78.962879999999998</v>
      </c>
    </row>
    <row r="256" spans="1:28" x14ac:dyDescent="0.3">
      <c r="A256">
        <v>255</v>
      </c>
      <c r="B256" t="s">
        <v>579</v>
      </c>
      <c r="C256">
        <v>24200000</v>
      </c>
      <c r="D256">
        <v>2700914170</v>
      </c>
      <c r="E256" t="s">
        <v>988</v>
      </c>
      <c r="F256" t="s">
        <v>579</v>
      </c>
      <c r="G256">
        <v>67</v>
      </c>
      <c r="H256" t="s">
        <v>1058</v>
      </c>
      <c r="I256" t="s">
        <v>1059</v>
      </c>
      <c r="J256" t="s">
        <v>988</v>
      </c>
      <c r="K256">
        <v>3309</v>
      </c>
      <c r="L256">
        <v>10</v>
      </c>
      <c r="M256">
        <v>70</v>
      </c>
      <c r="N256">
        <v>33590000</v>
      </c>
      <c r="O256">
        <v>8400</v>
      </c>
      <c r="P256">
        <v>134400</v>
      </c>
      <c r="Q256">
        <v>100800</v>
      </c>
      <c r="R256">
        <v>1600000</v>
      </c>
      <c r="S256">
        <v>100000</v>
      </c>
      <c r="T256">
        <v>2021</v>
      </c>
      <c r="U256" t="s">
        <v>1015</v>
      </c>
      <c r="V256">
        <v>9</v>
      </c>
      <c r="W256">
        <v>40.200000000000003</v>
      </c>
      <c r="X256">
        <v>126014024</v>
      </c>
      <c r="Y256">
        <v>3.42</v>
      </c>
      <c r="Z256">
        <v>102626859</v>
      </c>
      <c r="AA256">
        <v>23.634501</v>
      </c>
      <c r="AB256">
        <v>-102.552784</v>
      </c>
    </row>
    <row r="257" spans="1:28" x14ac:dyDescent="0.3">
      <c r="A257">
        <v>256</v>
      </c>
      <c r="B257" t="s">
        <v>244</v>
      </c>
      <c r="C257">
        <v>24200000</v>
      </c>
      <c r="D257">
        <v>15724160183</v>
      </c>
      <c r="E257" t="s">
        <v>987</v>
      </c>
      <c r="F257" t="s">
        <v>244</v>
      </c>
      <c r="G257">
        <v>469</v>
      </c>
      <c r="H257" t="s">
        <v>1062</v>
      </c>
      <c r="I257" t="s">
        <v>1063</v>
      </c>
      <c r="J257" t="s">
        <v>1002</v>
      </c>
      <c r="K257">
        <v>203</v>
      </c>
      <c r="L257">
        <v>3</v>
      </c>
      <c r="M257">
        <v>9</v>
      </c>
      <c r="N257">
        <v>151208000</v>
      </c>
      <c r="O257">
        <v>37800</v>
      </c>
      <c r="P257">
        <v>604800</v>
      </c>
      <c r="Q257">
        <v>453600</v>
      </c>
      <c r="R257">
        <v>7300000</v>
      </c>
      <c r="S257">
        <v>200000</v>
      </c>
      <c r="T257">
        <v>2019</v>
      </c>
      <c r="U257" t="s">
        <v>999</v>
      </c>
      <c r="V257">
        <v>1</v>
      </c>
      <c r="W257">
        <v>36.799999999999997</v>
      </c>
      <c r="X257">
        <v>9770529</v>
      </c>
      <c r="Y257">
        <v>2.35</v>
      </c>
      <c r="Z257">
        <v>8479744</v>
      </c>
      <c r="AA257">
        <v>23.424075999999999</v>
      </c>
      <c r="AB257">
        <v>53.847817999999997</v>
      </c>
    </row>
    <row r="258" spans="1:28" x14ac:dyDescent="0.3">
      <c r="A258">
        <v>257</v>
      </c>
      <c r="B258" t="s">
        <v>109</v>
      </c>
      <c r="C258">
        <v>24100000</v>
      </c>
      <c r="D258">
        <v>329774870</v>
      </c>
      <c r="E258" t="s">
        <v>987</v>
      </c>
      <c r="F258" t="s">
        <v>109</v>
      </c>
      <c r="G258">
        <v>36</v>
      </c>
      <c r="H258" t="s">
        <v>984</v>
      </c>
      <c r="I258" t="s">
        <v>985</v>
      </c>
      <c r="J258" t="s">
        <v>990</v>
      </c>
      <c r="K258">
        <v>40117</v>
      </c>
      <c r="L258">
        <v>77</v>
      </c>
      <c r="M258">
        <v>15</v>
      </c>
      <c r="N258">
        <v>328503000</v>
      </c>
      <c r="O258">
        <v>82100</v>
      </c>
      <c r="P258">
        <v>1300000</v>
      </c>
      <c r="Q258">
        <v>985500</v>
      </c>
      <c r="R258">
        <v>15800000</v>
      </c>
      <c r="S258">
        <v>100000</v>
      </c>
      <c r="T258">
        <v>2019</v>
      </c>
      <c r="U258" t="s">
        <v>995</v>
      </c>
      <c r="V258">
        <v>31</v>
      </c>
      <c r="W258">
        <v>88.2</v>
      </c>
      <c r="X258">
        <v>328239523</v>
      </c>
      <c r="Y258">
        <v>14.7</v>
      </c>
      <c r="Z258">
        <v>270663028</v>
      </c>
      <c r="AA258">
        <v>37.090240000000001</v>
      </c>
      <c r="AB258">
        <v>-95.712890999999999</v>
      </c>
    </row>
    <row r="259" spans="1:28" x14ac:dyDescent="0.3">
      <c r="A259">
        <v>258</v>
      </c>
      <c r="B259" t="s">
        <v>82</v>
      </c>
      <c r="C259">
        <v>24100000</v>
      </c>
      <c r="D259">
        <v>10999000479</v>
      </c>
      <c r="E259" t="s">
        <v>1044</v>
      </c>
      <c r="F259" t="s">
        <v>82</v>
      </c>
      <c r="G259">
        <v>802</v>
      </c>
      <c r="H259" t="s">
        <v>1023</v>
      </c>
      <c r="I259" t="s">
        <v>1024</v>
      </c>
      <c r="J259" t="s">
        <v>988</v>
      </c>
      <c r="K259">
        <v>376</v>
      </c>
      <c r="L259">
        <v>4</v>
      </c>
      <c r="M259">
        <v>71</v>
      </c>
      <c r="N259">
        <v>401512000</v>
      </c>
      <c r="O259">
        <v>100400</v>
      </c>
      <c r="P259">
        <v>1600000</v>
      </c>
      <c r="Q259">
        <v>1200000</v>
      </c>
      <c r="R259">
        <v>19300000</v>
      </c>
      <c r="S259">
        <v>600000</v>
      </c>
      <c r="T259">
        <v>2014</v>
      </c>
      <c r="U259" t="s">
        <v>1003</v>
      </c>
      <c r="V259">
        <v>17</v>
      </c>
      <c r="W259">
        <v>90</v>
      </c>
      <c r="X259">
        <v>44938712</v>
      </c>
      <c r="Y259">
        <v>9.7899999999999991</v>
      </c>
      <c r="Z259">
        <v>41339571</v>
      </c>
      <c r="AA259">
        <v>-38.416097000000001</v>
      </c>
      <c r="AB259">
        <v>-63.616672000000001</v>
      </c>
    </row>
    <row r="260" spans="1:28" x14ac:dyDescent="0.3">
      <c r="A260">
        <v>259</v>
      </c>
      <c r="B260" t="s">
        <v>87</v>
      </c>
      <c r="C260">
        <v>24100000</v>
      </c>
      <c r="D260">
        <v>12916159065</v>
      </c>
      <c r="E260" t="s">
        <v>1044</v>
      </c>
      <c r="F260" t="s">
        <v>87</v>
      </c>
      <c r="G260">
        <v>287</v>
      </c>
      <c r="H260" t="s">
        <v>987</v>
      </c>
      <c r="I260" t="s">
        <v>987</v>
      </c>
      <c r="J260" t="s">
        <v>1044</v>
      </c>
      <c r="K260">
        <v>290</v>
      </c>
      <c r="L260" t="s">
        <v>987</v>
      </c>
      <c r="M260">
        <v>14</v>
      </c>
      <c r="N260">
        <v>398765000</v>
      </c>
      <c r="O260">
        <v>99700</v>
      </c>
      <c r="P260">
        <v>1600000</v>
      </c>
      <c r="Q260">
        <v>1200000</v>
      </c>
      <c r="R260">
        <v>19100000</v>
      </c>
      <c r="S260">
        <v>700000</v>
      </c>
      <c r="T260">
        <v>2009</v>
      </c>
      <c r="U260" t="s">
        <v>980</v>
      </c>
      <c r="V260">
        <v>11</v>
      </c>
      <c r="W260" t="s">
        <v>987</v>
      </c>
      <c r="X260" t="s">
        <v>987</v>
      </c>
      <c r="Y260" t="s">
        <v>987</v>
      </c>
      <c r="Z260" t="s">
        <v>987</v>
      </c>
      <c r="AA260" t="s">
        <v>987</v>
      </c>
      <c r="AB260" t="s">
        <v>987</v>
      </c>
    </row>
    <row r="261" spans="1:28" x14ac:dyDescent="0.3">
      <c r="A261">
        <v>260</v>
      </c>
      <c r="B261" t="s">
        <v>76</v>
      </c>
      <c r="C261">
        <v>24100000</v>
      </c>
      <c r="D261">
        <v>56106087508</v>
      </c>
      <c r="E261" t="s">
        <v>977</v>
      </c>
      <c r="F261" t="s">
        <v>76</v>
      </c>
      <c r="G261">
        <v>23491</v>
      </c>
      <c r="H261" t="s">
        <v>1085</v>
      </c>
      <c r="I261" t="s">
        <v>1086</v>
      </c>
      <c r="J261" t="s">
        <v>977</v>
      </c>
      <c r="K261">
        <v>14</v>
      </c>
      <c r="L261">
        <v>2</v>
      </c>
      <c r="M261">
        <v>76</v>
      </c>
      <c r="N261">
        <v>424815000</v>
      </c>
      <c r="O261">
        <v>106200</v>
      </c>
      <c r="P261">
        <v>1700000</v>
      </c>
      <c r="Q261">
        <v>1300000</v>
      </c>
      <c r="R261">
        <v>20400000</v>
      </c>
      <c r="S261">
        <v>200000</v>
      </c>
      <c r="T261">
        <v>2014</v>
      </c>
      <c r="U261" t="s">
        <v>1003</v>
      </c>
      <c r="V261">
        <v>23</v>
      </c>
      <c r="W261">
        <v>23.9</v>
      </c>
      <c r="X261">
        <v>83429615</v>
      </c>
      <c r="Y261">
        <v>13.49</v>
      </c>
      <c r="Z261">
        <v>63097818</v>
      </c>
      <c r="AA261">
        <v>38.963745000000003</v>
      </c>
      <c r="AB261">
        <v>35.243321999999999</v>
      </c>
    </row>
    <row r="262" spans="1:28" x14ac:dyDescent="0.3">
      <c r="A262">
        <v>261</v>
      </c>
      <c r="B262" t="s">
        <v>448</v>
      </c>
      <c r="C262">
        <v>24100000</v>
      </c>
      <c r="D262">
        <v>8425505919</v>
      </c>
      <c r="E262" t="s">
        <v>977</v>
      </c>
      <c r="F262" t="s">
        <v>448</v>
      </c>
      <c r="G262">
        <v>252</v>
      </c>
      <c r="H262" t="s">
        <v>984</v>
      </c>
      <c r="I262" t="s">
        <v>985</v>
      </c>
      <c r="J262" t="s">
        <v>977</v>
      </c>
      <c r="K262">
        <v>602</v>
      </c>
      <c r="L262">
        <v>77</v>
      </c>
      <c r="M262">
        <v>76</v>
      </c>
      <c r="N262">
        <v>63293000</v>
      </c>
      <c r="O262">
        <v>15800</v>
      </c>
      <c r="P262">
        <v>253200</v>
      </c>
      <c r="Q262">
        <v>189900</v>
      </c>
      <c r="R262">
        <v>3000000</v>
      </c>
      <c r="S262" t="s">
        <v>987</v>
      </c>
      <c r="T262">
        <v>2008</v>
      </c>
      <c r="U262" t="s">
        <v>991</v>
      </c>
      <c r="V262">
        <v>24</v>
      </c>
      <c r="W262">
        <v>88.2</v>
      </c>
      <c r="X262">
        <v>328239523</v>
      </c>
      <c r="Y262">
        <v>14.7</v>
      </c>
      <c r="Z262">
        <v>270663028</v>
      </c>
      <c r="AA262">
        <v>37.090240000000001</v>
      </c>
      <c r="AB262">
        <v>-95.712890999999999</v>
      </c>
    </row>
    <row r="263" spans="1:28" x14ac:dyDescent="0.3">
      <c r="A263">
        <v>262</v>
      </c>
      <c r="B263" t="s">
        <v>432</v>
      </c>
      <c r="C263">
        <v>24100000</v>
      </c>
      <c r="D263">
        <v>11041261296</v>
      </c>
      <c r="E263" t="s">
        <v>987</v>
      </c>
      <c r="F263" t="s">
        <v>432</v>
      </c>
      <c r="G263">
        <v>590</v>
      </c>
      <c r="H263" t="s">
        <v>984</v>
      </c>
      <c r="I263" t="s">
        <v>985</v>
      </c>
      <c r="J263" t="s">
        <v>988</v>
      </c>
      <c r="K263">
        <v>379</v>
      </c>
      <c r="L263">
        <v>76</v>
      </c>
      <c r="M263">
        <v>70</v>
      </c>
      <c r="N263">
        <v>66884000</v>
      </c>
      <c r="O263">
        <v>16700</v>
      </c>
      <c r="P263">
        <v>267500</v>
      </c>
      <c r="Q263">
        <v>200700</v>
      </c>
      <c r="R263">
        <v>3200000</v>
      </c>
      <c r="S263">
        <v>200000</v>
      </c>
      <c r="T263">
        <v>2019</v>
      </c>
      <c r="U263" t="s">
        <v>989</v>
      </c>
      <c r="V263">
        <v>1</v>
      </c>
      <c r="W263">
        <v>88.2</v>
      </c>
      <c r="X263">
        <v>328239523</v>
      </c>
      <c r="Y263">
        <v>14.7</v>
      </c>
      <c r="Z263">
        <v>270663028</v>
      </c>
      <c r="AA263">
        <v>37.090240000000001</v>
      </c>
      <c r="AB263">
        <v>-95.712890999999999</v>
      </c>
    </row>
    <row r="264" spans="1:28" x14ac:dyDescent="0.3">
      <c r="A264">
        <v>263</v>
      </c>
      <c r="B264" t="s">
        <v>756</v>
      </c>
      <c r="C264">
        <v>24100000</v>
      </c>
      <c r="D264">
        <v>6002166932</v>
      </c>
      <c r="E264" t="s">
        <v>988</v>
      </c>
      <c r="F264" t="s">
        <v>756</v>
      </c>
      <c r="G264">
        <v>1252</v>
      </c>
      <c r="H264" t="s">
        <v>1013</v>
      </c>
      <c r="I264" t="s">
        <v>1014</v>
      </c>
      <c r="J264" t="s">
        <v>977</v>
      </c>
      <c r="K264">
        <v>1053</v>
      </c>
      <c r="L264">
        <v>10</v>
      </c>
      <c r="M264">
        <v>76</v>
      </c>
      <c r="N264">
        <v>5439000</v>
      </c>
      <c r="O264">
        <v>1400</v>
      </c>
      <c r="P264">
        <v>21800</v>
      </c>
      <c r="Q264">
        <v>16300</v>
      </c>
      <c r="R264">
        <v>261100</v>
      </c>
      <c r="S264" t="s">
        <v>987</v>
      </c>
      <c r="T264">
        <v>2009</v>
      </c>
      <c r="U264" t="s">
        <v>1015</v>
      </c>
      <c r="V264">
        <v>25</v>
      </c>
      <c r="W264">
        <v>60</v>
      </c>
      <c r="X264">
        <v>66834405</v>
      </c>
      <c r="Y264">
        <v>3.85</v>
      </c>
      <c r="Z264">
        <v>55908316</v>
      </c>
      <c r="AA264">
        <v>55.378050999999999</v>
      </c>
      <c r="AB264">
        <v>-3.4359730000000002</v>
      </c>
    </row>
    <row r="265" spans="1:28" x14ac:dyDescent="0.3">
      <c r="A265">
        <v>264</v>
      </c>
      <c r="B265" t="s">
        <v>32</v>
      </c>
      <c r="C265">
        <v>24000000</v>
      </c>
      <c r="D265">
        <v>13943030228</v>
      </c>
      <c r="E265" t="s">
        <v>1044</v>
      </c>
      <c r="F265" t="s">
        <v>32</v>
      </c>
      <c r="G265">
        <v>901</v>
      </c>
      <c r="H265" t="s">
        <v>1019</v>
      </c>
      <c r="I265" t="s">
        <v>1020</v>
      </c>
      <c r="J265" t="s">
        <v>1044</v>
      </c>
      <c r="K265">
        <v>252</v>
      </c>
      <c r="L265">
        <v>13</v>
      </c>
      <c r="M265">
        <v>14</v>
      </c>
      <c r="N265">
        <v>761451000</v>
      </c>
      <c r="O265">
        <v>190400</v>
      </c>
      <c r="P265">
        <v>3000000</v>
      </c>
      <c r="Q265">
        <v>2300000</v>
      </c>
      <c r="R265">
        <v>36500000</v>
      </c>
      <c r="S265">
        <v>1100000</v>
      </c>
      <c r="T265">
        <v>2020</v>
      </c>
      <c r="U265" t="s">
        <v>995</v>
      </c>
      <c r="V265">
        <v>18</v>
      </c>
      <c r="W265">
        <v>51.3</v>
      </c>
      <c r="X265">
        <v>212559417</v>
      </c>
      <c r="Y265">
        <v>12.08</v>
      </c>
      <c r="Z265">
        <v>183241641</v>
      </c>
      <c r="AA265">
        <v>-14.235004</v>
      </c>
      <c r="AB265">
        <v>-51.925280000000001</v>
      </c>
    </row>
    <row r="266" spans="1:28" x14ac:dyDescent="0.3">
      <c r="A266">
        <v>265</v>
      </c>
      <c r="B266" t="s">
        <v>863</v>
      </c>
      <c r="C266">
        <v>24000000</v>
      </c>
      <c r="D266">
        <v>5652938599</v>
      </c>
      <c r="E266" t="s">
        <v>982</v>
      </c>
      <c r="F266" t="s">
        <v>1126</v>
      </c>
      <c r="G266">
        <v>3</v>
      </c>
      <c r="H266" t="s">
        <v>987</v>
      </c>
      <c r="I266" t="s">
        <v>987</v>
      </c>
      <c r="J266" t="s">
        <v>1002</v>
      </c>
      <c r="K266">
        <v>4057888</v>
      </c>
      <c r="L266" t="s">
        <v>987</v>
      </c>
      <c r="M266">
        <v>7725</v>
      </c>
      <c r="N266">
        <v>3</v>
      </c>
      <c r="O266">
        <v>0</v>
      </c>
      <c r="P266">
        <v>0.01</v>
      </c>
      <c r="Q266">
        <v>0.01</v>
      </c>
      <c r="R266">
        <v>0.14000000000000001</v>
      </c>
      <c r="S266" t="s">
        <v>987</v>
      </c>
      <c r="T266">
        <v>2018</v>
      </c>
      <c r="U266" t="s">
        <v>999</v>
      </c>
      <c r="V266">
        <v>30</v>
      </c>
      <c r="W266" t="s">
        <v>987</v>
      </c>
      <c r="X266" t="s">
        <v>987</v>
      </c>
      <c r="Y266" t="s">
        <v>987</v>
      </c>
      <c r="Z266" t="s">
        <v>987</v>
      </c>
      <c r="AA266" t="s">
        <v>987</v>
      </c>
      <c r="AB266" t="s">
        <v>987</v>
      </c>
    </row>
    <row r="267" spans="1:28" x14ac:dyDescent="0.3">
      <c r="A267">
        <v>266</v>
      </c>
      <c r="B267" t="s">
        <v>245</v>
      </c>
      <c r="C267">
        <v>24000000</v>
      </c>
      <c r="D267">
        <v>8279004442</v>
      </c>
      <c r="E267" t="s">
        <v>996</v>
      </c>
      <c r="F267" t="s">
        <v>245</v>
      </c>
      <c r="G267">
        <v>4009</v>
      </c>
      <c r="H267" t="s">
        <v>984</v>
      </c>
      <c r="I267" t="s">
        <v>985</v>
      </c>
      <c r="J267" t="s">
        <v>988</v>
      </c>
      <c r="K267">
        <v>621</v>
      </c>
      <c r="L267">
        <v>78</v>
      </c>
      <c r="M267">
        <v>72</v>
      </c>
      <c r="N267">
        <v>151697000</v>
      </c>
      <c r="O267">
        <v>37900</v>
      </c>
      <c r="P267">
        <v>606800</v>
      </c>
      <c r="Q267">
        <v>455100</v>
      </c>
      <c r="R267">
        <v>7300000</v>
      </c>
      <c r="S267">
        <v>200000</v>
      </c>
      <c r="T267">
        <v>2012</v>
      </c>
      <c r="U267" t="s">
        <v>1015</v>
      </c>
      <c r="V267">
        <v>4</v>
      </c>
      <c r="W267">
        <v>88.2</v>
      </c>
      <c r="X267">
        <v>328239523</v>
      </c>
      <c r="Y267">
        <v>14.7</v>
      </c>
      <c r="Z267">
        <v>270663028</v>
      </c>
      <c r="AA267">
        <v>37.090240000000001</v>
      </c>
      <c r="AB267">
        <v>-95.712890999999999</v>
      </c>
    </row>
    <row r="268" spans="1:28" x14ac:dyDescent="0.3">
      <c r="A268">
        <v>267</v>
      </c>
      <c r="B268" t="s">
        <v>460</v>
      </c>
      <c r="C268">
        <v>23900000</v>
      </c>
      <c r="D268">
        <v>4067878931</v>
      </c>
      <c r="E268" t="s">
        <v>988</v>
      </c>
      <c r="F268" t="s">
        <v>460</v>
      </c>
      <c r="G268">
        <v>505</v>
      </c>
      <c r="H268" t="s">
        <v>984</v>
      </c>
      <c r="I268" t="s">
        <v>985</v>
      </c>
      <c r="J268" t="s">
        <v>988</v>
      </c>
      <c r="K268">
        <v>1860</v>
      </c>
      <c r="L268">
        <v>79</v>
      </c>
      <c r="M268">
        <v>73</v>
      </c>
      <c r="N268">
        <v>58126000</v>
      </c>
      <c r="O268">
        <v>14500</v>
      </c>
      <c r="P268">
        <v>232500</v>
      </c>
      <c r="Q268">
        <v>174400</v>
      </c>
      <c r="R268">
        <v>2800000</v>
      </c>
      <c r="S268">
        <v>100000</v>
      </c>
      <c r="T268">
        <v>2015</v>
      </c>
      <c r="U268" t="s">
        <v>1005</v>
      </c>
      <c r="V268">
        <v>1</v>
      </c>
      <c r="W268">
        <v>88.2</v>
      </c>
      <c r="X268">
        <v>328239523</v>
      </c>
      <c r="Y268">
        <v>14.7</v>
      </c>
      <c r="Z268">
        <v>270663028</v>
      </c>
      <c r="AA268">
        <v>37.090240000000001</v>
      </c>
      <c r="AB268">
        <v>-95.712890999999999</v>
      </c>
    </row>
    <row r="269" spans="1:28" x14ac:dyDescent="0.3">
      <c r="A269">
        <v>268</v>
      </c>
      <c r="B269" t="s">
        <v>721</v>
      </c>
      <c r="C269">
        <v>23900000</v>
      </c>
      <c r="D269">
        <v>6582932625</v>
      </c>
      <c r="E269" t="s">
        <v>988</v>
      </c>
      <c r="F269" t="s">
        <v>721</v>
      </c>
      <c r="G269">
        <v>257</v>
      </c>
      <c r="H269" t="s">
        <v>984</v>
      </c>
      <c r="I269" t="s">
        <v>985</v>
      </c>
      <c r="J269" t="s">
        <v>988</v>
      </c>
      <c r="K269">
        <v>911</v>
      </c>
      <c r="L269">
        <v>79</v>
      </c>
      <c r="M269">
        <v>73</v>
      </c>
      <c r="N269">
        <v>10853000</v>
      </c>
      <c r="O269">
        <v>2700</v>
      </c>
      <c r="P269">
        <v>43400</v>
      </c>
      <c r="Q269">
        <v>32600</v>
      </c>
      <c r="R269">
        <v>520900</v>
      </c>
      <c r="S269" t="s">
        <v>987</v>
      </c>
      <c r="T269">
        <v>2011</v>
      </c>
      <c r="U269" t="s">
        <v>1010</v>
      </c>
      <c r="V269">
        <v>9</v>
      </c>
      <c r="W269">
        <v>88.2</v>
      </c>
      <c r="X269">
        <v>328239523</v>
      </c>
      <c r="Y269">
        <v>14.7</v>
      </c>
      <c r="Z269">
        <v>270663028</v>
      </c>
      <c r="AA269">
        <v>37.090240000000001</v>
      </c>
      <c r="AB269">
        <v>-95.712890999999999</v>
      </c>
    </row>
    <row r="270" spans="1:28" x14ac:dyDescent="0.3">
      <c r="A270">
        <v>269</v>
      </c>
      <c r="B270" t="s">
        <v>215</v>
      </c>
      <c r="C270">
        <v>23900000</v>
      </c>
      <c r="D270">
        <v>7213499085</v>
      </c>
      <c r="E270" t="s">
        <v>994</v>
      </c>
      <c r="F270" t="s">
        <v>215</v>
      </c>
      <c r="G270">
        <v>511</v>
      </c>
      <c r="H270" t="s">
        <v>984</v>
      </c>
      <c r="I270" t="s">
        <v>985</v>
      </c>
      <c r="J270" t="s">
        <v>988</v>
      </c>
      <c r="K270">
        <v>787</v>
      </c>
      <c r="L270">
        <v>79</v>
      </c>
      <c r="M270">
        <v>73</v>
      </c>
      <c r="N270">
        <v>177769000</v>
      </c>
      <c r="O270">
        <v>44400</v>
      </c>
      <c r="P270">
        <v>711100</v>
      </c>
      <c r="Q270">
        <v>533300</v>
      </c>
      <c r="R270">
        <v>8500000</v>
      </c>
      <c r="S270">
        <v>300000</v>
      </c>
      <c r="T270">
        <v>2011</v>
      </c>
      <c r="U270" t="s">
        <v>1005</v>
      </c>
      <c r="V270">
        <v>22</v>
      </c>
      <c r="W270">
        <v>88.2</v>
      </c>
      <c r="X270">
        <v>328239523</v>
      </c>
      <c r="Y270">
        <v>14.7</v>
      </c>
      <c r="Z270">
        <v>270663028</v>
      </c>
      <c r="AA270">
        <v>37.090240000000001</v>
      </c>
      <c r="AB270">
        <v>-95.712890999999999</v>
      </c>
    </row>
    <row r="271" spans="1:28" x14ac:dyDescent="0.3">
      <c r="A271">
        <v>270</v>
      </c>
      <c r="B271" t="s">
        <v>804</v>
      </c>
      <c r="C271">
        <v>23800000</v>
      </c>
      <c r="D271">
        <v>5663125358</v>
      </c>
      <c r="E271" t="s">
        <v>988</v>
      </c>
      <c r="F271" t="s">
        <v>804</v>
      </c>
      <c r="G271">
        <v>70</v>
      </c>
      <c r="H271" t="s">
        <v>987</v>
      </c>
      <c r="I271" t="s">
        <v>987</v>
      </c>
      <c r="J271" t="s">
        <v>988</v>
      </c>
      <c r="K271">
        <v>367929</v>
      </c>
      <c r="L271" t="s">
        <v>987</v>
      </c>
      <c r="M271">
        <v>2500</v>
      </c>
      <c r="N271">
        <v>31633</v>
      </c>
      <c r="O271">
        <v>8</v>
      </c>
      <c r="P271">
        <v>127</v>
      </c>
      <c r="Q271">
        <v>95</v>
      </c>
      <c r="R271">
        <v>1500</v>
      </c>
      <c r="S271" t="s">
        <v>987</v>
      </c>
      <c r="T271">
        <v>2016</v>
      </c>
      <c r="U271" t="s">
        <v>995</v>
      </c>
      <c r="V271">
        <v>17</v>
      </c>
      <c r="W271" t="s">
        <v>987</v>
      </c>
      <c r="X271" t="s">
        <v>987</v>
      </c>
      <c r="Y271" t="s">
        <v>987</v>
      </c>
      <c r="Z271" t="s">
        <v>987</v>
      </c>
      <c r="AA271" t="s">
        <v>987</v>
      </c>
      <c r="AB271" t="s">
        <v>987</v>
      </c>
    </row>
    <row r="272" spans="1:28" x14ac:dyDescent="0.3">
      <c r="A272">
        <v>271</v>
      </c>
      <c r="B272" t="s">
        <v>349</v>
      </c>
      <c r="C272">
        <v>23800000</v>
      </c>
      <c r="D272">
        <v>10414479943</v>
      </c>
      <c r="E272" t="s">
        <v>1011</v>
      </c>
      <c r="F272" t="s">
        <v>349</v>
      </c>
      <c r="G272">
        <v>2425</v>
      </c>
      <c r="H272" t="s">
        <v>984</v>
      </c>
      <c r="I272" t="s">
        <v>985</v>
      </c>
      <c r="J272" t="s">
        <v>1053</v>
      </c>
      <c r="K272">
        <v>412</v>
      </c>
      <c r="L272">
        <v>80</v>
      </c>
      <c r="M272">
        <v>8</v>
      </c>
      <c r="N272">
        <v>98052000</v>
      </c>
      <c r="O272">
        <v>24500</v>
      </c>
      <c r="P272">
        <v>392200</v>
      </c>
      <c r="Q272">
        <v>294200</v>
      </c>
      <c r="R272">
        <v>4700000</v>
      </c>
      <c r="S272">
        <v>100000</v>
      </c>
      <c r="T272">
        <v>2015</v>
      </c>
      <c r="U272" t="s">
        <v>991</v>
      </c>
      <c r="V272">
        <v>12</v>
      </c>
      <c r="W272">
        <v>88.2</v>
      </c>
      <c r="X272">
        <v>328239523</v>
      </c>
      <c r="Y272">
        <v>14.7</v>
      </c>
      <c r="Z272">
        <v>270663028</v>
      </c>
      <c r="AA272">
        <v>37.090240000000001</v>
      </c>
      <c r="AB272">
        <v>-95.712890999999999</v>
      </c>
    </row>
    <row r="273" spans="1:28" x14ac:dyDescent="0.3">
      <c r="A273">
        <v>272</v>
      </c>
      <c r="B273" t="s">
        <v>295</v>
      </c>
      <c r="C273">
        <v>23800000</v>
      </c>
      <c r="D273">
        <v>17688774915</v>
      </c>
      <c r="E273" t="s">
        <v>977</v>
      </c>
      <c r="F273" t="s">
        <v>295</v>
      </c>
      <c r="G273">
        <v>443</v>
      </c>
      <c r="H273" t="s">
        <v>984</v>
      </c>
      <c r="I273" t="s">
        <v>985</v>
      </c>
      <c r="J273" t="s">
        <v>977</v>
      </c>
      <c r="K273">
        <v>154</v>
      </c>
      <c r="L273">
        <v>80</v>
      </c>
      <c r="M273">
        <v>77</v>
      </c>
      <c r="N273">
        <v>122914000</v>
      </c>
      <c r="O273">
        <v>30700</v>
      </c>
      <c r="P273">
        <v>491700</v>
      </c>
      <c r="Q273">
        <v>368700</v>
      </c>
      <c r="R273">
        <v>5900000</v>
      </c>
      <c r="S273">
        <v>100000</v>
      </c>
      <c r="T273">
        <v>2007</v>
      </c>
      <c r="U273" t="s">
        <v>999</v>
      </c>
      <c r="V273">
        <v>12</v>
      </c>
      <c r="W273">
        <v>88.2</v>
      </c>
      <c r="X273">
        <v>328239523</v>
      </c>
      <c r="Y273">
        <v>14.7</v>
      </c>
      <c r="Z273">
        <v>270663028</v>
      </c>
      <c r="AA273">
        <v>37.090240000000001</v>
      </c>
      <c r="AB273">
        <v>-95.712890999999999</v>
      </c>
    </row>
    <row r="274" spans="1:28" x14ac:dyDescent="0.3">
      <c r="A274">
        <v>273</v>
      </c>
      <c r="B274" t="s">
        <v>743</v>
      </c>
      <c r="C274">
        <v>23700000</v>
      </c>
      <c r="D274">
        <v>2543809954</v>
      </c>
      <c r="E274" t="s">
        <v>996</v>
      </c>
      <c r="F274" t="s">
        <v>743</v>
      </c>
      <c r="G274">
        <v>1732</v>
      </c>
      <c r="H274" t="s">
        <v>984</v>
      </c>
      <c r="I274" t="s">
        <v>985</v>
      </c>
      <c r="J274" t="s">
        <v>986</v>
      </c>
      <c r="K274">
        <v>3590</v>
      </c>
      <c r="L274">
        <v>81</v>
      </c>
      <c r="M274">
        <v>19</v>
      </c>
      <c r="N274">
        <v>8368000</v>
      </c>
      <c r="O274">
        <v>2100</v>
      </c>
      <c r="P274">
        <v>33500</v>
      </c>
      <c r="Q274">
        <v>25100</v>
      </c>
      <c r="R274">
        <v>401700</v>
      </c>
      <c r="S274" t="s">
        <v>987</v>
      </c>
      <c r="T274">
        <v>2011</v>
      </c>
      <c r="U274" t="s">
        <v>1029</v>
      </c>
      <c r="V274">
        <v>11</v>
      </c>
      <c r="W274">
        <v>88.2</v>
      </c>
      <c r="X274">
        <v>328239523</v>
      </c>
      <c r="Y274">
        <v>14.7</v>
      </c>
      <c r="Z274">
        <v>270663028</v>
      </c>
      <c r="AA274">
        <v>37.090240000000001</v>
      </c>
      <c r="AB274">
        <v>-95.712890999999999</v>
      </c>
    </row>
    <row r="275" spans="1:28" x14ac:dyDescent="0.3">
      <c r="A275">
        <v>274</v>
      </c>
      <c r="B275" t="s">
        <v>934</v>
      </c>
      <c r="C275">
        <v>23700000</v>
      </c>
      <c r="D275">
        <v>7451792132</v>
      </c>
      <c r="E275" t="s">
        <v>996</v>
      </c>
      <c r="F275" t="s">
        <v>1127</v>
      </c>
      <c r="G275">
        <v>0</v>
      </c>
      <c r="H275" t="s">
        <v>1017</v>
      </c>
      <c r="I275" t="s">
        <v>1018</v>
      </c>
      <c r="J275" t="s">
        <v>986</v>
      </c>
      <c r="K275">
        <v>4057944</v>
      </c>
      <c r="L275">
        <v>3885</v>
      </c>
      <c r="M275">
        <v>7268</v>
      </c>
      <c r="N275" t="s">
        <v>987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2012</v>
      </c>
      <c r="U275" t="s">
        <v>1029</v>
      </c>
      <c r="V275">
        <v>30</v>
      </c>
      <c r="W275">
        <v>68.900000000000006</v>
      </c>
      <c r="X275">
        <v>36991981</v>
      </c>
      <c r="Y275">
        <v>5.56</v>
      </c>
      <c r="Z275">
        <v>30628482</v>
      </c>
      <c r="AA275">
        <v>56.130366000000002</v>
      </c>
      <c r="AB275">
        <v>-106.346771</v>
      </c>
    </row>
    <row r="276" spans="1:28" x14ac:dyDescent="0.3">
      <c r="A276">
        <v>275</v>
      </c>
      <c r="B276" t="s">
        <v>578</v>
      </c>
      <c r="C276">
        <v>23700000</v>
      </c>
      <c r="D276">
        <v>15510153803</v>
      </c>
      <c r="E276" t="s">
        <v>994</v>
      </c>
      <c r="F276" t="s">
        <v>578</v>
      </c>
      <c r="G276">
        <v>1099</v>
      </c>
      <c r="H276" t="s">
        <v>1013</v>
      </c>
      <c r="I276" t="s">
        <v>1014</v>
      </c>
      <c r="J276" t="s">
        <v>988</v>
      </c>
      <c r="K276">
        <v>208</v>
      </c>
      <c r="L276">
        <v>11</v>
      </c>
      <c r="M276">
        <v>74</v>
      </c>
      <c r="N276">
        <v>32817000</v>
      </c>
      <c r="O276">
        <v>8200</v>
      </c>
      <c r="P276">
        <v>131300</v>
      </c>
      <c r="Q276">
        <v>98400</v>
      </c>
      <c r="R276">
        <v>1600000</v>
      </c>
      <c r="S276" t="s">
        <v>987</v>
      </c>
      <c r="T276">
        <v>2014</v>
      </c>
      <c r="U276" t="s">
        <v>991</v>
      </c>
      <c r="V276">
        <v>22</v>
      </c>
      <c r="W276">
        <v>60</v>
      </c>
      <c r="X276">
        <v>66834405</v>
      </c>
      <c r="Y276">
        <v>3.85</v>
      </c>
      <c r="Z276">
        <v>55908316</v>
      </c>
      <c r="AA276">
        <v>55.378050999999999</v>
      </c>
      <c r="AB276">
        <v>-3.4359730000000002</v>
      </c>
    </row>
    <row r="277" spans="1:28" x14ac:dyDescent="0.3">
      <c r="A277">
        <v>276</v>
      </c>
      <c r="B277" t="s">
        <v>34</v>
      </c>
      <c r="C277">
        <v>23700000</v>
      </c>
      <c r="D277">
        <v>20289689389</v>
      </c>
      <c r="E277" t="s">
        <v>1128</v>
      </c>
      <c r="F277" t="s">
        <v>34</v>
      </c>
      <c r="G277">
        <v>769</v>
      </c>
      <c r="H277" t="s">
        <v>984</v>
      </c>
      <c r="I277" t="s">
        <v>985</v>
      </c>
      <c r="J277" t="s">
        <v>1129</v>
      </c>
      <c r="K277">
        <v>118</v>
      </c>
      <c r="L277">
        <v>81</v>
      </c>
      <c r="M277">
        <v>1</v>
      </c>
      <c r="N277">
        <v>755054000</v>
      </c>
      <c r="O277">
        <v>188800</v>
      </c>
      <c r="P277">
        <v>3000000</v>
      </c>
      <c r="Q277">
        <v>2300000</v>
      </c>
      <c r="R277">
        <v>36200000</v>
      </c>
      <c r="S277">
        <v>1100000</v>
      </c>
      <c r="T277">
        <v>2020</v>
      </c>
      <c r="U277" t="s">
        <v>1010</v>
      </c>
      <c r="V277">
        <v>29</v>
      </c>
      <c r="W277">
        <v>88.2</v>
      </c>
      <c r="X277">
        <v>328239523</v>
      </c>
      <c r="Y277">
        <v>14.7</v>
      </c>
      <c r="Z277">
        <v>270663028</v>
      </c>
      <c r="AA277">
        <v>37.090240000000001</v>
      </c>
      <c r="AB277">
        <v>-95.712890999999999</v>
      </c>
    </row>
    <row r="278" spans="1:28" x14ac:dyDescent="0.3">
      <c r="A278">
        <v>277</v>
      </c>
      <c r="B278" t="s">
        <v>410</v>
      </c>
      <c r="C278">
        <v>23600000</v>
      </c>
      <c r="D278">
        <v>15901824841</v>
      </c>
      <c r="E278" t="s">
        <v>977</v>
      </c>
      <c r="F278" t="s">
        <v>410</v>
      </c>
      <c r="G278">
        <v>392</v>
      </c>
      <c r="H278" t="s">
        <v>987</v>
      </c>
      <c r="I278" t="s">
        <v>987</v>
      </c>
      <c r="J278" t="s">
        <v>977</v>
      </c>
      <c r="K278">
        <v>193</v>
      </c>
      <c r="L278">
        <v>3</v>
      </c>
      <c r="M278">
        <v>78</v>
      </c>
      <c r="N278">
        <v>77927000</v>
      </c>
      <c r="O278">
        <v>19500</v>
      </c>
      <c r="P278">
        <v>311700</v>
      </c>
      <c r="Q278">
        <v>233800</v>
      </c>
      <c r="R278">
        <v>3700000</v>
      </c>
      <c r="S278">
        <v>100000</v>
      </c>
      <c r="T278">
        <v>2012</v>
      </c>
      <c r="U278" t="s">
        <v>1003</v>
      </c>
      <c r="V278">
        <v>10</v>
      </c>
      <c r="W278" t="s">
        <v>987</v>
      </c>
      <c r="X278" t="s">
        <v>987</v>
      </c>
      <c r="Y278" t="s">
        <v>987</v>
      </c>
      <c r="Z278" t="s">
        <v>987</v>
      </c>
      <c r="AA278" t="s">
        <v>987</v>
      </c>
      <c r="AB278" t="s">
        <v>987</v>
      </c>
    </row>
    <row r="279" spans="1:28" x14ac:dyDescent="0.3">
      <c r="A279">
        <v>278</v>
      </c>
      <c r="B279" t="s">
        <v>515</v>
      </c>
      <c r="C279">
        <v>23600000</v>
      </c>
      <c r="D279">
        <v>2135644776</v>
      </c>
      <c r="E279" t="s">
        <v>988</v>
      </c>
      <c r="F279" t="s">
        <v>515</v>
      </c>
      <c r="G279">
        <v>226</v>
      </c>
      <c r="H279" t="s">
        <v>1058</v>
      </c>
      <c r="I279" t="s">
        <v>1059</v>
      </c>
      <c r="J279" t="s">
        <v>1002</v>
      </c>
      <c r="K279">
        <v>4529</v>
      </c>
      <c r="L279">
        <v>11</v>
      </c>
      <c r="M279">
        <v>10</v>
      </c>
      <c r="N279">
        <v>46862000</v>
      </c>
      <c r="O279">
        <v>11700</v>
      </c>
      <c r="P279">
        <v>187400</v>
      </c>
      <c r="Q279">
        <v>140600</v>
      </c>
      <c r="R279">
        <v>2200000</v>
      </c>
      <c r="S279">
        <v>200000</v>
      </c>
      <c r="T279">
        <v>2014</v>
      </c>
      <c r="U279" t="s">
        <v>1008</v>
      </c>
      <c r="V279">
        <v>9</v>
      </c>
      <c r="W279">
        <v>40.200000000000003</v>
      </c>
      <c r="X279">
        <v>126014024</v>
      </c>
      <c r="Y279">
        <v>3.42</v>
      </c>
      <c r="Z279">
        <v>102626859</v>
      </c>
      <c r="AA279">
        <v>23.634501</v>
      </c>
      <c r="AB279">
        <v>-102.552784</v>
      </c>
    </row>
    <row r="280" spans="1:28" x14ac:dyDescent="0.3">
      <c r="A280">
        <v>279</v>
      </c>
      <c r="B280" t="s">
        <v>723</v>
      </c>
      <c r="C280">
        <v>23600000</v>
      </c>
      <c r="D280">
        <v>5994002464</v>
      </c>
      <c r="E280" t="s">
        <v>988</v>
      </c>
      <c r="F280" t="s">
        <v>723</v>
      </c>
      <c r="G280">
        <v>719</v>
      </c>
      <c r="H280" t="s">
        <v>984</v>
      </c>
      <c r="I280" t="s">
        <v>985</v>
      </c>
      <c r="J280" t="s">
        <v>988</v>
      </c>
      <c r="K280">
        <v>1057</v>
      </c>
      <c r="L280">
        <v>82</v>
      </c>
      <c r="M280">
        <v>75</v>
      </c>
      <c r="N280">
        <v>10803000</v>
      </c>
      <c r="O280">
        <v>2700</v>
      </c>
      <c r="P280">
        <v>43200</v>
      </c>
      <c r="Q280">
        <v>32400</v>
      </c>
      <c r="R280">
        <v>518600</v>
      </c>
      <c r="S280" t="s">
        <v>987</v>
      </c>
      <c r="T280">
        <v>2015</v>
      </c>
      <c r="U280" t="s">
        <v>1010</v>
      </c>
      <c r="V280">
        <v>29</v>
      </c>
      <c r="W280">
        <v>88.2</v>
      </c>
      <c r="X280">
        <v>328239523</v>
      </c>
      <c r="Y280">
        <v>14.7</v>
      </c>
      <c r="Z280">
        <v>270663028</v>
      </c>
      <c r="AA280">
        <v>37.090240000000001</v>
      </c>
      <c r="AB280">
        <v>-95.712890999999999</v>
      </c>
    </row>
    <row r="281" spans="1:28" x14ac:dyDescent="0.3">
      <c r="A281">
        <v>280</v>
      </c>
      <c r="B281" t="s">
        <v>526</v>
      </c>
      <c r="C281">
        <v>23600000</v>
      </c>
      <c r="D281">
        <v>6766461070</v>
      </c>
      <c r="E281" t="s">
        <v>988</v>
      </c>
      <c r="F281" t="s">
        <v>526</v>
      </c>
      <c r="G281">
        <v>552</v>
      </c>
      <c r="H281" t="s">
        <v>984</v>
      </c>
      <c r="I281" t="s">
        <v>985</v>
      </c>
      <c r="J281" t="s">
        <v>988</v>
      </c>
      <c r="K281">
        <v>883</v>
      </c>
      <c r="L281">
        <v>82</v>
      </c>
      <c r="M281">
        <v>75</v>
      </c>
      <c r="N281">
        <v>44542000</v>
      </c>
      <c r="O281">
        <v>11100</v>
      </c>
      <c r="P281">
        <v>178200</v>
      </c>
      <c r="Q281">
        <v>133600</v>
      </c>
      <c r="R281">
        <v>2100000</v>
      </c>
      <c r="S281">
        <v>400000</v>
      </c>
      <c r="T281">
        <v>2013</v>
      </c>
      <c r="U281" t="s">
        <v>1010</v>
      </c>
      <c r="V281">
        <v>30</v>
      </c>
      <c r="W281">
        <v>88.2</v>
      </c>
      <c r="X281">
        <v>328239523</v>
      </c>
      <c r="Y281">
        <v>14.7</v>
      </c>
      <c r="Z281">
        <v>270663028</v>
      </c>
      <c r="AA281">
        <v>37.090240000000001</v>
      </c>
      <c r="AB281">
        <v>-95.712890999999999</v>
      </c>
    </row>
    <row r="282" spans="1:28" x14ac:dyDescent="0.3">
      <c r="A282">
        <v>281</v>
      </c>
      <c r="B282" t="s">
        <v>475</v>
      </c>
      <c r="C282">
        <v>23600000</v>
      </c>
      <c r="D282">
        <v>7920637200</v>
      </c>
      <c r="E282" t="s">
        <v>982</v>
      </c>
      <c r="F282" t="s">
        <v>475</v>
      </c>
      <c r="G282">
        <v>1251</v>
      </c>
      <c r="H282" t="s">
        <v>1013</v>
      </c>
      <c r="I282" t="s">
        <v>1014</v>
      </c>
      <c r="J282" t="s">
        <v>1022</v>
      </c>
      <c r="K282">
        <v>668</v>
      </c>
      <c r="L282">
        <v>12</v>
      </c>
      <c r="M282">
        <v>19</v>
      </c>
      <c r="N282">
        <v>53589000</v>
      </c>
      <c r="O282">
        <v>13400</v>
      </c>
      <c r="P282">
        <v>214400</v>
      </c>
      <c r="Q282">
        <v>160800</v>
      </c>
      <c r="R282">
        <v>2600000</v>
      </c>
      <c r="S282">
        <v>100000</v>
      </c>
      <c r="T282">
        <v>2014</v>
      </c>
      <c r="U282" t="s">
        <v>1015</v>
      </c>
      <c r="V282">
        <v>28</v>
      </c>
      <c r="W282">
        <v>60</v>
      </c>
      <c r="X282">
        <v>66834405</v>
      </c>
      <c r="Y282">
        <v>3.85</v>
      </c>
      <c r="Z282">
        <v>55908316</v>
      </c>
      <c r="AA282">
        <v>55.378050999999999</v>
      </c>
      <c r="AB282">
        <v>-3.4359730000000002</v>
      </c>
    </row>
    <row r="283" spans="1:28" x14ac:dyDescent="0.3">
      <c r="A283">
        <v>282</v>
      </c>
      <c r="B283" t="s">
        <v>538</v>
      </c>
      <c r="C283">
        <v>23500000</v>
      </c>
      <c r="D283">
        <v>14777034543</v>
      </c>
      <c r="E283" t="s">
        <v>996</v>
      </c>
      <c r="F283" t="s">
        <v>538</v>
      </c>
      <c r="G283">
        <v>6066</v>
      </c>
      <c r="H283" t="s">
        <v>1013</v>
      </c>
      <c r="I283" t="s">
        <v>1014</v>
      </c>
      <c r="J283" t="s">
        <v>986</v>
      </c>
      <c r="K283">
        <v>229</v>
      </c>
      <c r="L283">
        <v>13</v>
      </c>
      <c r="M283">
        <v>20</v>
      </c>
      <c r="N283">
        <v>41669000</v>
      </c>
      <c r="O283">
        <v>10400</v>
      </c>
      <c r="P283">
        <v>166700</v>
      </c>
      <c r="Q283">
        <v>125000</v>
      </c>
      <c r="R283">
        <v>2000000</v>
      </c>
      <c r="S283" t="s">
        <v>987</v>
      </c>
      <c r="T283">
        <v>2014</v>
      </c>
      <c r="U283" t="s">
        <v>995</v>
      </c>
      <c r="V283">
        <v>27</v>
      </c>
      <c r="W283">
        <v>60</v>
      </c>
      <c r="X283">
        <v>66834405</v>
      </c>
      <c r="Y283">
        <v>3.85</v>
      </c>
      <c r="Z283">
        <v>55908316</v>
      </c>
      <c r="AA283">
        <v>55.378050999999999</v>
      </c>
      <c r="AB283">
        <v>-3.4359730000000002</v>
      </c>
    </row>
    <row r="284" spans="1:28" x14ac:dyDescent="0.3">
      <c r="A284">
        <v>283</v>
      </c>
      <c r="B284" t="s">
        <v>450</v>
      </c>
      <c r="C284">
        <v>23500000</v>
      </c>
      <c r="D284">
        <v>14696994366</v>
      </c>
      <c r="E284" t="s">
        <v>994</v>
      </c>
      <c r="F284" t="s">
        <v>450</v>
      </c>
      <c r="G284">
        <v>1044</v>
      </c>
      <c r="H284" t="s">
        <v>1013</v>
      </c>
      <c r="I284" t="s">
        <v>1014</v>
      </c>
      <c r="J284" t="s">
        <v>988</v>
      </c>
      <c r="K284">
        <v>235</v>
      </c>
      <c r="L284">
        <v>13</v>
      </c>
      <c r="M284">
        <v>76</v>
      </c>
      <c r="N284">
        <v>59629000</v>
      </c>
      <c r="O284">
        <v>14900</v>
      </c>
      <c r="P284">
        <v>238500</v>
      </c>
      <c r="Q284">
        <v>178900</v>
      </c>
      <c r="R284">
        <v>2900000</v>
      </c>
      <c r="S284" t="s">
        <v>987</v>
      </c>
      <c r="T284">
        <v>2014</v>
      </c>
      <c r="U284" t="s">
        <v>1029</v>
      </c>
      <c r="V284">
        <v>17</v>
      </c>
      <c r="W284">
        <v>60</v>
      </c>
      <c r="X284">
        <v>66834405</v>
      </c>
      <c r="Y284">
        <v>3.85</v>
      </c>
      <c r="Z284">
        <v>55908316</v>
      </c>
      <c r="AA284">
        <v>55.378050999999999</v>
      </c>
      <c r="AB284">
        <v>-3.4359730000000002</v>
      </c>
    </row>
    <row r="285" spans="1:28" x14ac:dyDescent="0.3">
      <c r="A285">
        <v>284</v>
      </c>
      <c r="B285" t="s">
        <v>96</v>
      </c>
      <c r="C285">
        <v>23400000</v>
      </c>
      <c r="D285">
        <v>9465863821</v>
      </c>
      <c r="E285" t="s">
        <v>982</v>
      </c>
      <c r="F285" t="s">
        <v>96</v>
      </c>
      <c r="G285">
        <v>6672</v>
      </c>
      <c r="H285" t="s">
        <v>978</v>
      </c>
      <c r="I285" t="s">
        <v>979</v>
      </c>
      <c r="J285" t="s">
        <v>1022</v>
      </c>
      <c r="K285">
        <v>493</v>
      </c>
      <c r="L285">
        <v>56</v>
      </c>
      <c r="M285">
        <v>20</v>
      </c>
      <c r="N285">
        <v>367347000</v>
      </c>
      <c r="O285">
        <v>91800</v>
      </c>
      <c r="P285">
        <v>1500000</v>
      </c>
      <c r="Q285">
        <v>1100000</v>
      </c>
      <c r="R285">
        <v>17600000</v>
      </c>
      <c r="S285">
        <v>900000</v>
      </c>
      <c r="T285">
        <v>2020</v>
      </c>
      <c r="U285" t="s">
        <v>1025</v>
      </c>
      <c r="V285">
        <v>10</v>
      </c>
      <c r="W285">
        <v>28.1</v>
      </c>
      <c r="X285">
        <v>1366417754</v>
      </c>
      <c r="Y285">
        <v>5.36</v>
      </c>
      <c r="Z285">
        <v>471031528</v>
      </c>
      <c r="AA285">
        <v>20.593684</v>
      </c>
      <c r="AB285">
        <v>78.962879999999998</v>
      </c>
    </row>
    <row r="286" spans="1:28" x14ac:dyDescent="0.3">
      <c r="A286">
        <v>285</v>
      </c>
      <c r="B286" t="s">
        <v>597</v>
      </c>
      <c r="C286">
        <v>23400000</v>
      </c>
      <c r="D286">
        <v>7926899136</v>
      </c>
      <c r="E286" t="s">
        <v>982</v>
      </c>
      <c r="F286" t="s">
        <v>597</v>
      </c>
      <c r="G286">
        <v>1291</v>
      </c>
      <c r="H286" t="s">
        <v>1019</v>
      </c>
      <c r="I286" t="s">
        <v>1020</v>
      </c>
      <c r="J286" t="s">
        <v>988</v>
      </c>
      <c r="K286">
        <v>667</v>
      </c>
      <c r="L286">
        <v>14</v>
      </c>
      <c r="M286">
        <v>77</v>
      </c>
      <c r="N286">
        <v>28285000</v>
      </c>
      <c r="O286">
        <v>7100</v>
      </c>
      <c r="P286">
        <v>113100</v>
      </c>
      <c r="Q286">
        <v>84900</v>
      </c>
      <c r="R286">
        <v>1400000</v>
      </c>
      <c r="S286" t="s">
        <v>987</v>
      </c>
      <c r="T286">
        <v>2014</v>
      </c>
      <c r="U286" t="s">
        <v>999</v>
      </c>
      <c r="V286">
        <v>14</v>
      </c>
      <c r="W286">
        <v>51.3</v>
      </c>
      <c r="X286">
        <v>212559417</v>
      </c>
      <c r="Y286">
        <v>12.08</v>
      </c>
      <c r="Z286">
        <v>183241641</v>
      </c>
      <c r="AA286">
        <v>-14.235004</v>
      </c>
      <c r="AB286">
        <v>-51.925280000000001</v>
      </c>
    </row>
    <row r="287" spans="1:28" x14ac:dyDescent="0.3">
      <c r="A287">
        <v>286</v>
      </c>
      <c r="B287" t="s">
        <v>292</v>
      </c>
      <c r="C287">
        <v>23300000</v>
      </c>
      <c r="D287">
        <v>22471357411</v>
      </c>
      <c r="E287" t="s">
        <v>988</v>
      </c>
      <c r="F287" t="s">
        <v>292</v>
      </c>
      <c r="G287">
        <v>3657</v>
      </c>
      <c r="H287" t="s">
        <v>984</v>
      </c>
      <c r="I287" t="s">
        <v>985</v>
      </c>
      <c r="J287" t="s">
        <v>988</v>
      </c>
      <c r="K287">
        <v>99</v>
      </c>
      <c r="L287">
        <v>83</v>
      </c>
      <c r="M287">
        <v>78</v>
      </c>
      <c r="N287">
        <v>124187000</v>
      </c>
      <c r="O287">
        <v>31000</v>
      </c>
      <c r="P287">
        <v>496700</v>
      </c>
      <c r="Q287">
        <v>372600</v>
      </c>
      <c r="R287">
        <v>6000000</v>
      </c>
      <c r="S287">
        <v>100000</v>
      </c>
      <c r="T287">
        <v>2006</v>
      </c>
      <c r="U287" t="s">
        <v>1003</v>
      </c>
      <c r="V287">
        <v>16</v>
      </c>
      <c r="W287">
        <v>88.2</v>
      </c>
      <c r="X287">
        <v>328239523</v>
      </c>
      <c r="Y287">
        <v>14.7</v>
      </c>
      <c r="Z287">
        <v>270663028</v>
      </c>
      <c r="AA287">
        <v>37.090240000000001</v>
      </c>
      <c r="AB287">
        <v>-95.712890999999999</v>
      </c>
    </row>
    <row r="288" spans="1:28" x14ac:dyDescent="0.3">
      <c r="A288">
        <v>287</v>
      </c>
      <c r="B288" t="s">
        <v>909</v>
      </c>
      <c r="C288">
        <v>23200000</v>
      </c>
      <c r="D288">
        <v>2634</v>
      </c>
      <c r="E288" t="s">
        <v>1088</v>
      </c>
      <c r="F288" t="s">
        <v>909</v>
      </c>
      <c r="G288">
        <v>1</v>
      </c>
      <c r="H288" t="s">
        <v>984</v>
      </c>
      <c r="I288" t="s">
        <v>985</v>
      </c>
      <c r="J288" t="s">
        <v>988</v>
      </c>
      <c r="K288">
        <v>4053372</v>
      </c>
      <c r="L288">
        <v>84</v>
      </c>
      <c r="M288">
        <v>79</v>
      </c>
      <c r="N288">
        <v>6589000000</v>
      </c>
      <c r="O288">
        <v>0</v>
      </c>
      <c r="P288">
        <v>0</v>
      </c>
      <c r="Q288">
        <v>0</v>
      </c>
      <c r="R288">
        <v>0</v>
      </c>
      <c r="S288">
        <v>100000</v>
      </c>
      <c r="T288">
        <v>2016</v>
      </c>
      <c r="U288" t="s">
        <v>980</v>
      </c>
      <c r="V288">
        <v>15</v>
      </c>
      <c r="W288">
        <v>88.2</v>
      </c>
      <c r="X288">
        <v>328239523</v>
      </c>
      <c r="Y288">
        <v>14.7</v>
      </c>
      <c r="Z288">
        <v>270663028</v>
      </c>
      <c r="AA288">
        <v>37.090240000000001</v>
      </c>
      <c r="AB288">
        <v>-95.712890999999999</v>
      </c>
    </row>
    <row r="289" spans="1:28" x14ac:dyDescent="0.3">
      <c r="A289">
        <v>288</v>
      </c>
      <c r="B289" t="s">
        <v>253</v>
      </c>
      <c r="C289">
        <v>23200000</v>
      </c>
      <c r="D289">
        <v>15751661213</v>
      </c>
      <c r="E289" t="s">
        <v>994</v>
      </c>
      <c r="F289" t="s">
        <v>253</v>
      </c>
      <c r="G289">
        <v>172</v>
      </c>
      <c r="H289" t="s">
        <v>984</v>
      </c>
      <c r="I289" t="s">
        <v>985</v>
      </c>
      <c r="J289" t="s">
        <v>977</v>
      </c>
      <c r="K289">
        <v>198</v>
      </c>
      <c r="L289">
        <v>83</v>
      </c>
      <c r="M289">
        <v>79</v>
      </c>
      <c r="N289">
        <v>143169000</v>
      </c>
      <c r="O289">
        <v>35800</v>
      </c>
      <c r="P289">
        <v>572700</v>
      </c>
      <c r="Q289">
        <v>429500</v>
      </c>
      <c r="R289">
        <v>6900000</v>
      </c>
      <c r="S289">
        <v>100000</v>
      </c>
      <c r="T289">
        <v>2008</v>
      </c>
      <c r="U289" t="s">
        <v>995</v>
      </c>
      <c r="V289">
        <v>15</v>
      </c>
      <c r="W289">
        <v>88.2</v>
      </c>
      <c r="X289">
        <v>328239523</v>
      </c>
      <c r="Y289">
        <v>14.7</v>
      </c>
      <c r="Z289">
        <v>270663028</v>
      </c>
      <c r="AA289">
        <v>37.090240000000001</v>
      </c>
      <c r="AB289">
        <v>-95.712890999999999</v>
      </c>
    </row>
    <row r="290" spans="1:28" x14ac:dyDescent="0.3">
      <c r="A290">
        <v>289</v>
      </c>
      <c r="B290" t="s">
        <v>114</v>
      </c>
      <c r="C290">
        <v>23200000</v>
      </c>
      <c r="D290">
        <v>7966720147</v>
      </c>
      <c r="E290" t="s">
        <v>988</v>
      </c>
      <c r="F290" t="s">
        <v>114</v>
      </c>
      <c r="G290">
        <v>595</v>
      </c>
      <c r="H290" t="s">
        <v>987</v>
      </c>
      <c r="I290" t="s">
        <v>987</v>
      </c>
      <c r="J290" t="s">
        <v>988</v>
      </c>
      <c r="K290">
        <v>660</v>
      </c>
      <c r="L290" t="s">
        <v>987</v>
      </c>
      <c r="M290">
        <v>79</v>
      </c>
      <c r="N290">
        <v>321179000</v>
      </c>
      <c r="O290">
        <v>80300</v>
      </c>
      <c r="P290">
        <v>1300000</v>
      </c>
      <c r="Q290">
        <v>963500</v>
      </c>
      <c r="R290">
        <v>15400000</v>
      </c>
      <c r="S290">
        <v>900000</v>
      </c>
      <c r="T290">
        <v>2017</v>
      </c>
      <c r="U290" t="s">
        <v>1025</v>
      </c>
      <c r="V290">
        <v>25</v>
      </c>
      <c r="W290" t="s">
        <v>987</v>
      </c>
      <c r="X290" t="s">
        <v>987</v>
      </c>
      <c r="Y290" t="s">
        <v>987</v>
      </c>
      <c r="Z290" t="s">
        <v>987</v>
      </c>
      <c r="AA290" t="s">
        <v>987</v>
      </c>
      <c r="AB290" t="s">
        <v>987</v>
      </c>
    </row>
    <row r="291" spans="1:28" x14ac:dyDescent="0.3">
      <c r="A291">
        <v>290</v>
      </c>
      <c r="B291" t="s">
        <v>482</v>
      </c>
      <c r="C291">
        <v>23100000</v>
      </c>
      <c r="D291">
        <v>12889240875</v>
      </c>
      <c r="E291" t="s">
        <v>977</v>
      </c>
      <c r="F291" t="s">
        <v>482</v>
      </c>
      <c r="G291">
        <v>22578</v>
      </c>
      <c r="H291" t="s">
        <v>978</v>
      </c>
      <c r="I291" t="s">
        <v>979</v>
      </c>
      <c r="J291" t="s">
        <v>977</v>
      </c>
      <c r="K291">
        <v>293</v>
      </c>
      <c r="L291">
        <v>59</v>
      </c>
      <c r="M291">
        <v>81</v>
      </c>
      <c r="N291">
        <v>52678000</v>
      </c>
      <c r="O291">
        <v>13200</v>
      </c>
      <c r="P291">
        <v>210700</v>
      </c>
      <c r="Q291">
        <v>158000</v>
      </c>
      <c r="R291">
        <v>2500000</v>
      </c>
      <c r="S291">
        <v>100000</v>
      </c>
      <c r="T291">
        <v>2014</v>
      </c>
      <c r="U291" t="s">
        <v>1010</v>
      </c>
      <c r="V291">
        <v>10</v>
      </c>
      <c r="W291">
        <v>28.1</v>
      </c>
      <c r="X291">
        <v>1366417754</v>
      </c>
      <c r="Y291">
        <v>5.36</v>
      </c>
      <c r="Z291">
        <v>471031528</v>
      </c>
      <c r="AA291">
        <v>20.593684</v>
      </c>
      <c r="AB291">
        <v>78.962879999999998</v>
      </c>
    </row>
    <row r="292" spans="1:28" x14ac:dyDescent="0.3">
      <c r="A292">
        <v>291</v>
      </c>
      <c r="B292" t="s">
        <v>280</v>
      </c>
      <c r="C292">
        <v>23100000</v>
      </c>
      <c r="D292">
        <v>25579831081</v>
      </c>
      <c r="E292" t="s">
        <v>977</v>
      </c>
      <c r="F292" t="s">
        <v>280</v>
      </c>
      <c r="G292">
        <v>15462</v>
      </c>
      <c r="H292" t="s">
        <v>1048</v>
      </c>
      <c r="I292" t="s">
        <v>1049</v>
      </c>
      <c r="J292" t="s">
        <v>977</v>
      </c>
      <c r="K292">
        <v>68</v>
      </c>
      <c r="L292">
        <v>4</v>
      </c>
      <c r="M292">
        <v>81</v>
      </c>
      <c r="N292">
        <v>130233000</v>
      </c>
      <c r="O292">
        <v>32600</v>
      </c>
      <c r="P292">
        <v>520900</v>
      </c>
      <c r="Q292">
        <v>390700</v>
      </c>
      <c r="R292">
        <v>6300000</v>
      </c>
      <c r="S292" t="s">
        <v>987</v>
      </c>
      <c r="T292">
        <v>2010</v>
      </c>
      <c r="U292" t="s">
        <v>1029</v>
      </c>
      <c r="V292">
        <v>8</v>
      </c>
      <c r="W292">
        <v>49.3</v>
      </c>
      <c r="X292">
        <v>69625582</v>
      </c>
      <c r="Y292">
        <v>0.75</v>
      </c>
      <c r="Z292">
        <v>35294600</v>
      </c>
      <c r="AA292">
        <v>15.870032</v>
      </c>
      <c r="AB292">
        <v>100.992541</v>
      </c>
    </row>
    <row r="293" spans="1:28" x14ac:dyDescent="0.3">
      <c r="A293">
        <v>292</v>
      </c>
      <c r="B293" t="s">
        <v>705</v>
      </c>
      <c r="C293">
        <v>23100000</v>
      </c>
      <c r="D293">
        <v>2551113422</v>
      </c>
      <c r="E293" t="s">
        <v>994</v>
      </c>
      <c r="F293" t="s">
        <v>705</v>
      </c>
      <c r="G293">
        <v>4445</v>
      </c>
      <c r="H293" t="s">
        <v>984</v>
      </c>
      <c r="I293" t="s">
        <v>985</v>
      </c>
      <c r="J293" t="s">
        <v>1089</v>
      </c>
      <c r="K293">
        <v>3568</v>
      </c>
      <c r="L293">
        <v>85</v>
      </c>
      <c r="M293">
        <v>4</v>
      </c>
      <c r="N293">
        <v>13246000</v>
      </c>
      <c r="O293">
        <v>3300</v>
      </c>
      <c r="P293">
        <v>53000</v>
      </c>
      <c r="Q293">
        <v>39700</v>
      </c>
      <c r="R293">
        <v>635800</v>
      </c>
      <c r="S293">
        <v>100000</v>
      </c>
      <c r="T293">
        <v>2006</v>
      </c>
      <c r="U293" t="s">
        <v>1005</v>
      </c>
      <c r="V293">
        <v>6</v>
      </c>
      <c r="W293">
        <v>88.2</v>
      </c>
      <c r="X293">
        <v>328239523</v>
      </c>
      <c r="Y293">
        <v>14.7</v>
      </c>
      <c r="Z293">
        <v>270663028</v>
      </c>
      <c r="AA293">
        <v>37.090240000000001</v>
      </c>
      <c r="AB293">
        <v>-95.712890999999999</v>
      </c>
    </row>
    <row r="294" spans="1:28" x14ac:dyDescent="0.3">
      <c r="A294">
        <v>293</v>
      </c>
      <c r="B294" t="s">
        <v>123</v>
      </c>
      <c r="C294">
        <v>23100000</v>
      </c>
      <c r="D294">
        <v>9299371231</v>
      </c>
      <c r="E294" t="s">
        <v>977</v>
      </c>
      <c r="F294" t="s">
        <v>123</v>
      </c>
      <c r="G294">
        <v>456</v>
      </c>
      <c r="H294" t="s">
        <v>978</v>
      </c>
      <c r="I294" t="s">
        <v>979</v>
      </c>
      <c r="J294" t="s">
        <v>977</v>
      </c>
      <c r="K294">
        <v>506</v>
      </c>
      <c r="L294">
        <v>58</v>
      </c>
      <c r="M294">
        <v>80</v>
      </c>
      <c r="N294">
        <v>304021000</v>
      </c>
      <c r="O294">
        <v>76000</v>
      </c>
      <c r="P294">
        <v>1200000</v>
      </c>
      <c r="Q294">
        <v>912100</v>
      </c>
      <c r="R294">
        <v>14600000</v>
      </c>
      <c r="S294">
        <v>700000</v>
      </c>
      <c r="T294">
        <v>2016</v>
      </c>
      <c r="U294" t="s">
        <v>991</v>
      </c>
      <c r="V294">
        <v>27</v>
      </c>
      <c r="W294">
        <v>28.1</v>
      </c>
      <c r="X294">
        <v>1366417754</v>
      </c>
      <c r="Y294">
        <v>5.36</v>
      </c>
      <c r="Z294">
        <v>471031528</v>
      </c>
      <c r="AA294">
        <v>20.593684</v>
      </c>
      <c r="AB294">
        <v>78.962879999999998</v>
      </c>
    </row>
    <row r="295" spans="1:28" x14ac:dyDescent="0.3">
      <c r="A295">
        <v>294</v>
      </c>
      <c r="B295" t="s">
        <v>285</v>
      </c>
      <c r="C295">
        <v>23100000</v>
      </c>
      <c r="D295">
        <v>13151870846</v>
      </c>
      <c r="E295" t="s">
        <v>992</v>
      </c>
      <c r="F295" t="s">
        <v>285</v>
      </c>
      <c r="G295">
        <v>3781</v>
      </c>
      <c r="H295" t="s">
        <v>984</v>
      </c>
      <c r="I295" t="s">
        <v>985</v>
      </c>
      <c r="J295" t="s">
        <v>977</v>
      </c>
      <c r="K295">
        <v>282</v>
      </c>
      <c r="L295">
        <v>85</v>
      </c>
      <c r="M295">
        <v>81</v>
      </c>
      <c r="N295">
        <v>128448000</v>
      </c>
      <c r="O295">
        <v>32100</v>
      </c>
      <c r="P295">
        <v>513800</v>
      </c>
      <c r="Q295">
        <v>385300</v>
      </c>
      <c r="R295">
        <v>6200000</v>
      </c>
      <c r="S295">
        <v>700000</v>
      </c>
      <c r="T295">
        <v>2013</v>
      </c>
      <c r="U295" t="s">
        <v>1010</v>
      </c>
      <c r="V295">
        <v>30</v>
      </c>
      <c r="W295">
        <v>88.2</v>
      </c>
      <c r="X295">
        <v>328239523</v>
      </c>
      <c r="Y295">
        <v>14.7</v>
      </c>
      <c r="Z295">
        <v>270663028</v>
      </c>
      <c r="AA295">
        <v>37.090240000000001</v>
      </c>
      <c r="AB295">
        <v>-95.712890999999999</v>
      </c>
    </row>
    <row r="296" spans="1:28" x14ac:dyDescent="0.3">
      <c r="A296">
        <v>295</v>
      </c>
      <c r="B296" t="s">
        <v>33</v>
      </c>
      <c r="C296">
        <v>23000000</v>
      </c>
      <c r="D296">
        <v>31494513067</v>
      </c>
      <c r="E296" t="s">
        <v>988</v>
      </c>
      <c r="F296" t="s">
        <v>33</v>
      </c>
      <c r="G296">
        <v>2905</v>
      </c>
      <c r="H296" t="s">
        <v>1130</v>
      </c>
      <c r="I296" t="s">
        <v>1131</v>
      </c>
      <c r="J296" t="s">
        <v>1044</v>
      </c>
      <c r="K296">
        <v>34</v>
      </c>
      <c r="L296">
        <v>1</v>
      </c>
      <c r="M296">
        <v>15</v>
      </c>
      <c r="N296">
        <v>756717000</v>
      </c>
      <c r="O296">
        <v>189200</v>
      </c>
      <c r="P296">
        <v>3000000</v>
      </c>
      <c r="Q296">
        <v>2300000</v>
      </c>
      <c r="R296">
        <v>36300000</v>
      </c>
      <c r="S296">
        <v>800000</v>
      </c>
      <c r="T296">
        <v>2019</v>
      </c>
      <c r="U296" t="s">
        <v>1015</v>
      </c>
      <c r="V296">
        <v>10</v>
      </c>
      <c r="W296">
        <v>70.2</v>
      </c>
      <c r="X296">
        <v>83132799</v>
      </c>
      <c r="Y296">
        <v>3.04</v>
      </c>
      <c r="Z296">
        <v>64324835</v>
      </c>
      <c r="AA296">
        <v>51.165691000000002</v>
      </c>
      <c r="AB296">
        <v>10.451525999999999</v>
      </c>
    </row>
    <row r="297" spans="1:28" x14ac:dyDescent="0.3">
      <c r="A297">
        <v>296</v>
      </c>
      <c r="B297" t="s">
        <v>643</v>
      </c>
      <c r="C297">
        <v>23000000</v>
      </c>
      <c r="D297">
        <v>3378047383</v>
      </c>
      <c r="E297" t="s">
        <v>1088</v>
      </c>
      <c r="F297" t="s">
        <v>643</v>
      </c>
      <c r="G297">
        <v>5041</v>
      </c>
      <c r="H297" t="s">
        <v>978</v>
      </c>
      <c r="I297" t="s">
        <v>979</v>
      </c>
      <c r="J297" t="s">
        <v>1089</v>
      </c>
      <c r="K297">
        <v>2420</v>
      </c>
      <c r="L297">
        <v>60</v>
      </c>
      <c r="M297">
        <v>5</v>
      </c>
      <c r="N297">
        <v>22262000</v>
      </c>
      <c r="O297">
        <v>5600</v>
      </c>
      <c r="P297">
        <v>89000</v>
      </c>
      <c r="Q297">
        <v>66800</v>
      </c>
      <c r="R297">
        <v>1100000</v>
      </c>
      <c r="S297" t="s">
        <v>987</v>
      </c>
      <c r="T297">
        <v>2015</v>
      </c>
      <c r="U297" t="s">
        <v>1025</v>
      </c>
      <c r="V297">
        <v>19</v>
      </c>
      <c r="W297">
        <v>28.1</v>
      </c>
      <c r="X297">
        <v>1366417754</v>
      </c>
      <c r="Y297">
        <v>5.36</v>
      </c>
      <c r="Z297">
        <v>471031528</v>
      </c>
      <c r="AA297">
        <v>20.593684</v>
      </c>
      <c r="AB297">
        <v>78.962879999999998</v>
      </c>
    </row>
    <row r="298" spans="1:28" x14ac:dyDescent="0.3">
      <c r="A298">
        <v>297</v>
      </c>
      <c r="B298" t="s">
        <v>572</v>
      </c>
      <c r="C298">
        <v>23000000</v>
      </c>
      <c r="D298">
        <v>6041264489</v>
      </c>
      <c r="E298" t="s">
        <v>988</v>
      </c>
      <c r="F298" t="s">
        <v>572</v>
      </c>
      <c r="G298">
        <v>1598</v>
      </c>
      <c r="H298" t="s">
        <v>1023</v>
      </c>
      <c r="I298" t="s">
        <v>1024</v>
      </c>
      <c r="J298" t="s">
        <v>988</v>
      </c>
      <c r="K298">
        <v>1040</v>
      </c>
      <c r="L298">
        <v>5</v>
      </c>
      <c r="M298">
        <v>80</v>
      </c>
      <c r="N298">
        <v>35539000</v>
      </c>
      <c r="O298">
        <v>8900</v>
      </c>
      <c r="P298">
        <v>142200</v>
      </c>
      <c r="Q298">
        <v>106600</v>
      </c>
      <c r="R298">
        <v>1700000</v>
      </c>
      <c r="S298">
        <v>100000</v>
      </c>
      <c r="T298">
        <v>2006</v>
      </c>
      <c r="U298" t="s">
        <v>980</v>
      </c>
      <c r="V298">
        <v>9</v>
      </c>
      <c r="W298">
        <v>90</v>
      </c>
      <c r="X298">
        <v>44938712</v>
      </c>
      <c r="Y298">
        <v>9.7899999999999991</v>
      </c>
      <c r="Z298">
        <v>41339571</v>
      </c>
      <c r="AA298">
        <v>-38.416097000000001</v>
      </c>
      <c r="AB298">
        <v>-63.616672000000001</v>
      </c>
    </row>
    <row r="299" spans="1:28" x14ac:dyDescent="0.3">
      <c r="A299">
        <v>298</v>
      </c>
      <c r="B299" t="s">
        <v>365</v>
      </c>
      <c r="C299">
        <v>23000000</v>
      </c>
      <c r="D299">
        <v>10939966484</v>
      </c>
      <c r="E299" t="s">
        <v>988</v>
      </c>
      <c r="F299" t="s">
        <v>365</v>
      </c>
      <c r="G299">
        <v>5718</v>
      </c>
      <c r="H299" t="s">
        <v>978</v>
      </c>
      <c r="I299" t="s">
        <v>979</v>
      </c>
      <c r="J299" t="s">
        <v>977</v>
      </c>
      <c r="K299">
        <v>382</v>
      </c>
      <c r="L299">
        <v>60</v>
      </c>
      <c r="M299">
        <v>82</v>
      </c>
      <c r="N299">
        <v>93183000</v>
      </c>
      <c r="O299">
        <v>23300</v>
      </c>
      <c r="P299">
        <v>372700</v>
      </c>
      <c r="Q299">
        <v>279500</v>
      </c>
      <c r="R299">
        <v>4500000</v>
      </c>
      <c r="S299">
        <v>100000</v>
      </c>
      <c r="T299">
        <v>2014</v>
      </c>
      <c r="U299" t="s">
        <v>980</v>
      </c>
      <c r="V299">
        <v>23</v>
      </c>
      <c r="W299">
        <v>28.1</v>
      </c>
      <c r="X299">
        <v>1366417754</v>
      </c>
      <c r="Y299">
        <v>5.36</v>
      </c>
      <c r="Z299">
        <v>471031528</v>
      </c>
      <c r="AA299">
        <v>20.593684</v>
      </c>
      <c r="AB299">
        <v>78.962879999999998</v>
      </c>
    </row>
    <row r="300" spans="1:28" x14ac:dyDescent="0.3">
      <c r="A300">
        <v>299</v>
      </c>
      <c r="B300" t="s">
        <v>890</v>
      </c>
      <c r="C300">
        <v>22900000</v>
      </c>
      <c r="D300">
        <v>5320485069</v>
      </c>
      <c r="E300" t="s">
        <v>1108</v>
      </c>
      <c r="F300" t="s">
        <v>890</v>
      </c>
      <c r="G300">
        <v>1670</v>
      </c>
      <c r="H300" t="s">
        <v>978</v>
      </c>
      <c r="I300" t="s">
        <v>979</v>
      </c>
      <c r="J300" t="s">
        <v>1022</v>
      </c>
      <c r="K300">
        <v>1248</v>
      </c>
      <c r="L300">
        <v>61</v>
      </c>
      <c r="M300">
        <v>22</v>
      </c>
      <c r="N300">
        <v>118846000</v>
      </c>
      <c r="O300">
        <v>0</v>
      </c>
      <c r="P300">
        <v>0</v>
      </c>
      <c r="Q300">
        <v>0</v>
      </c>
      <c r="R300">
        <v>0</v>
      </c>
      <c r="S300">
        <v>300000</v>
      </c>
      <c r="T300">
        <v>2011</v>
      </c>
      <c r="U300" t="s">
        <v>995</v>
      </c>
      <c r="V300">
        <v>17</v>
      </c>
      <c r="W300">
        <v>28.1</v>
      </c>
      <c r="X300">
        <v>1366417754</v>
      </c>
      <c r="Y300">
        <v>5.36</v>
      </c>
      <c r="Z300">
        <v>471031528</v>
      </c>
      <c r="AA300">
        <v>20.593684</v>
      </c>
      <c r="AB300">
        <v>78.962879999999998</v>
      </c>
    </row>
    <row r="301" spans="1:28" x14ac:dyDescent="0.3">
      <c r="A301">
        <v>300</v>
      </c>
      <c r="B301" t="s">
        <v>948</v>
      </c>
      <c r="C301">
        <v>22900000</v>
      </c>
      <c r="D301">
        <v>5380073627</v>
      </c>
      <c r="E301" t="s">
        <v>982</v>
      </c>
      <c r="F301" t="s">
        <v>948</v>
      </c>
      <c r="G301">
        <v>0</v>
      </c>
      <c r="H301" t="s">
        <v>984</v>
      </c>
      <c r="I301" t="s">
        <v>985</v>
      </c>
      <c r="J301" t="s">
        <v>986</v>
      </c>
      <c r="K301">
        <v>4057944</v>
      </c>
      <c r="L301">
        <v>7700</v>
      </c>
      <c r="M301">
        <v>7453</v>
      </c>
      <c r="N301" t="s">
        <v>987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2006</v>
      </c>
      <c r="U301" t="s">
        <v>980</v>
      </c>
      <c r="V301">
        <v>21</v>
      </c>
      <c r="W301">
        <v>88.2</v>
      </c>
      <c r="X301">
        <v>328239523</v>
      </c>
      <c r="Y301">
        <v>14.7</v>
      </c>
      <c r="Z301">
        <v>270663028</v>
      </c>
      <c r="AA301">
        <v>37.090240000000001</v>
      </c>
      <c r="AB301">
        <v>-95.712890999999999</v>
      </c>
    </row>
    <row r="302" spans="1:28" x14ac:dyDescent="0.3">
      <c r="A302">
        <v>301</v>
      </c>
      <c r="B302" t="s">
        <v>221</v>
      </c>
      <c r="C302">
        <v>22900000</v>
      </c>
      <c r="D302">
        <v>16298342829</v>
      </c>
      <c r="E302" t="s">
        <v>977</v>
      </c>
      <c r="F302" t="s">
        <v>221</v>
      </c>
      <c r="G302">
        <v>1159</v>
      </c>
      <c r="H302" t="s">
        <v>1098</v>
      </c>
      <c r="I302" t="s">
        <v>1099</v>
      </c>
      <c r="J302" t="s">
        <v>977</v>
      </c>
      <c r="K302">
        <v>181</v>
      </c>
      <c r="L302">
        <v>2</v>
      </c>
      <c r="M302">
        <v>83</v>
      </c>
      <c r="N302">
        <v>169056000</v>
      </c>
      <c r="O302">
        <v>42300</v>
      </c>
      <c r="P302">
        <v>676200</v>
      </c>
      <c r="Q302">
        <v>507200</v>
      </c>
      <c r="R302">
        <v>8100000</v>
      </c>
      <c r="S302">
        <v>300000</v>
      </c>
      <c r="T302">
        <v>2012</v>
      </c>
      <c r="U302" t="s">
        <v>1029</v>
      </c>
      <c r="V302">
        <v>1</v>
      </c>
      <c r="W302">
        <v>34.4</v>
      </c>
      <c r="X302">
        <v>10101694</v>
      </c>
      <c r="Y302">
        <v>14.72</v>
      </c>
      <c r="Z302">
        <v>9213048</v>
      </c>
      <c r="AA302">
        <v>30.585163999999999</v>
      </c>
      <c r="AB302">
        <v>36.238413999999999</v>
      </c>
    </row>
    <row r="303" spans="1:28" x14ac:dyDescent="0.3">
      <c r="A303">
        <v>302</v>
      </c>
      <c r="B303" t="s">
        <v>269</v>
      </c>
      <c r="C303">
        <v>22900000</v>
      </c>
      <c r="D303">
        <v>13206471140</v>
      </c>
      <c r="E303" t="s">
        <v>990</v>
      </c>
      <c r="F303" t="s">
        <v>1132</v>
      </c>
      <c r="G303">
        <v>1251</v>
      </c>
      <c r="H303" t="s">
        <v>1058</v>
      </c>
      <c r="I303" t="s">
        <v>1059</v>
      </c>
      <c r="J303" t="s">
        <v>990</v>
      </c>
      <c r="K303">
        <v>278</v>
      </c>
      <c r="L303">
        <v>12</v>
      </c>
      <c r="M303">
        <v>17</v>
      </c>
      <c r="N303">
        <v>136821000</v>
      </c>
      <c r="O303">
        <v>34200</v>
      </c>
      <c r="P303">
        <v>547300</v>
      </c>
      <c r="Q303">
        <v>410500</v>
      </c>
      <c r="R303">
        <v>6600000</v>
      </c>
      <c r="S303">
        <v>200000</v>
      </c>
      <c r="T303">
        <v>2018</v>
      </c>
      <c r="U303" t="s">
        <v>980</v>
      </c>
      <c r="V303">
        <v>19</v>
      </c>
      <c r="W303">
        <v>40.200000000000003</v>
      </c>
      <c r="X303">
        <v>126014024</v>
      </c>
      <c r="Y303">
        <v>3.42</v>
      </c>
      <c r="Z303">
        <v>102626859</v>
      </c>
      <c r="AA303">
        <v>23.634501</v>
      </c>
      <c r="AB303">
        <v>-102.552784</v>
      </c>
    </row>
    <row r="304" spans="1:28" x14ac:dyDescent="0.3">
      <c r="A304">
        <v>303</v>
      </c>
      <c r="B304" t="s">
        <v>2</v>
      </c>
      <c r="C304">
        <v>22800000</v>
      </c>
      <c r="D304">
        <v>17988347989</v>
      </c>
      <c r="E304" t="s">
        <v>988</v>
      </c>
      <c r="F304" t="s">
        <v>2</v>
      </c>
      <c r="G304">
        <v>1841</v>
      </c>
      <c r="H304" t="s">
        <v>987</v>
      </c>
      <c r="I304" t="s">
        <v>987</v>
      </c>
      <c r="J304" t="s">
        <v>988</v>
      </c>
      <c r="K304">
        <v>143</v>
      </c>
      <c r="L304" t="s">
        <v>987</v>
      </c>
      <c r="M304">
        <v>79</v>
      </c>
      <c r="N304">
        <v>2033000000</v>
      </c>
      <c r="O304">
        <v>508100</v>
      </c>
      <c r="P304">
        <v>8100000</v>
      </c>
      <c r="Q304">
        <v>6100000</v>
      </c>
      <c r="R304">
        <v>97600000</v>
      </c>
      <c r="S304">
        <v>3200000</v>
      </c>
      <c r="T304">
        <v>2020</v>
      </c>
      <c r="U304" t="s">
        <v>1015</v>
      </c>
      <c r="V304">
        <v>21</v>
      </c>
      <c r="W304" t="s">
        <v>987</v>
      </c>
      <c r="X304" t="s">
        <v>987</v>
      </c>
      <c r="Y304" t="s">
        <v>987</v>
      </c>
      <c r="Z304" t="s">
        <v>987</v>
      </c>
      <c r="AA304" t="s">
        <v>987</v>
      </c>
      <c r="AB304" t="s">
        <v>987</v>
      </c>
    </row>
    <row r="305" spans="1:28" x14ac:dyDescent="0.3">
      <c r="A305">
        <v>304</v>
      </c>
      <c r="B305" t="s">
        <v>239</v>
      </c>
      <c r="C305">
        <v>22700000</v>
      </c>
      <c r="D305">
        <v>10115316784</v>
      </c>
      <c r="E305" t="s">
        <v>994</v>
      </c>
      <c r="F305" t="s">
        <v>239</v>
      </c>
      <c r="G305">
        <v>985</v>
      </c>
      <c r="H305" t="s">
        <v>984</v>
      </c>
      <c r="I305" t="s">
        <v>985</v>
      </c>
      <c r="J305" t="s">
        <v>990</v>
      </c>
      <c r="K305">
        <v>438</v>
      </c>
      <c r="L305">
        <v>87</v>
      </c>
      <c r="M305">
        <v>18</v>
      </c>
      <c r="N305">
        <v>155215000</v>
      </c>
      <c r="O305">
        <v>38800</v>
      </c>
      <c r="P305">
        <v>620900</v>
      </c>
      <c r="Q305">
        <v>465600</v>
      </c>
      <c r="R305">
        <v>7500000</v>
      </c>
      <c r="S305">
        <v>300000</v>
      </c>
      <c r="T305">
        <v>2015</v>
      </c>
      <c r="U305" t="s">
        <v>991</v>
      </c>
      <c r="V305">
        <v>9</v>
      </c>
      <c r="W305">
        <v>88.2</v>
      </c>
      <c r="X305">
        <v>328239523</v>
      </c>
      <c r="Y305">
        <v>14.7</v>
      </c>
      <c r="Z305">
        <v>270663028</v>
      </c>
      <c r="AA305">
        <v>37.090240000000001</v>
      </c>
      <c r="AB305">
        <v>-95.712890999999999</v>
      </c>
    </row>
    <row r="306" spans="1:28" x14ac:dyDescent="0.3">
      <c r="A306">
        <v>305</v>
      </c>
      <c r="B306" t="s">
        <v>360</v>
      </c>
      <c r="C306">
        <v>22700000</v>
      </c>
      <c r="D306">
        <v>11568118121</v>
      </c>
      <c r="E306" t="s">
        <v>988</v>
      </c>
      <c r="F306" t="s">
        <v>360</v>
      </c>
      <c r="G306">
        <v>654</v>
      </c>
      <c r="H306" t="s">
        <v>987</v>
      </c>
      <c r="I306" t="s">
        <v>987</v>
      </c>
      <c r="J306" t="s">
        <v>988</v>
      </c>
      <c r="K306">
        <v>344</v>
      </c>
      <c r="L306" t="s">
        <v>987</v>
      </c>
      <c r="M306">
        <v>82</v>
      </c>
      <c r="N306">
        <v>96613000</v>
      </c>
      <c r="O306">
        <v>24200</v>
      </c>
      <c r="P306">
        <v>386500</v>
      </c>
      <c r="Q306">
        <v>289800</v>
      </c>
      <c r="R306">
        <v>4600000</v>
      </c>
      <c r="S306">
        <v>100000</v>
      </c>
      <c r="T306">
        <v>2019</v>
      </c>
      <c r="U306" t="s">
        <v>999</v>
      </c>
      <c r="V306">
        <v>9</v>
      </c>
      <c r="W306" t="s">
        <v>987</v>
      </c>
      <c r="X306" t="s">
        <v>987</v>
      </c>
      <c r="Y306" t="s">
        <v>987</v>
      </c>
      <c r="Z306" t="s">
        <v>987</v>
      </c>
      <c r="AA306" t="s">
        <v>987</v>
      </c>
      <c r="AB306" t="s">
        <v>987</v>
      </c>
    </row>
    <row r="307" spans="1:28" x14ac:dyDescent="0.3">
      <c r="A307">
        <v>306</v>
      </c>
      <c r="B307" t="s">
        <v>23</v>
      </c>
      <c r="C307">
        <v>22600000</v>
      </c>
      <c r="D307">
        <v>20847038152</v>
      </c>
      <c r="E307" t="s">
        <v>994</v>
      </c>
      <c r="F307" t="s">
        <v>23</v>
      </c>
      <c r="G307">
        <v>60964</v>
      </c>
      <c r="H307" t="s">
        <v>978</v>
      </c>
      <c r="I307" t="s">
        <v>979</v>
      </c>
      <c r="J307" t="s">
        <v>988</v>
      </c>
      <c r="K307">
        <v>109</v>
      </c>
      <c r="L307">
        <v>63</v>
      </c>
      <c r="M307">
        <v>82</v>
      </c>
      <c r="N307">
        <v>982238000</v>
      </c>
      <c r="O307">
        <v>245600</v>
      </c>
      <c r="P307">
        <v>3900000</v>
      </c>
      <c r="Q307">
        <v>2900000</v>
      </c>
      <c r="R307">
        <v>47100000</v>
      </c>
      <c r="S307">
        <v>600000</v>
      </c>
      <c r="T307">
        <v>2016</v>
      </c>
      <c r="U307" t="s">
        <v>989</v>
      </c>
      <c r="V307">
        <v>26</v>
      </c>
      <c r="W307">
        <v>28.1</v>
      </c>
      <c r="X307">
        <v>1366417754</v>
      </c>
      <c r="Y307">
        <v>5.36</v>
      </c>
      <c r="Z307">
        <v>471031528</v>
      </c>
      <c r="AA307">
        <v>20.593684</v>
      </c>
      <c r="AB307">
        <v>78.962879999999998</v>
      </c>
    </row>
    <row r="308" spans="1:28" x14ac:dyDescent="0.3">
      <c r="A308">
        <v>307</v>
      </c>
      <c r="B308" t="s">
        <v>84</v>
      </c>
      <c r="C308">
        <v>22600000</v>
      </c>
      <c r="D308">
        <v>9223534599</v>
      </c>
      <c r="E308" t="s">
        <v>1044</v>
      </c>
      <c r="F308" t="s">
        <v>84</v>
      </c>
      <c r="G308">
        <v>495</v>
      </c>
      <c r="H308" t="s">
        <v>978</v>
      </c>
      <c r="I308" t="s">
        <v>979</v>
      </c>
      <c r="J308" t="s">
        <v>988</v>
      </c>
      <c r="K308">
        <v>508</v>
      </c>
      <c r="L308">
        <v>62</v>
      </c>
      <c r="M308">
        <v>81</v>
      </c>
      <c r="N308">
        <v>399152000</v>
      </c>
      <c r="O308">
        <v>99800</v>
      </c>
      <c r="P308">
        <v>1600000</v>
      </c>
      <c r="Q308">
        <v>1200000</v>
      </c>
      <c r="R308">
        <v>19200000</v>
      </c>
      <c r="S308">
        <v>1400000</v>
      </c>
      <c r="T308">
        <v>2020</v>
      </c>
      <c r="U308" t="s">
        <v>1008</v>
      </c>
      <c r="V308">
        <v>29</v>
      </c>
      <c r="W308">
        <v>28.1</v>
      </c>
      <c r="X308">
        <v>1366417754</v>
      </c>
      <c r="Y308">
        <v>5.36</v>
      </c>
      <c r="Z308">
        <v>471031528</v>
      </c>
      <c r="AA308">
        <v>20.593684</v>
      </c>
      <c r="AB308">
        <v>78.962879999999998</v>
      </c>
    </row>
    <row r="309" spans="1:28" x14ac:dyDescent="0.3">
      <c r="A309">
        <v>308</v>
      </c>
      <c r="B309" t="s">
        <v>399</v>
      </c>
      <c r="C309">
        <v>22600000</v>
      </c>
      <c r="D309">
        <v>14231943358</v>
      </c>
      <c r="E309" t="s">
        <v>977</v>
      </c>
      <c r="F309" t="s">
        <v>399</v>
      </c>
      <c r="G309">
        <v>180</v>
      </c>
      <c r="H309" t="s">
        <v>984</v>
      </c>
      <c r="I309" t="s">
        <v>985</v>
      </c>
      <c r="J309" t="s">
        <v>977</v>
      </c>
      <c r="K309">
        <v>246</v>
      </c>
      <c r="L309">
        <v>88</v>
      </c>
      <c r="M309">
        <v>84</v>
      </c>
      <c r="N309">
        <v>81660000</v>
      </c>
      <c r="O309">
        <v>20400</v>
      </c>
      <c r="P309">
        <v>326600</v>
      </c>
      <c r="Q309">
        <v>245000</v>
      </c>
      <c r="R309">
        <v>3900000</v>
      </c>
      <c r="S309">
        <v>100000</v>
      </c>
      <c r="T309">
        <v>2012</v>
      </c>
      <c r="U309" t="s">
        <v>991</v>
      </c>
      <c r="V309">
        <v>22</v>
      </c>
      <c r="W309">
        <v>88.2</v>
      </c>
      <c r="X309">
        <v>328239523</v>
      </c>
      <c r="Y309">
        <v>14.7</v>
      </c>
      <c r="Z309">
        <v>270663028</v>
      </c>
      <c r="AA309">
        <v>37.090240000000001</v>
      </c>
      <c r="AB309">
        <v>-95.712890999999999</v>
      </c>
    </row>
    <row r="310" spans="1:28" x14ac:dyDescent="0.3">
      <c r="A310">
        <v>309</v>
      </c>
      <c r="B310" t="s">
        <v>420</v>
      </c>
      <c r="C310">
        <v>22600000</v>
      </c>
      <c r="D310">
        <v>17507060680</v>
      </c>
      <c r="E310" t="s">
        <v>994</v>
      </c>
      <c r="F310" t="s">
        <v>420</v>
      </c>
      <c r="G310">
        <v>1189</v>
      </c>
      <c r="H310" t="s">
        <v>1071</v>
      </c>
      <c r="I310" t="s">
        <v>1072</v>
      </c>
      <c r="J310" t="s">
        <v>988</v>
      </c>
      <c r="K310">
        <v>156</v>
      </c>
      <c r="L310">
        <v>1</v>
      </c>
      <c r="M310">
        <v>83</v>
      </c>
      <c r="N310">
        <v>73829000</v>
      </c>
      <c r="O310">
        <v>18500</v>
      </c>
      <c r="P310">
        <v>295300</v>
      </c>
      <c r="Q310">
        <v>221500</v>
      </c>
      <c r="R310">
        <v>3500000</v>
      </c>
      <c r="S310">
        <v>100000</v>
      </c>
      <c r="T310">
        <v>2010</v>
      </c>
      <c r="U310" t="s">
        <v>1005</v>
      </c>
      <c r="V310">
        <v>11</v>
      </c>
      <c r="W310">
        <v>68</v>
      </c>
      <c r="X310">
        <v>34268528</v>
      </c>
      <c r="Y310">
        <v>5.93</v>
      </c>
      <c r="Z310">
        <v>28807838</v>
      </c>
      <c r="AA310">
        <v>23.885942</v>
      </c>
      <c r="AB310">
        <v>45.079161999999997</v>
      </c>
    </row>
    <row r="311" spans="1:28" x14ac:dyDescent="0.3">
      <c r="A311">
        <v>310</v>
      </c>
      <c r="B311" t="s">
        <v>359</v>
      </c>
      <c r="C311">
        <v>22600000</v>
      </c>
      <c r="D311">
        <v>13405849040</v>
      </c>
      <c r="E311" t="s">
        <v>977</v>
      </c>
      <c r="F311" t="s">
        <v>359</v>
      </c>
      <c r="G311">
        <v>171</v>
      </c>
      <c r="H311" t="s">
        <v>984</v>
      </c>
      <c r="I311" t="s">
        <v>985</v>
      </c>
      <c r="J311" t="s">
        <v>977</v>
      </c>
      <c r="K311">
        <v>273</v>
      </c>
      <c r="L311">
        <v>88</v>
      </c>
      <c r="M311">
        <v>84</v>
      </c>
      <c r="N311">
        <v>95253000</v>
      </c>
      <c r="O311">
        <v>23800</v>
      </c>
      <c r="P311">
        <v>381000</v>
      </c>
      <c r="Q311">
        <v>285800</v>
      </c>
      <c r="R311">
        <v>4600000</v>
      </c>
      <c r="S311" t="s">
        <v>987</v>
      </c>
      <c r="T311">
        <v>2007</v>
      </c>
      <c r="U311" t="s">
        <v>1029</v>
      </c>
      <c r="V311">
        <v>19</v>
      </c>
      <c r="W311">
        <v>88.2</v>
      </c>
      <c r="X311">
        <v>328239523</v>
      </c>
      <c r="Y311">
        <v>14.7</v>
      </c>
      <c r="Z311">
        <v>270663028</v>
      </c>
      <c r="AA311">
        <v>37.090240000000001</v>
      </c>
      <c r="AB311">
        <v>-95.712890999999999</v>
      </c>
    </row>
    <row r="312" spans="1:28" x14ac:dyDescent="0.3">
      <c r="A312">
        <v>311</v>
      </c>
      <c r="B312" t="s">
        <v>19</v>
      </c>
      <c r="C312">
        <v>22600000</v>
      </c>
      <c r="D312">
        <v>27084848152</v>
      </c>
      <c r="E312" t="s">
        <v>994</v>
      </c>
      <c r="F312" t="s">
        <v>19</v>
      </c>
      <c r="G312">
        <v>2321</v>
      </c>
      <c r="H312" t="s">
        <v>984</v>
      </c>
      <c r="I312" t="s">
        <v>985</v>
      </c>
      <c r="J312" t="s">
        <v>1002</v>
      </c>
      <c r="K312">
        <v>57</v>
      </c>
      <c r="L312">
        <v>87</v>
      </c>
      <c r="M312">
        <v>11</v>
      </c>
      <c r="N312">
        <v>1174000000</v>
      </c>
      <c r="O312">
        <v>293500</v>
      </c>
      <c r="P312">
        <v>4700000</v>
      </c>
      <c r="Q312">
        <v>3500000</v>
      </c>
      <c r="R312">
        <v>56300000</v>
      </c>
      <c r="S312">
        <v>1300000</v>
      </c>
      <c r="T312">
        <v>2021</v>
      </c>
      <c r="U312" t="s">
        <v>991</v>
      </c>
      <c r="V312">
        <v>28</v>
      </c>
      <c r="W312">
        <v>88.2</v>
      </c>
      <c r="X312">
        <v>328239523</v>
      </c>
      <c r="Y312">
        <v>14.7</v>
      </c>
      <c r="Z312">
        <v>270663028</v>
      </c>
      <c r="AA312">
        <v>37.090240000000001</v>
      </c>
      <c r="AB312">
        <v>-95.712890999999999</v>
      </c>
    </row>
    <row r="313" spans="1:28" x14ac:dyDescent="0.3">
      <c r="A313">
        <v>312</v>
      </c>
      <c r="B313" t="s">
        <v>506</v>
      </c>
      <c r="C313">
        <v>22500000</v>
      </c>
      <c r="D313">
        <v>2431154438</v>
      </c>
      <c r="E313" t="s">
        <v>982</v>
      </c>
      <c r="F313" t="s">
        <v>506</v>
      </c>
      <c r="G313">
        <v>3377</v>
      </c>
      <c r="H313" t="s">
        <v>978</v>
      </c>
      <c r="I313" t="s">
        <v>979</v>
      </c>
      <c r="J313" t="s">
        <v>1022</v>
      </c>
      <c r="K313">
        <v>3793</v>
      </c>
      <c r="L313">
        <v>64</v>
      </c>
      <c r="M313">
        <v>23</v>
      </c>
      <c r="N313">
        <v>48740000</v>
      </c>
      <c r="O313">
        <v>12200</v>
      </c>
      <c r="P313">
        <v>195000</v>
      </c>
      <c r="Q313">
        <v>146200</v>
      </c>
      <c r="R313">
        <v>2300000</v>
      </c>
      <c r="S313">
        <v>200000</v>
      </c>
      <c r="T313">
        <v>2015</v>
      </c>
      <c r="U313" t="s">
        <v>991</v>
      </c>
      <c r="V313">
        <v>12</v>
      </c>
      <c r="W313">
        <v>28.1</v>
      </c>
      <c r="X313">
        <v>1366417754</v>
      </c>
      <c r="Y313">
        <v>5.36</v>
      </c>
      <c r="Z313">
        <v>471031528</v>
      </c>
      <c r="AA313">
        <v>20.593684</v>
      </c>
      <c r="AB313">
        <v>78.962879999999998</v>
      </c>
    </row>
    <row r="314" spans="1:28" x14ac:dyDescent="0.3">
      <c r="A314">
        <v>313</v>
      </c>
      <c r="B314" t="s">
        <v>436</v>
      </c>
      <c r="C314">
        <v>22500000</v>
      </c>
      <c r="D314">
        <v>10613701948</v>
      </c>
      <c r="E314" t="s">
        <v>987</v>
      </c>
      <c r="F314" t="s">
        <v>436</v>
      </c>
      <c r="G314">
        <v>526</v>
      </c>
      <c r="H314" t="s">
        <v>984</v>
      </c>
      <c r="I314" t="s">
        <v>985</v>
      </c>
      <c r="J314" t="s">
        <v>988</v>
      </c>
      <c r="K314">
        <v>399</v>
      </c>
      <c r="L314">
        <v>89</v>
      </c>
      <c r="M314">
        <v>84</v>
      </c>
      <c r="N314">
        <v>65066000</v>
      </c>
      <c r="O314">
        <v>16300</v>
      </c>
      <c r="P314">
        <v>260300</v>
      </c>
      <c r="Q314">
        <v>195200</v>
      </c>
      <c r="R314">
        <v>3100000</v>
      </c>
      <c r="S314">
        <v>100000</v>
      </c>
      <c r="T314">
        <v>2018</v>
      </c>
      <c r="U314" t="s">
        <v>1029</v>
      </c>
      <c r="V314">
        <v>9</v>
      </c>
      <c r="W314">
        <v>88.2</v>
      </c>
      <c r="X314">
        <v>328239523</v>
      </c>
      <c r="Y314">
        <v>14.7</v>
      </c>
      <c r="Z314">
        <v>270663028</v>
      </c>
      <c r="AA314">
        <v>37.090240000000001</v>
      </c>
      <c r="AB314">
        <v>-95.712890999999999</v>
      </c>
    </row>
    <row r="315" spans="1:28" x14ac:dyDescent="0.3">
      <c r="A315">
        <v>314</v>
      </c>
      <c r="B315" t="s">
        <v>216</v>
      </c>
      <c r="C315">
        <v>22500000</v>
      </c>
      <c r="D315">
        <v>13835173331</v>
      </c>
      <c r="E315" t="s">
        <v>996</v>
      </c>
      <c r="F315" t="s">
        <v>216</v>
      </c>
      <c r="G315">
        <v>3315</v>
      </c>
      <c r="H315" t="s">
        <v>984</v>
      </c>
      <c r="I315" t="s">
        <v>985</v>
      </c>
      <c r="J315" t="s">
        <v>986</v>
      </c>
      <c r="K315">
        <v>261</v>
      </c>
      <c r="L315">
        <v>90</v>
      </c>
      <c r="M315">
        <v>21</v>
      </c>
      <c r="N315">
        <v>175094000</v>
      </c>
      <c r="O315">
        <v>43800</v>
      </c>
      <c r="P315">
        <v>700400</v>
      </c>
      <c r="Q315">
        <v>525300</v>
      </c>
      <c r="R315">
        <v>8400000</v>
      </c>
      <c r="S315">
        <v>200000</v>
      </c>
      <c r="T315">
        <v>2009</v>
      </c>
      <c r="U315" t="s">
        <v>1029</v>
      </c>
      <c r="V315">
        <v>28</v>
      </c>
      <c r="W315">
        <v>88.2</v>
      </c>
      <c r="X315">
        <v>328239523</v>
      </c>
      <c r="Y315">
        <v>14.7</v>
      </c>
      <c r="Z315">
        <v>270663028</v>
      </c>
      <c r="AA315">
        <v>37.090240000000001</v>
      </c>
      <c r="AB315">
        <v>-95.712890999999999</v>
      </c>
    </row>
    <row r="316" spans="1:28" x14ac:dyDescent="0.3">
      <c r="A316">
        <v>315</v>
      </c>
      <c r="B316" t="s">
        <v>418</v>
      </c>
      <c r="C316">
        <v>22400000</v>
      </c>
      <c r="D316">
        <v>8040036209</v>
      </c>
      <c r="E316" t="s">
        <v>977</v>
      </c>
      <c r="F316" t="s">
        <v>418</v>
      </c>
      <c r="G316">
        <v>58</v>
      </c>
      <c r="H316" t="s">
        <v>1023</v>
      </c>
      <c r="I316" t="s">
        <v>1024</v>
      </c>
      <c r="J316" t="s">
        <v>977</v>
      </c>
      <c r="K316">
        <v>648</v>
      </c>
      <c r="L316">
        <v>6</v>
      </c>
      <c r="M316">
        <v>85</v>
      </c>
      <c r="N316">
        <v>72242000</v>
      </c>
      <c r="O316">
        <v>18100</v>
      </c>
      <c r="P316">
        <v>289000</v>
      </c>
      <c r="Q316">
        <v>216700</v>
      </c>
      <c r="R316">
        <v>3500000</v>
      </c>
      <c r="S316" t="s">
        <v>987</v>
      </c>
      <c r="T316">
        <v>2016</v>
      </c>
      <c r="U316" t="s">
        <v>1010</v>
      </c>
      <c r="V316">
        <v>8</v>
      </c>
      <c r="W316">
        <v>90</v>
      </c>
      <c r="X316">
        <v>44938712</v>
      </c>
      <c r="Y316">
        <v>9.7899999999999991</v>
      </c>
      <c r="Z316">
        <v>41339571</v>
      </c>
      <c r="AA316">
        <v>-38.416097000000001</v>
      </c>
      <c r="AB316">
        <v>-63.616672000000001</v>
      </c>
    </row>
    <row r="317" spans="1:28" x14ac:dyDescent="0.3">
      <c r="A317">
        <v>316</v>
      </c>
      <c r="B317" t="s">
        <v>819</v>
      </c>
      <c r="C317">
        <v>22300000</v>
      </c>
      <c r="D317">
        <v>8663830163</v>
      </c>
      <c r="E317" t="s">
        <v>994</v>
      </c>
      <c r="F317" t="s">
        <v>1133</v>
      </c>
      <c r="G317">
        <v>34</v>
      </c>
      <c r="H317" t="s">
        <v>1134</v>
      </c>
      <c r="I317" t="s">
        <v>1135</v>
      </c>
      <c r="J317" t="s">
        <v>977</v>
      </c>
      <c r="K317">
        <v>3805801</v>
      </c>
      <c r="L317">
        <v>3046</v>
      </c>
      <c r="M317">
        <v>4509</v>
      </c>
      <c r="N317">
        <v>735</v>
      </c>
      <c r="O317">
        <v>0.18</v>
      </c>
      <c r="P317">
        <v>3</v>
      </c>
      <c r="Q317">
        <v>2</v>
      </c>
      <c r="R317">
        <v>35</v>
      </c>
      <c r="S317">
        <v>10</v>
      </c>
      <c r="T317">
        <v>2019</v>
      </c>
      <c r="U317" t="s">
        <v>1029</v>
      </c>
      <c r="V317">
        <v>3</v>
      </c>
      <c r="W317">
        <v>65.599999999999994</v>
      </c>
      <c r="X317">
        <v>67059887</v>
      </c>
      <c r="Y317">
        <v>8.43</v>
      </c>
      <c r="Z317">
        <v>54123364</v>
      </c>
      <c r="AA317">
        <v>46.227637999999999</v>
      </c>
      <c r="AB317">
        <v>2.213749</v>
      </c>
    </row>
    <row r="318" spans="1:28" x14ac:dyDescent="0.3">
      <c r="A318">
        <v>317</v>
      </c>
      <c r="B318" t="s">
        <v>283</v>
      </c>
      <c r="C318">
        <v>22300000</v>
      </c>
      <c r="D318">
        <v>24059336857</v>
      </c>
      <c r="E318" t="s">
        <v>996</v>
      </c>
      <c r="F318" t="s">
        <v>283</v>
      </c>
      <c r="G318">
        <v>1724</v>
      </c>
      <c r="H318" t="s">
        <v>984</v>
      </c>
      <c r="I318" t="s">
        <v>985</v>
      </c>
      <c r="J318" t="s">
        <v>986</v>
      </c>
      <c r="K318">
        <v>77</v>
      </c>
      <c r="L318">
        <v>91</v>
      </c>
      <c r="M318">
        <v>22</v>
      </c>
      <c r="N318">
        <v>132110000</v>
      </c>
      <c r="O318">
        <v>33000</v>
      </c>
      <c r="P318">
        <v>528400</v>
      </c>
      <c r="Q318">
        <v>396300</v>
      </c>
      <c r="R318">
        <v>6300000</v>
      </c>
      <c r="S318">
        <v>100000</v>
      </c>
      <c r="T318">
        <v>2013</v>
      </c>
      <c r="U318" t="s">
        <v>995</v>
      </c>
      <c r="V318">
        <v>24</v>
      </c>
      <c r="W318">
        <v>88.2</v>
      </c>
      <c r="X318">
        <v>328239523</v>
      </c>
      <c r="Y318">
        <v>14.7</v>
      </c>
      <c r="Z318">
        <v>270663028</v>
      </c>
      <c r="AA318">
        <v>37.090240000000001</v>
      </c>
      <c r="AB318">
        <v>-95.712890999999999</v>
      </c>
    </row>
    <row r="319" spans="1:28" x14ac:dyDescent="0.3">
      <c r="A319">
        <v>318</v>
      </c>
      <c r="B319" t="s">
        <v>263</v>
      </c>
      <c r="C319">
        <v>22200000</v>
      </c>
      <c r="D319">
        <v>11136266461</v>
      </c>
      <c r="E319" t="s">
        <v>988</v>
      </c>
      <c r="F319" t="s">
        <v>263</v>
      </c>
      <c r="G319">
        <v>999</v>
      </c>
      <c r="H319" t="s">
        <v>984</v>
      </c>
      <c r="I319" t="s">
        <v>985</v>
      </c>
      <c r="J319" t="s">
        <v>988</v>
      </c>
      <c r="K319">
        <v>370</v>
      </c>
      <c r="L319">
        <v>92</v>
      </c>
      <c r="M319">
        <v>86</v>
      </c>
      <c r="N319">
        <v>139333000</v>
      </c>
      <c r="O319">
        <v>34800</v>
      </c>
      <c r="P319">
        <v>557300</v>
      </c>
      <c r="Q319">
        <v>418000</v>
      </c>
      <c r="R319">
        <v>6700000</v>
      </c>
      <c r="S319">
        <v>200000</v>
      </c>
      <c r="T319">
        <v>2015</v>
      </c>
      <c r="U319" t="s">
        <v>991</v>
      </c>
      <c r="V319">
        <v>25</v>
      </c>
      <c r="W319">
        <v>88.2</v>
      </c>
      <c r="X319">
        <v>328239523</v>
      </c>
      <c r="Y319">
        <v>14.7</v>
      </c>
      <c r="Z319">
        <v>270663028</v>
      </c>
      <c r="AA319">
        <v>37.090240000000001</v>
      </c>
      <c r="AB319">
        <v>-95.712890999999999</v>
      </c>
    </row>
    <row r="320" spans="1:28" x14ac:dyDescent="0.3">
      <c r="A320">
        <v>319</v>
      </c>
      <c r="B320" t="s">
        <v>313</v>
      </c>
      <c r="C320">
        <v>22000000</v>
      </c>
      <c r="D320">
        <v>9924807127</v>
      </c>
      <c r="E320" t="s">
        <v>977</v>
      </c>
      <c r="F320" t="s">
        <v>313</v>
      </c>
      <c r="G320">
        <v>157</v>
      </c>
      <c r="H320" t="s">
        <v>984</v>
      </c>
      <c r="I320" t="s">
        <v>985</v>
      </c>
      <c r="J320" t="s">
        <v>977</v>
      </c>
      <c r="K320">
        <v>449</v>
      </c>
      <c r="L320">
        <v>94</v>
      </c>
      <c r="M320">
        <v>86</v>
      </c>
      <c r="N320">
        <v>111500000</v>
      </c>
      <c r="O320">
        <v>27900</v>
      </c>
      <c r="P320">
        <v>446000</v>
      </c>
      <c r="Q320">
        <v>334500</v>
      </c>
      <c r="R320">
        <v>5400000</v>
      </c>
      <c r="S320">
        <v>100000</v>
      </c>
      <c r="T320">
        <v>2009</v>
      </c>
      <c r="U320" t="s">
        <v>991</v>
      </c>
      <c r="V320">
        <v>9</v>
      </c>
      <c r="W320">
        <v>88.2</v>
      </c>
      <c r="X320">
        <v>328239523</v>
      </c>
      <c r="Y320">
        <v>14.7</v>
      </c>
      <c r="Z320">
        <v>270663028</v>
      </c>
      <c r="AA320">
        <v>37.090240000000001</v>
      </c>
      <c r="AB320">
        <v>-95.712890999999999</v>
      </c>
    </row>
    <row r="321" spans="1:28" x14ac:dyDescent="0.3">
      <c r="A321">
        <v>320</v>
      </c>
      <c r="B321" t="s">
        <v>203</v>
      </c>
      <c r="C321">
        <v>22000000</v>
      </c>
      <c r="D321">
        <v>8594440895</v>
      </c>
      <c r="E321" t="s">
        <v>987</v>
      </c>
      <c r="F321" t="s">
        <v>203</v>
      </c>
      <c r="G321">
        <v>515</v>
      </c>
      <c r="H321" t="s">
        <v>984</v>
      </c>
      <c r="I321" t="s">
        <v>985</v>
      </c>
      <c r="J321" t="s">
        <v>988</v>
      </c>
      <c r="K321">
        <v>591</v>
      </c>
      <c r="L321">
        <v>93</v>
      </c>
      <c r="M321">
        <v>87</v>
      </c>
      <c r="N321">
        <v>183871000</v>
      </c>
      <c r="O321">
        <v>46000</v>
      </c>
      <c r="P321">
        <v>735500</v>
      </c>
      <c r="Q321">
        <v>551600</v>
      </c>
      <c r="R321">
        <v>8800000</v>
      </c>
      <c r="S321">
        <v>200000</v>
      </c>
      <c r="T321">
        <v>2018</v>
      </c>
      <c r="U321" t="s">
        <v>1025</v>
      </c>
      <c r="V321">
        <v>11</v>
      </c>
      <c r="W321">
        <v>88.2</v>
      </c>
      <c r="X321">
        <v>328239523</v>
      </c>
      <c r="Y321">
        <v>14.7</v>
      </c>
      <c r="Z321">
        <v>270663028</v>
      </c>
      <c r="AA321">
        <v>37.090240000000001</v>
      </c>
      <c r="AB321">
        <v>-95.712890999999999</v>
      </c>
    </row>
    <row r="322" spans="1:28" x14ac:dyDescent="0.3">
      <c r="A322">
        <v>321</v>
      </c>
      <c r="B322" t="s">
        <v>39</v>
      </c>
      <c r="C322">
        <v>22000000</v>
      </c>
      <c r="D322">
        <v>18347969186</v>
      </c>
      <c r="E322" t="s">
        <v>988</v>
      </c>
      <c r="F322" t="s">
        <v>39</v>
      </c>
      <c r="G322">
        <v>6274</v>
      </c>
      <c r="H322" t="s">
        <v>997</v>
      </c>
      <c r="I322" t="s">
        <v>998</v>
      </c>
      <c r="J322" t="s">
        <v>988</v>
      </c>
      <c r="K322">
        <v>144</v>
      </c>
      <c r="L322">
        <v>3</v>
      </c>
      <c r="M322">
        <v>88</v>
      </c>
      <c r="N322">
        <v>711254000</v>
      </c>
      <c r="O322">
        <v>177800</v>
      </c>
      <c r="P322">
        <v>2800000</v>
      </c>
      <c r="Q322">
        <v>2100000</v>
      </c>
      <c r="R322">
        <v>34100000</v>
      </c>
      <c r="S322">
        <v>800000</v>
      </c>
      <c r="T322">
        <v>2021</v>
      </c>
      <c r="U322" t="s">
        <v>989</v>
      </c>
      <c r="V322">
        <v>13</v>
      </c>
      <c r="W322">
        <v>63.2</v>
      </c>
      <c r="X322">
        <v>126226568</v>
      </c>
      <c r="Y322">
        <v>2.29</v>
      </c>
      <c r="Z322">
        <v>115782416</v>
      </c>
      <c r="AA322">
        <v>36.204824000000002</v>
      </c>
      <c r="AB322">
        <v>138.25292400000001</v>
      </c>
    </row>
    <row r="323" spans="1:28" x14ac:dyDescent="0.3">
      <c r="A323">
        <v>322</v>
      </c>
      <c r="B323" t="s">
        <v>200</v>
      </c>
      <c r="C323">
        <v>21900000</v>
      </c>
      <c r="D323">
        <v>4454917643</v>
      </c>
      <c r="E323" t="s">
        <v>982</v>
      </c>
      <c r="F323" t="s">
        <v>200</v>
      </c>
      <c r="G323">
        <v>301</v>
      </c>
      <c r="H323" t="s">
        <v>984</v>
      </c>
      <c r="I323" t="s">
        <v>985</v>
      </c>
      <c r="J323" t="s">
        <v>988</v>
      </c>
      <c r="K323">
        <v>1620</v>
      </c>
      <c r="L323">
        <v>94</v>
      </c>
      <c r="M323">
        <v>88</v>
      </c>
      <c r="N323">
        <v>184946000</v>
      </c>
      <c r="O323">
        <v>46200</v>
      </c>
      <c r="P323">
        <v>739800</v>
      </c>
      <c r="Q323">
        <v>554800</v>
      </c>
      <c r="R323">
        <v>8900000</v>
      </c>
      <c r="S323">
        <v>500000</v>
      </c>
      <c r="T323">
        <v>2014</v>
      </c>
      <c r="U323" t="s">
        <v>1008</v>
      </c>
      <c r="V323">
        <v>5</v>
      </c>
      <c r="W323">
        <v>88.2</v>
      </c>
      <c r="X323">
        <v>328239523</v>
      </c>
      <c r="Y323">
        <v>14.7</v>
      </c>
      <c r="Z323">
        <v>270663028</v>
      </c>
      <c r="AA323">
        <v>37.090240000000001</v>
      </c>
      <c r="AB323">
        <v>-95.712890999999999</v>
      </c>
    </row>
    <row r="324" spans="1:28" x14ac:dyDescent="0.3">
      <c r="A324">
        <v>323</v>
      </c>
      <c r="B324" t="s">
        <v>162</v>
      </c>
      <c r="C324">
        <v>21900000</v>
      </c>
      <c r="D324">
        <v>5918314128</v>
      </c>
      <c r="E324" t="s">
        <v>994</v>
      </c>
      <c r="F324" t="s">
        <v>162</v>
      </c>
      <c r="G324">
        <v>946</v>
      </c>
      <c r="H324" t="s">
        <v>984</v>
      </c>
      <c r="I324" t="s">
        <v>985</v>
      </c>
      <c r="J324" t="s">
        <v>1002</v>
      </c>
      <c r="K324">
        <v>1069</v>
      </c>
      <c r="L324">
        <v>94</v>
      </c>
      <c r="M324">
        <v>12</v>
      </c>
      <c r="N324">
        <v>234222000</v>
      </c>
      <c r="O324">
        <v>58600</v>
      </c>
      <c r="P324">
        <v>936900</v>
      </c>
      <c r="Q324">
        <v>702700</v>
      </c>
      <c r="R324">
        <v>11200000</v>
      </c>
      <c r="S324">
        <v>400000</v>
      </c>
      <c r="T324">
        <v>2014</v>
      </c>
      <c r="U324" t="s">
        <v>1015</v>
      </c>
      <c r="V324">
        <v>5</v>
      </c>
      <c r="W324">
        <v>88.2</v>
      </c>
      <c r="X324">
        <v>328239523</v>
      </c>
      <c r="Y324">
        <v>14.7</v>
      </c>
      <c r="Z324">
        <v>270663028</v>
      </c>
      <c r="AA324">
        <v>37.090240000000001</v>
      </c>
      <c r="AB324">
        <v>-95.712890999999999</v>
      </c>
    </row>
    <row r="325" spans="1:28" x14ac:dyDescent="0.3">
      <c r="A325">
        <v>324</v>
      </c>
      <c r="B325" t="s">
        <v>40</v>
      </c>
      <c r="C325">
        <v>21900000</v>
      </c>
      <c r="D325">
        <v>15552070846</v>
      </c>
      <c r="E325" t="s">
        <v>1044</v>
      </c>
      <c r="F325" t="s">
        <v>40</v>
      </c>
      <c r="G325">
        <v>816</v>
      </c>
      <c r="H325" t="s">
        <v>984</v>
      </c>
      <c r="I325" t="s">
        <v>985</v>
      </c>
      <c r="J325" t="s">
        <v>1044</v>
      </c>
      <c r="K325">
        <v>204</v>
      </c>
      <c r="L325">
        <v>91</v>
      </c>
      <c r="M325">
        <v>16</v>
      </c>
      <c r="N325">
        <v>687028000</v>
      </c>
      <c r="O325">
        <v>171800</v>
      </c>
      <c r="P325">
        <v>2700000</v>
      </c>
      <c r="Q325">
        <v>2100000</v>
      </c>
      <c r="R325">
        <v>33000000</v>
      </c>
      <c r="S325">
        <v>1900000</v>
      </c>
      <c r="T325">
        <v>2014</v>
      </c>
      <c r="U325" t="s">
        <v>1015</v>
      </c>
      <c r="V325">
        <v>9</v>
      </c>
      <c r="W325">
        <v>88.2</v>
      </c>
      <c r="X325">
        <v>328239523</v>
      </c>
      <c r="Y325">
        <v>14.7</v>
      </c>
      <c r="Z325">
        <v>270663028</v>
      </c>
      <c r="AA325">
        <v>37.090240000000001</v>
      </c>
      <c r="AB325">
        <v>-95.712890999999999</v>
      </c>
    </row>
    <row r="326" spans="1:28" x14ac:dyDescent="0.3">
      <c r="A326">
        <v>325</v>
      </c>
      <c r="B326" t="s">
        <v>814</v>
      </c>
      <c r="C326">
        <v>21900000</v>
      </c>
      <c r="D326">
        <v>20657571751</v>
      </c>
      <c r="E326" t="s">
        <v>988</v>
      </c>
      <c r="F326" t="s">
        <v>1136</v>
      </c>
      <c r="G326">
        <v>116</v>
      </c>
      <c r="H326" t="s">
        <v>1058</v>
      </c>
      <c r="I326" t="s">
        <v>1059</v>
      </c>
      <c r="J326" t="s">
        <v>977</v>
      </c>
      <c r="K326">
        <v>1277277</v>
      </c>
      <c r="L326">
        <v>2973</v>
      </c>
      <c r="M326">
        <v>4085</v>
      </c>
      <c r="N326">
        <v>4719</v>
      </c>
      <c r="O326">
        <v>1</v>
      </c>
      <c r="P326">
        <v>19</v>
      </c>
      <c r="Q326">
        <v>14</v>
      </c>
      <c r="R326">
        <v>227</v>
      </c>
      <c r="S326" t="s">
        <v>987</v>
      </c>
      <c r="T326">
        <v>2008</v>
      </c>
      <c r="U326" t="s">
        <v>999</v>
      </c>
      <c r="V326">
        <v>7</v>
      </c>
      <c r="W326">
        <v>40.200000000000003</v>
      </c>
      <c r="X326">
        <v>126014024</v>
      </c>
      <c r="Y326">
        <v>3.42</v>
      </c>
      <c r="Z326">
        <v>102626859</v>
      </c>
      <c r="AA326">
        <v>23.634501</v>
      </c>
      <c r="AB326">
        <v>-102.552784</v>
      </c>
    </row>
    <row r="327" spans="1:28" x14ac:dyDescent="0.3">
      <c r="A327">
        <v>326</v>
      </c>
      <c r="B327" t="s">
        <v>186</v>
      </c>
      <c r="C327">
        <v>21800000</v>
      </c>
      <c r="D327">
        <v>4469711607</v>
      </c>
      <c r="E327" t="s">
        <v>994</v>
      </c>
      <c r="F327" t="s">
        <v>186</v>
      </c>
      <c r="G327">
        <v>257</v>
      </c>
      <c r="H327" t="s">
        <v>984</v>
      </c>
      <c r="I327" t="s">
        <v>985</v>
      </c>
      <c r="J327" t="s">
        <v>1002</v>
      </c>
      <c r="K327">
        <v>1610</v>
      </c>
      <c r="L327">
        <v>95</v>
      </c>
      <c r="M327">
        <v>13</v>
      </c>
      <c r="N327">
        <v>197953000</v>
      </c>
      <c r="O327">
        <v>49500</v>
      </c>
      <c r="P327">
        <v>791800</v>
      </c>
      <c r="Q327">
        <v>593900</v>
      </c>
      <c r="R327">
        <v>9500000</v>
      </c>
      <c r="S327">
        <v>600000</v>
      </c>
      <c r="T327">
        <v>2008</v>
      </c>
      <c r="U327" t="s">
        <v>999</v>
      </c>
      <c r="V327">
        <v>11</v>
      </c>
      <c r="W327">
        <v>88.2</v>
      </c>
      <c r="X327">
        <v>328239523</v>
      </c>
      <c r="Y327">
        <v>14.7</v>
      </c>
      <c r="Z327">
        <v>270663028</v>
      </c>
      <c r="AA327">
        <v>37.090240000000001</v>
      </c>
      <c r="AB327">
        <v>-95.712890999999999</v>
      </c>
    </row>
    <row r="328" spans="1:28" x14ac:dyDescent="0.3">
      <c r="A328">
        <v>327</v>
      </c>
      <c r="B328" t="s">
        <v>513</v>
      </c>
      <c r="C328">
        <v>21800000</v>
      </c>
      <c r="D328">
        <v>5614621131</v>
      </c>
      <c r="E328" t="s">
        <v>1088</v>
      </c>
      <c r="F328" t="s">
        <v>513</v>
      </c>
      <c r="G328">
        <v>10162</v>
      </c>
      <c r="H328" t="s">
        <v>984</v>
      </c>
      <c r="I328" t="s">
        <v>985</v>
      </c>
      <c r="J328" t="s">
        <v>988</v>
      </c>
      <c r="K328">
        <v>1158</v>
      </c>
      <c r="L328">
        <v>95</v>
      </c>
      <c r="M328">
        <v>89</v>
      </c>
      <c r="N328">
        <v>45812000</v>
      </c>
      <c r="O328">
        <v>11500</v>
      </c>
      <c r="P328">
        <v>183200</v>
      </c>
      <c r="Q328">
        <v>137400</v>
      </c>
      <c r="R328">
        <v>2200000</v>
      </c>
      <c r="S328">
        <v>100000</v>
      </c>
      <c r="T328">
        <v>2006</v>
      </c>
      <c r="U328" t="s">
        <v>995</v>
      </c>
      <c r="V328">
        <v>7</v>
      </c>
      <c r="W328">
        <v>88.2</v>
      </c>
      <c r="X328">
        <v>328239523</v>
      </c>
      <c r="Y328">
        <v>14.7</v>
      </c>
      <c r="Z328">
        <v>270663028</v>
      </c>
      <c r="AA328">
        <v>37.090240000000001</v>
      </c>
      <c r="AB328">
        <v>-95.712890999999999</v>
      </c>
    </row>
    <row r="329" spans="1:28" x14ac:dyDescent="0.3">
      <c r="A329">
        <v>328</v>
      </c>
      <c r="B329" t="s">
        <v>291</v>
      </c>
      <c r="C329">
        <v>21800000</v>
      </c>
      <c r="D329">
        <v>11288359365</v>
      </c>
      <c r="E329" t="s">
        <v>977</v>
      </c>
      <c r="F329" t="s">
        <v>291</v>
      </c>
      <c r="G329">
        <v>164</v>
      </c>
      <c r="H329" t="s">
        <v>1013</v>
      </c>
      <c r="I329" t="s">
        <v>1014</v>
      </c>
      <c r="J329" t="s">
        <v>977</v>
      </c>
      <c r="K329">
        <v>368</v>
      </c>
      <c r="L329">
        <v>14</v>
      </c>
      <c r="M329">
        <v>87</v>
      </c>
      <c r="N329">
        <v>128047000</v>
      </c>
      <c r="O329">
        <v>32000</v>
      </c>
      <c r="P329">
        <v>512200</v>
      </c>
      <c r="Q329">
        <v>384100</v>
      </c>
      <c r="R329">
        <v>6100000</v>
      </c>
      <c r="S329">
        <v>100000</v>
      </c>
      <c r="T329">
        <v>2011</v>
      </c>
      <c r="U329" t="s">
        <v>989</v>
      </c>
      <c r="V329">
        <v>5</v>
      </c>
      <c r="W329">
        <v>60</v>
      </c>
      <c r="X329">
        <v>66834405</v>
      </c>
      <c r="Y329">
        <v>3.85</v>
      </c>
      <c r="Z329">
        <v>55908316</v>
      </c>
      <c r="AA329">
        <v>55.378050999999999</v>
      </c>
      <c r="AB329">
        <v>-3.4359730000000002</v>
      </c>
    </row>
    <row r="330" spans="1:28" x14ac:dyDescent="0.3">
      <c r="A330">
        <v>329</v>
      </c>
      <c r="B330" t="s">
        <v>484</v>
      </c>
      <c r="C330">
        <v>21800000</v>
      </c>
      <c r="D330">
        <v>12140232004</v>
      </c>
      <c r="E330" t="s">
        <v>977</v>
      </c>
      <c r="F330" t="s">
        <v>484</v>
      </c>
      <c r="G330">
        <v>266</v>
      </c>
      <c r="H330" t="s">
        <v>1013</v>
      </c>
      <c r="I330" t="s">
        <v>1014</v>
      </c>
      <c r="J330" t="s">
        <v>977</v>
      </c>
      <c r="K330">
        <v>322</v>
      </c>
      <c r="L330">
        <v>14</v>
      </c>
      <c r="M330">
        <v>87</v>
      </c>
      <c r="N330">
        <v>51134000</v>
      </c>
      <c r="O330">
        <v>12800</v>
      </c>
      <c r="P330">
        <v>204500</v>
      </c>
      <c r="Q330">
        <v>153400</v>
      </c>
      <c r="R330">
        <v>2500000</v>
      </c>
      <c r="S330" t="s">
        <v>987</v>
      </c>
      <c r="T330">
        <v>2010</v>
      </c>
      <c r="U330" t="s">
        <v>1005</v>
      </c>
      <c r="V330">
        <v>4</v>
      </c>
      <c r="W330">
        <v>60</v>
      </c>
      <c r="X330">
        <v>66834405</v>
      </c>
      <c r="Y330">
        <v>3.85</v>
      </c>
      <c r="Z330">
        <v>55908316</v>
      </c>
      <c r="AA330">
        <v>55.378050999999999</v>
      </c>
      <c r="AB330">
        <v>-3.4359730000000002</v>
      </c>
    </row>
    <row r="331" spans="1:28" x14ac:dyDescent="0.3">
      <c r="A331">
        <v>330</v>
      </c>
      <c r="B331" t="s">
        <v>810</v>
      </c>
      <c r="C331">
        <v>21800000</v>
      </c>
      <c r="D331">
        <v>19329351143</v>
      </c>
      <c r="E331" t="s">
        <v>977</v>
      </c>
      <c r="F331" t="s">
        <v>1137</v>
      </c>
      <c r="G331">
        <v>135</v>
      </c>
      <c r="H331" t="s">
        <v>987</v>
      </c>
      <c r="I331" t="s">
        <v>987</v>
      </c>
      <c r="J331" t="s">
        <v>977</v>
      </c>
      <c r="K331">
        <v>926975</v>
      </c>
      <c r="L331" t="s">
        <v>987</v>
      </c>
      <c r="M331">
        <v>2709</v>
      </c>
      <c r="N331">
        <v>10571</v>
      </c>
      <c r="O331">
        <v>3</v>
      </c>
      <c r="P331">
        <v>42</v>
      </c>
      <c r="Q331">
        <v>32</v>
      </c>
      <c r="R331">
        <v>507</v>
      </c>
      <c r="S331">
        <v>100</v>
      </c>
      <c r="T331">
        <v>2011</v>
      </c>
      <c r="U331" t="s">
        <v>1025</v>
      </c>
      <c r="V331">
        <v>27</v>
      </c>
      <c r="W331" t="s">
        <v>987</v>
      </c>
      <c r="X331" t="s">
        <v>987</v>
      </c>
      <c r="Y331" t="s">
        <v>987</v>
      </c>
      <c r="Z331" t="s">
        <v>987</v>
      </c>
      <c r="AA331" t="s">
        <v>987</v>
      </c>
      <c r="AB331" t="s">
        <v>987</v>
      </c>
    </row>
    <row r="332" spans="1:28" x14ac:dyDescent="0.3">
      <c r="A332">
        <v>331</v>
      </c>
      <c r="B332" t="s">
        <v>900</v>
      </c>
      <c r="C332">
        <v>21800000</v>
      </c>
      <c r="D332">
        <v>7780934187</v>
      </c>
      <c r="E332" t="s">
        <v>994</v>
      </c>
      <c r="F332" t="s">
        <v>1138</v>
      </c>
      <c r="G332">
        <v>1</v>
      </c>
      <c r="H332" t="s">
        <v>987</v>
      </c>
      <c r="I332" t="s">
        <v>987</v>
      </c>
      <c r="J332" t="s">
        <v>1002</v>
      </c>
      <c r="K332">
        <v>4052308</v>
      </c>
      <c r="L332" t="s">
        <v>987</v>
      </c>
      <c r="M332">
        <v>7665</v>
      </c>
      <c r="N332">
        <v>408</v>
      </c>
      <c r="O332">
        <v>0</v>
      </c>
      <c r="P332">
        <v>0</v>
      </c>
      <c r="Q332">
        <v>0</v>
      </c>
      <c r="R332">
        <v>0</v>
      </c>
      <c r="S332" t="s">
        <v>987</v>
      </c>
      <c r="T332">
        <v>2017</v>
      </c>
      <c r="U332" t="s">
        <v>991</v>
      </c>
      <c r="V332">
        <v>24</v>
      </c>
      <c r="W332" t="s">
        <v>987</v>
      </c>
      <c r="X332" t="s">
        <v>987</v>
      </c>
      <c r="Y332" t="s">
        <v>987</v>
      </c>
      <c r="Z332" t="s">
        <v>987</v>
      </c>
      <c r="AA332" t="s">
        <v>987</v>
      </c>
      <c r="AB332" t="s">
        <v>987</v>
      </c>
    </row>
    <row r="333" spans="1:28" x14ac:dyDescent="0.3">
      <c r="A333">
        <v>332</v>
      </c>
      <c r="B333" t="s">
        <v>143</v>
      </c>
      <c r="C333">
        <v>21700000</v>
      </c>
      <c r="D333">
        <v>9392093496</v>
      </c>
      <c r="E333" t="s">
        <v>994</v>
      </c>
      <c r="F333" t="s">
        <v>143</v>
      </c>
      <c r="G333">
        <v>1390</v>
      </c>
      <c r="H333" t="s">
        <v>987</v>
      </c>
      <c r="I333" t="s">
        <v>987</v>
      </c>
      <c r="J333" t="s">
        <v>1002</v>
      </c>
      <c r="K333">
        <v>498</v>
      </c>
      <c r="L333" t="s">
        <v>987</v>
      </c>
      <c r="M333">
        <v>13</v>
      </c>
      <c r="N333">
        <v>265336000</v>
      </c>
      <c r="O333">
        <v>66300</v>
      </c>
      <c r="P333">
        <v>1100000</v>
      </c>
      <c r="Q333">
        <v>796000</v>
      </c>
      <c r="R333">
        <v>12700000</v>
      </c>
      <c r="S333">
        <v>400000</v>
      </c>
      <c r="T333">
        <v>2019</v>
      </c>
      <c r="U333" t="s">
        <v>989</v>
      </c>
      <c r="V333">
        <v>19</v>
      </c>
      <c r="W333" t="s">
        <v>987</v>
      </c>
      <c r="X333" t="s">
        <v>987</v>
      </c>
      <c r="Y333" t="s">
        <v>987</v>
      </c>
      <c r="Z333" t="s">
        <v>987</v>
      </c>
      <c r="AA333" t="s">
        <v>987</v>
      </c>
      <c r="AB333" t="s">
        <v>987</v>
      </c>
    </row>
    <row r="334" spans="1:28" x14ac:dyDescent="0.3">
      <c r="A334">
        <v>333</v>
      </c>
      <c r="B334" t="s">
        <v>9</v>
      </c>
      <c r="C334">
        <v>21700000</v>
      </c>
      <c r="D334">
        <v>8507818877</v>
      </c>
      <c r="E334" t="s">
        <v>987</v>
      </c>
      <c r="F334" t="s">
        <v>9</v>
      </c>
      <c r="G334">
        <v>15126</v>
      </c>
      <c r="H334" t="s">
        <v>1062</v>
      </c>
      <c r="I334" t="s">
        <v>1063</v>
      </c>
      <c r="J334" t="s">
        <v>1002</v>
      </c>
      <c r="K334">
        <v>608</v>
      </c>
      <c r="L334">
        <v>4</v>
      </c>
      <c r="M334">
        <v>14</v>
      </c>
      <c r="N334">
        <v>1598000000</v>
      </c>
      <c r="O334">
        <v>399600</v>
      </c>
      <c r="P334">
        <v>6400000</v>
      </c>
      <c r="Q334">
        <v>4800000</v>
      </c>
      <c r="R334">
        <v>76700000</v>
      </c>
      <c r="S334">
        <v>3400000</v>
      </c>
      <c r="T334">
        <v>2020</v>
      </c>
      <c r="U334" t="s">
        <v>1005</v>
      </c>
      <c r="V334">
        <v>19</v>
      </c>
      <c r="W334">
        <v>36.799999999999997</v>
      </c>
      <c r="X334">
        <v>9770529</v>
      </c>
      <c r="Y334">
        <v>2.35</v>
      </c>
      <c r="Z334">
        <v>8479744</v>
      </c>
      <c r="AA334">
        <v>23.424075999999999</v>
      </c>
      <c r="AB334">
        <v>53.847817999999997</v>
      </c>
    </row>
    <row r="335" spans="1:28" x14ac:dyDescent="0.3">
      <c r="A335">
        <v>334</v>
      </c>
      <c r="B335" t="s">
        <v>191</v>
      </c>
      <c r="C335">
        <v>21600000</v>
      </c>
      <c r="D335">
        <v>9597894786</v>
      </c>
      <c r="E335" t="s">
        <v>1139</v>
      </c>
      <c r="F335" t="s">
        <v>191</v>
      </c>
      <c r="G335">
        <v>2942</v>
      </c>
      <c r="H335" t="s">
        <v>1019</v>
      </c>
      <c r="I335" t="s">
        <v>1020</v>
      </c>
      <c r="J335" t="s">
        <v>988</v>
      </c>
      <c r="K335">
        <v>481</v>
      </c>
      <c r="L335">
        <v>15</v>
      </c>
      <c r="M335">
        <v>90</v>
      </c>
      <c r="N335">
        <v>193174000</v>
      </c>
      <c r="O335">
        <v>48300</v>
      </c>
      <c r="P335">
        <v>772700</v>
      </c>
      <c r="Q335">
        <v>579500</v>
      </c>
      <c r="R335">
        <v>9300000</v>
      </c>
      <c r="S335">
        <v>300000</v>
      </c>
      <c r="T335">
        <v>2013</v>
      </c>
      <c r="U335" t="s">
        <v>980</v>
      </c>
      <c r="V335">
        <v>2</v>
      </c>
      <c r="W335">
        <v>51.3</v>
      </c>
      <c r="X335">
        <v>212559417</v>
      </c>
      <c r="Y335">
        <v>12.08</v>
      </c>
      <c r="Z335">
        <v>183241641</v>
      </c>
      <c r="AA335">
        <v>-14.235004</v>
      </c>
      <c r="AB335">
        <v>-51.925280000000001</v>
      </c>
    </row>
    <row r="336" spans="1:28" x14ac:dyDescent="0.3">
      <c r="A336">
        <v>335</v>
      </c>
      <c r="B336" t="s">
        <v>190</v>
      </c>
      <c r="C336">
        <v>21600000</v>
      </c>
      <c r="D336">
        <v>5863377051</v>
      </c>
      <c r="E336" t="s">
        <v>1011</v>
      </c>
      <c r="F336" t="s">
        <v>190</v>
      </c>
      <c r="G336">
        <v>219</v>
      </c>
      <c r="H336" t="s">
        <v>978</v>
      </c>
      <c r="I336" t="s">
        <v>979</v>
      </c>
      <c r="J336" t="s">
        <v>1053</v>
      </c>
      <c r="K336">
        <v>1082</v>
      </c>
      <c r="L336">
        <v>66</v>
      </c>
      <c r="M336">
        <v>9</v>
      </c>
      <c r="N336">
        <v>194604000</v>
      </c>
      <c r="O336">
        <v>48700</v>
      </c>
      <c r="P336">
        <v>778400</v>
      </c>
      <c r="Q336">
        <v>583800</v>
      </c>
      <c r="R336">
        <v>9300000</v>
      </c>
      <c r="S336">
        <v>400000</v>
      </c>
      <c r="T336">
        <v>2018</v>
      </c>
      <c r="U336" t="s">
        <v>999</v>
      </c>
      <c r="V336">
        <v>25</v>
      </c>
      <c r="W336">
        <v>28.1</v>
      </c>
      <c r="X336">
        <v>1366417754</v>
      </c>
      <c r="Y336">
        <v>5.36</v>
      </c>
      <c r="Z336">
        <v>471031528</v>
      </c>
      <c r="AA336">
        <v>20.593684</v>
      </c>
      <c r="AB336">
        <v>78.962879999999998</v>
      </c>
    </row>
    <row r="337" spans="1:28" x14ac:dyDescent="0.3">
      <c r="A337">
        <v>336</v>
      </c>
      <c r="B337" t="s">
        <v>443</v>
      </c>
      <c r="C337">
        <v>21600000</v>
      </c>
      <c r="D337">
        <v>9346383505</v>
      </c>
      <c r="E337" t="s">
        <v>988</v>
      </c>
      <c r="F337" t="s">
        <v>443</v>
      </c>
      <c r="G337">
        <v>228</v>
      </c>
      <c r="H337" t="s">
        <v>984</v>
      </c>
      <c r="I337" t="s">
        <v>985</v>
      </c>
      <c r="J337" t="s">
        <v>988</v>
      </c>
      <c r="K337">
        <v>507</v>
      </c>
      <c r="L337">
        <v>96</v>
      </c>
      <c r="M337">
        <v>90</v>
      </c>
      <c r="N337">
        <v>63919000</v>
      </c>
      <c r="O337">
        <v>16000</v>
      </c>
      <c r="P337">
        <v>255700</v>
      </c>
      <c r="Q337">
        <v>191800</v>
      </c>
      <c r="R337">
        <v>3100000</v>
      </c>
      <c r="S337" t="s">
        <v>987</v>
      </c>
      <c r="T337">
        <v>2019</v>
      </c>
      <c r="U337" t="s">
        <v>995</v>
      </c>
      <c r="V337">
        <v>7</v>
      </c>
      <c r="W337">
        <v>88.2</v>
      </c>
      <c r="X337">
        <v>328239523</v>
      </c>
      <c r="Y337">
        <v>14.7</v>
      </c>
      <c r="Z337">
        <v>270663028</v>
      </c>
      <c r="AA337">
        <v>37.090240000000001</v>
      </c>
      <c r="AB337">
        <v>-95.712890999999999</v>
      </c>
    </row>
    <row r="338" spans="1:28" x14ac:dyDescent="0.3">
      <c r="A338">
        <v>337</v>
      </c>
      <c r="B338" t="s">
        <v>307</v>
      </c>
      <c r="C338">
        <v>21500000</v>
      </c>
      <c r="D338">
        <v>5890180734</v>
      </c>
      <c r="E338" t="s">
        <v>994</v>
      </c>
      <c r="F338" t="s">
        <v>307</v>
      </c>
      <c r="G338">
        <v>51</v>
      </c>
      <c r="H338" t="s">
        <v>984</v>
      </c>
      <c r="I338" t="s">
        <v>985</v>
      </c>
      <c r="J338" t="s">
        <v>977</v>
      </c>
      <c r="K338">
        <v>1081</v>
      </c>
      <c r="L338">
        <v>96</v>
      </c>
      <c r="M338">
        <v>88</v>
      </c>
      <c r="N338">
        <v>113542000</v>
      </c>
      <c r="O338">
        <v>28400</v>
      </c>
      <c r="P338">
        <v>454200</v>
      </c>
      <c r="Q338">
        <v>340600</v>
      </c>
      <c r="R338">
        <v>5400000</v>
      </c>
      <c r="S338">
        <v>200000</v>
      </c>
      <c r="T338">
        <v>2018</v>
      </c>
      <c r="U338" t="s">
        <v>999</v>
      </c>
      <c r="V338">
        <v>6</v>
      </c>
      <c r="W338">
        <v>88.2</v>
      </c>
      <c r="X338">
        <v>328239523</v>
      </c>
      <c r="Y338">
        <v>14.7</v>
      </c>
      <c r="Z338">
        <v>270663028</v>
      </c>
      <c r="AA338">
        <v>37.090240000000001</v>
      </c>
      <c r="AB338">
        <v>-95.712890999999999</v>
      </c>
    </row>
    <row r="339" spans="1:28" x14ac:dyDescent="0.3">
      <c r="A339">
        <v>338</v>
      </c>
      <c r="B339" t="s">
        <v>809</v>
      </c>
      <c r="C339">
        <v>21500000</v>
      </c>
      <c r="D339">
        <v>15013096899</v>
      </c>
      <c r="E339" t="s">
        <v>1026</v>
      </c>
      <c r="F339" t="s">
        <v>1140</v>
      </c>
      <c r="G339">
        <v>158</v>
      </c>
      <c r="H339" t="s">
        <v>1058</v>
      </c>
      <c r="I339" t="s">
        <v>1059</v>
      </c>
      <c r="J339" t="s">
        <v>988</v>
      </c>
      <c r="K339">
        <v>1936958</v>
      </c>
      <c r="L339">
        <v>2063</v>
      </c>
      <c r="M339">
        <v>2940</v>
      </c>
      <c r="N339">
        <v>15459</v>
      </c>
      <c r="O339">
        <v>4</v>
      </c>
      <c r="P339">
        <v>62</v>
      </c>
      <c r="Q339">
        <v>46</v>
      </c>
      <c r="R339">
        <v>742</v>
      </c>
      <c r="S339" t="s">
        <v>987</v>
      </c>
      <c r="T339">
        <v>2014</v>
      </c>
      <c r="U339" t="s">
        <v>1003</v>
      </c>
      <c r="V339">
        <v>2</v>
      </c>
      <c r="W339">
        <v>40.200000000000003</v>
      </c>
      <c r="X339">
        <v>126014024</v>
      </c>
      <c r="Y339">
        <v>3.42</v>
      </c>
      <c r="Z339">
        <v>102626859</v>
      </c>
      <c r="AA339">
        <v>23.634501</v>
      </c>
      <c r="AB339">
        <v>-102.552784</v>
      </c>
    </row>
    <row r="340" spans="1:28" x14ac:dyDescent="0.3">
      <c r="A340">
        <v>339</v>
      </c>
      <c r="B340" t="s">
        <v>861</v>
      </c>
      <c r="C340">
        <v>21500000</v>
      </c>
      <c r="D340">
        <v>22065582014</v>
      </c>
      <c r="E340" t="s">
        <v>994</v>
      </c>
      <c r="F340" t="s">
        <v>1141</v>
      </c>
      <c r="G340">
        <v>6</v>
      </c>
      <c r="H340" t="s">
        <v>987</v>
      </c>
      <c r="I340" t="s">
        <v>987</v>
      </c>
      <c r="J340" t="s">
        <v>977</v>
      </c>
      <c r="K340">
        <v>4057657</v>
      </c>
      <c r="L340" t="s">
        <v>987</v>
      </c>
      <c r="M340">
        <v>5782</v>
      </c>
      <c r="N340">
        <v>3</v>
      </c>
      <c r="O340">
        <v>0</v>
      </c>
      <c r="P340">
        <v>0.01</v>
      </c>
      <c r="Q340">
        <v>0.01</v>
      </c>
      <c r="R340">
        <v>0.14000000000000001</v>
      </c>
      <c r="S340" t="s">
        <v>987</v>
      </c>
      <c r="T340">
        <v>2006</v>
      </c>
      <c r="U340" t="s">
        <v>999</v>
      </c>
      <c r="V340">
        <v>2</v>
      </c>
      <c r="W340" t="s">
        <v>987</v>
      </c>
      <c r="X340" t="s">
        <v>987</v>
      </c>
      <c r="Y340" t="s">
        <v>987</v>
      </c>
      <c r="Z340" t="s">
        <v>987</v>
      </c>
      <c r="AA340" t="s">
        <v>987</v>
      </c>
      <c r="AB340" t="s">
        <v>987</v>
      </c>
    </row>
    <row r="341" spans="1:28" x14ac:dyDescent="0.3">
      <c r="A341">
        <v>340</v>
      </c>
      <c r="B341" t="s">
        <v>838</v>
      </c>
      <c r="C341">
        <v>21500000</v>
      </c>
      <c r="D341">
        <v>8409641722</v>
      </c>
      <c r="E341" t="s">
        <v>996</v>
      </c>
      <c r="F341" t="s">
        <v>1142</v>
      </c>
      <c r="G341">
        <v>17</v>
      </c>
      <c r="H341" t="s">
        <v>1031</v>
      </c>
      <c r="I341" t="s">
        <v>1032</v>
      </c>
      <c r="J341" t="s">
        <v>1002</v>
      </c>
      <c r="K341">
        <v>4038708</v>
      </c>
      <c r="L341">
        <v>2889</v>
      </c>
      <c r="M341">
        <v>7518</v>
      </c>
      <c r="N341">
        <v>49</v>
      </c>
      <c r="O341">
        <v>0.01</v>
      </c>
      <c r="P341">
        <v>0.2</v>
      </c>
      <c r="Q341">
        <v>0.15</v>
      </c>
      <c r="R341">
        <v>2</v>
      </c>
      <c r="S341">
        <v>4</v>
      </c>
      <c r="T341">
        <v>2016</v>
      </c>
      <c r="U341" t="s">
        <v>1015</v>
      </c>
      <c r="V341">
        <v>26</v>
      </c>
      <c r="W341">
        <v>88.5</v>
      </c>
      <c r="X341">
        <v>18952038</v>
      </c>
      <c r="Y341">
        <v>7.09</v>
      </c>
      <c r="Z341">
        <v>16610135</v>
      </c>
      <c r="AA341">
        <v>-35.675147000000003</v>
      </c>
      <c r="AB341">
        <v>-71.542968999999999</v>
      </c>
    </row>
    <row r="342" spans="1:28" x14ac:dyDescent="0.3">
      <c r="A342">
        <v>341</v>
      </c>
      <c r="B342" t="s">
        <v>886</v>
      </c>
      <c r="C342">
        <v>21400000</v>
      </c>
      <c r="D342">
        <v>1573058816</v>
      </c>
      <c r="E342" t="s">
        <v>1044</v>
      </c>
      <c r="F342" t="s">
        <v>886</v>
      </c>
      <c r="G342">
        <v>0</v>
      </c>
      <c r="H342" t="s">
        <v>1130</v>
      </c>
      <c r="I342" t="s">
        <v>1131</v>
      </c>
      <c r="J342" t="s">
        <v>987</v>
      </c>
      <c r="K342">
        <v>4057944</v>
      </c>
      <c r="L342">
        <v>3810</v>
      </c>
      <c r="M342" t="s">
        <v>987</v>
      </c>
      <c r="N342" t="s">
        <v>987</v>
      </c>
      <c r="O342">
        <v>0</v>
      </c>
      <c r="P342">
        <v>0</v>
      </c>
      <c r="Q342">
        <v>0</v>
      </c>
      <c r="R342">
        <v>0</v>
      </c>
      <c r="S342">
        <v>5</v>
      </c>
      <c r="T342">
        <v>2013</v>
      </c>
      <c r="U342" t="s">
        <v>1008</v>
      </c>
      <c r="V342">
        <v>11</v>
      </c>
      <c r="W342">
        <v>70.2</v>
      </c>
      <c r="X342">
        <v>83132799</v>
      </c>
      <c r="Y342">
        <v>3.04</v>
      </c>
      <c r="Z342">
        <v>64324835</v>
      </c>
      <c r="AA342">
        <v>51.165691000000002</v>
      </c>
      <c r="AB342">
        <v>10.451525999999999</v>
      </c>
    </row>
    <row r="343" spans="1:28" x14ac:dyDescent="0.3">
      <c r="A343">
        <v>342</v>
      </c>
      <c r="B343" t="s">
        <v>232</v>
      </c>
      <c r="C343">
        <v>21400000</v>
      </c>
      <c r="D343">
        <v>6264261757</v>
      </c>
      <c r="E343" t="s">
        <v>977</v>
      </c>
      <c r="F343" t="s">
        <v>232</v>
      </c>
      <c r="G343">
        <v>114</v>
      </c>
      <c r="H343" t="s">
        <v>978</v>
      </c>
      <c r="I343" t="s">
        <v>979</v>
      </c>
      <c r="J343" t="s">
        <v>977</v>
      </c>
      <c r="K343">
        <v>987</v>
      </c>
      <c r="L343">
        <v>67</v>
      </c>
      <c r="M343">
        <v>89</v>
      </c>
      <c r="N343">
        <v>160690000</v>
      </c>
      <c r="O343">
        <v>40200</v>
      </c>
      <c r="P343">
        <v>642800</v>
      </c>
      <c r="Q343">
        <v>482100</v>
      </c>
      <c r="R343">
        <v>7700000</v>
      </c>
      <c r="S343">
        <v>500000</v>
      </c>
      <c r="T343">
        <v>2017</v>
      </c>
      <c r="U343" t="s">
        <v>1025</v>
      </c>
      <c r="V343">
        <v>30</v>
      </c>
      <c r="W343">
        <v>28.1</v>
      </c>
      <c r="X343">
        <v>1366417754</v>
      </c>
      <c r="Y343">
        <v>5.36</v>
      </c>
      <c r="Z343">
        <v>471031528</v>
      </c>
      <c r="AA343">
        <v>20.593684</v>
      </c>
      <c r="AB343">
        <v>78.962879999999998</v>
      </c>
    </row>
    <row r="344" spans="1:28" x14ac:dyDescent="0.3">
      <c r="A344">
        <v>343</v>
      </c>
      <c r="B344" t="s">
        <v>234</v>
      </c>
      <c r="C344">
        <v>21300000</v>
      </c>
      <c r="D344">
        <v>6269945014</v>
      </c>
      <c r="E344" t="s">
        <v>994</v>
      </c>
      <c r="F344" t="s">
        <v>234</v>
      </c>
      <c r="G344">
        <v>733</v>
      </c>
      <c r="H344" t="s">
        <v>984</v>
      </c>
      <c r="I344" t="s">
        <v>985</v>
      </c>
      <c r="J344" t="s">
        <v>1002</v>
      </c>
      <c r="K344">
        <v>982</v>
      </c>
      <c r="L344">
        <v>98</v>
      </c>
      <c r="M344">
        <v>15</v>
      </c>
      <c r="N344">
        <v>160227000</v>
      </c>
      <c r="O344">
        <v>40100</v>
      </c>
      <c r="P344">
        <v>640900</v>
      </c>
      <c r="Q344">
        <v>480700</v>
      </c>
      <c r="R344">
        <v>7700000</v>
      </c>
      <c r="S344">
        <v>200000</v>
      </c>
      <c r="T344">
        <v>2017</v>
      </c>
      <c r="U344" t="s">
        <v>999</v>
      </c>
      <c r="V344">
        <v>13</v>
      </c>
      <c r="W344">
        <v>88.2</v>
      </c>
      <c r="X344">
        <v>328239523</v>
      </c>
      <c r="Y344">
        <v>14.7</v>
      </c>
      <c r="Z344">
        <v>270663028</v>
      </c>
      <c r="AA344">
        <v>37.090240000000001</v>
      </c>
      <c r="AB344">
        <v>-95.712890999999999</v>
      </c>
    </row>
    <row r="345" spans="1:28" x14ac:dyDescent="0.3">
      <c r="A345">
        <v>344</v>
      </c>
      <c r="B345" t="s">
        <v>333</v>
      </c>
      <c r="C345">
        <v>21300000</v>
      </c>
      <c r="D345">
        <v>10644857969</v>
      </c>
      <c r="E345" t="s">
        <v>977</v>
      </c>
      <c r="F345" t="s">
        <v>333</v>
      </c>
      <c r="G345">
        <v>78</v>
      </c>
      <c r="H345" t="s">
        <v>984</v>
      </c>
      <c r="I345" t="s">
        <v>985</v>
      </c>
      <c r="J345" t="s">
        <v>977</v>
      </c>
      <c r="K345">
        <v>396</v>
      </c>
      <c r="L345">
        <v>98</v>
      </c>
      <c r="M345">
        <v>90</v>
      </c>
      <c r="N345">
        <v>103171000</v>
      </c>
      <c r="O345">
        <v>25800</v>
      </c>
      <c r="P345">
        <v>412700</v>
      </c>
      <c r="Q345">
        <v>309500</v>
      </c>
      <c r="R345">
        <v>5000000</v>
      </c>
      <c r="S345">
        <v>100000</v>
      </c>
      <c r="T345">
        <v>2011</v>
      </c>
      <c r="U345" t="s">
        <v>991</v>
      </c>
      <c r="V345">
        <v>6</v>
      </c>
      <c r="W345">
        <v>88.2</v>
      </c>
      <c r="X345">
        <v>328239523</v>
      </c>
      <c r="Y345">
        <v>14.7</v>
      </c>
      <c r="Z345">
        <v>270663028</v>
      </c>
      <c r="AA345">
        <v>37.090240000000001</v>
      </c>
      <c r="AB345">
        <v>-95.712890999999999</v>
      </c>
    </row>
    <row r="346" spans="1:28" x14ac:dyDescent="0.3">
      <c r="A346">
        <v>345</v>
      </c>
      <c r="B346" t="s">
        <v>35</v>
      </c>
      <c r="C346">
        <v>21300000</v>
      </c>
      <c r="D346">
        <v>12761253839</v>
      </c>
      <c r="E346" t="s">
        <v>994</v>
      </c>
      <c r="F346" t="s">
        <v>35</v>
      </c>
      <c r="G346">
        <v>951</v>
      </c>
      <c r="H346" t="s">
        <v>978</v>
      </c>
      <c r="I346" t="s">
        <v>979</v>
      </c>
      <c r="J346" t="s">
        <v>1002</v>
      </c>
      <c r="K346">
        <v>301</v>
      </c>
      <c r="L346">
        <v>68</v>
      </c>
      <c r="M346">
        <v>16</v>
      </c>
      <c r="N346">
        <v>729409000</v>
      </c>
      <c r="O346">
        <v>182400</v>
      </c>
      <c r="P346">
        <v>2900000</v>
      </c>
      <c r="Q346">
        <v>2200000</v>
      </c>
      <c r="R346">
        <v>35000000</v>
      </c>
      <c r="S346">
        <v>1600000</v>
      </c>
      <c r="T346">
        <v>2016</v>
      </c>
      <c r="U346" t="s">
        <v>1015</v>
      </c>
      <c r="V346">
        <v>27</v>
      </c>
      <c r="W346">
        <v>28.1</v>
      </c>
      <c r="X346">
        <v>1366417754</v>
      </c>
      <c r="Y346">
        <v>5.36</v>
      </c>
      <c r="Z346">
        <v>471031528</v>
      </c>
      <c r="AA346">
        <v>20.593684</v>
      </c>
      <c r="AB346">
        <v>78.962879999999998</v>
      </c>
    </row>
    <row r="347" spans="1:28" x14ac:dyDescent="0.3">
      <c r="A347">
        <v>346</v>
      </c>
      <c r="B347" t="s">
        <v>429</v>
      </c>
      <c r="C347">
        <v>21300000</v>
      </c>
      <c r="D347">
        <v>5141834668</v>
      </c>
      <c r="E347" t="s">
        <v>988</v>
      </c>
      <c r="F347" t="s">
        <v>429</v>
      </c>
      <c r="G347">
        <v>1608</v>
      </c>
      <c r="H347" t="s">
        <v>984</v>
      </c>
      <c r="I347" t="s">
        <v>985</v>
      </c>
      <c r="J347" t="s">
        <v>988</v>
      </c>
      <c r="K347">
        <v>1296</v>
      </c>
      <c r="L347">
        <v>98</v>
      </c>
      <c r="M347">
        <v>93</v>
      </c>
      <c r="N347">
        <v>68350000</v>
      </c>
      <c r="O347">
        <v>17100</v>
      </c>
      <c r="P347">
        <v>273400</v>
      </c>
      <c r="Q347">
        <v>205100</v>
      </c>
      <c r="R347">
        <v>3300000</v>
      </c>
      <c r="S347">
        <v>200000</v>
      </c>
      <c r="T347">
        <v>2014</v>
      </c>
      <c r="U347" t="s">
        <v>1010</v>
      </c>
      <c r="V347">
        <v>21</v>
      </c>
      <c r="W347">
        <v>88.2</v>
      </c>
      <c r="X347">
        <v>328239523</v>
      </c>
      <c r="Y347">
        <v>14.7</v>
      </c>
      <c r="Z347">
        <v>270663028</v>
      </c>
      <c r="AA347">
        <v>37.090240000000001</v>
      </c>
      <c r="AB347">
        <v>-95.712890999999999</v>
      </c>
    </row>
    <row r="348" spans="1:28" x14ac:dyDescent="0.3">
      <c r="A348">
        <v>347</v>
      </c>
      <c r="B348" t="s">
        <v>159</v>
      </c>
      <c r="C348">
        <v>21300000</v>
      </c>
      <c r="D348">
        <v>10047736580</v>
      </c>
      <c r="E348" t="s">
        <v>988</v>
      </c>
      <c r="F348" t="s">
        <v>159</v>
      </c>
      <c r="G348">
        <v>669</v>
      </c>
      <c r="H348" t="s">
        <v>978</v>
      </c>
      <c r="I348" t="s">
        <v>979</v>
      </c>
      <c r="J348" t="s">
        <v>988</v>
      </c>
      <c r="K348">
        <v>436</v>
      </c>
      <c r="L348">
        <v>67</v>
      </c>
      <c r="M348">
        <v>92</v>
      </c>
      <c r="N348">
        <v>236293000</v>
      </c>
      <c r="O348">
        <v>59100</v>
      </c>
      <c r="P348">
        <v>945200</v>
      </c>
      <c r="Q348">
        <v>708900</v>
      </c>
      <c r="R348">
        <v>11300000</v>
      </c>
      <c r="S348">
        <v>600000</v>
      </c>
      <c r="T348">
        <v>2021</v>
      </c>
      <c r="U348" t="s">
        <v>989</v>
      </c>
      <c r="V348">
        <v>2</v>
      </c>
      <c r="W348">
        <v>28.1</v>
      </c>
      <c r="X348">
        <v>1366417754</v>
      </c>
      <c r="Y348">
        <v>5.36</v>
      </c>
      <c r="Z348">
        <v>471031528</v>
      </c>
      <c r="AA348">
        <v>20.593684</v>
      </c>
      <c r="AB348">
        <v>78.962879999999998</v>
      </c>
    </row>
    <row r="349" spans="1:28" x14ac:dyDescent="0.3">
      <c r="A349">
        <v>348</v>
      </c>
      <c r="B349" t="s">
        <v>50</v>
      </c>
      <c r="C349">
        <v>21300000</v>
      </c>
      <c r="D349">
        <v>12895427184</v>
      </c>
      <c r="E349" t="s">
        <v>988</v>
      </c>
      <c r="F349" t="s">
        <v>50</v>
      </c>
      <c r="G349">
        <v>20225</v>
      </c>
      <c r="H349" t="s">
        <v>978</v>
      </c>
      <c r="I349" t="s">
        <v>979</v>
      </c>
      <c r="J349" t="s">
        <v>988</v>
      </c>
      <c r="K349">
        <v>291</v>
      </c>
      <c r="L349">
        <v>67</v>
      </c>
      <c r="M349">
        <v>92</v>
      </c>
      <c r="N349">
        <v>561020000</v>
      </c>
      <c r="O349">
        <v>140300</v>
      </c>
      <c r="P349">
        <v>2200000</v>
      </c>
      <c r="Q349">
        <v>1700000</v>
      </c>
      <c r="R349">
        <v>26900000</v>
      </c>
      <c r="S349">
        <v>700000</v>
      </c>
      <c r="T349">
        <v>2017</v>
      </c>
      <c r="U349" t="s">
        <v>1010</v>
      </c>
      <c r="V349">
        <v>2</v>
      </c>
      <c r="W349">
        <v>28.1</v>
      </c>
      <c r="X349">
        <v>1366417754</v>
      </c>
      <c r="Y349">
        <v>5.36</v>
      </c>
      <c r="Z349">
        <v>471031528</v>
      </c>
      <c r="AA349">
        <v>20.593684</v>
      </c>
      <c r="AB349">
        <v>78.962879999999998</v>
      </c>
    </row>
    <row r="350" spans="1:28" x14ac:dyDescent="0.3">
      <c r="A350">
        <v>349</v>
      </c>
      <c r="B350" t="s">
        <v>911</v>
      </c>
      <c r="C350">
        <v>21200000</v>
      </c>
      <c r="D350">
        <v>2073073070</v>
      </c>
      <c r="E350" t="s">
        <v>990</v>
      </c>
      <c r="F350" t="s">
        <v>1143</v>
      </c>
      <c r="G350">
        <v>1</v>
      </c>
      <c r="H350" t="s">
        <v>987</v>
      </c>
      <c r="I350" t="s">
        <v>987</v>
      </c>
      <c r="J350" t="s">
        <v>1002</v>
      </c>
      <c r="K350">
        <v>4057930</v>
      </c>
      <c r="L350" t="s">
        <v>987</v>
      </c>
      <c r="M350">
        <v>7727</v>
      </c>
      <c r="N350" t="s">
        <v>987</v>
      </c>
      <c r="O350">
        <v>0</v>
      </c>
      <c r="P350">
        <v>0</v>
      </c>
      <c r="Q350">
        <v>0</v>
      </c>
      <c r="R350">
        <v>0</v>
      </c>
      <c r="S350" t="s">
        <v>987</v>
      </c>
      <c r="T350">
        <v>2017</v>
      </c>
      <c r="U350" t="s">
        <v>1003</v>
      </c>
      <c r="V350">
        <v>5</v>
      </c>
      <c r="W350" t="s">
        <v>987</v>
      </c>
      <c r="X350" t="s">
        <v>987</v>
      </c>
      <c r="Y350" t="s">
        <v>987</v>
      </c>
      <c r="Z350" t="s">
        <v>987</v>
      </c>
      <c r="AA350" t="s">
        <v>987</v>
      </c>
      <c r="AB350" t="s">
        <v>987</v>
      </c>
    </row>
    <row r="351" spans="1:28" x14ac:dyDescent="0.3">
      <c r="A351">
        <v>350</v>
      </c>
      <c r="B351" t="s">
        <v>257</v>
      </c>
      <c r="C351">
        <v>21200000</v>
      </c>
      <c r="D351">
        <v>11364908616</v>
      </c>
      <c r="E351" t="s">
        <v>988</v>
      </c>
      <c r="F351" t="s">
        <v>257</v>
      </c>
      <c r="G351">
        <v>31989</v>
      </c>
      <c r="H351" t="s">
        <v>1045</v>
      </c>
      <c r="I351" t="s">
        <v>1046</v>
      </c>
      <c r="J351" t="s">
        <v>1027</v>
      </c>
      <c r="K351">
        <v>359</v>
      </c>
      <c r="L351">
        <v>4</v>
      </c>
      <c r="M351">
        <v>7</v>
      </c>
      <c r="N351">
        <v>142317000</v>
      </c>
      <c r="O351">
        <v>35600</v>
      </c>
      <c r="P351">
        <v>569300</v>
      </c>
      <c r="Q351">
        <v>427000</v>
      </c>
      <c r="R351">
        <v>6800000</v>
      </c>
      <c r="S351">
        <v>200000</v>
      </c>
      <c r="T351">
        <v>2009</v>
      </c>
      <c r="U351" t="s">
        <v>1010</v>
      </c>
      <c r="V351">
        <v>8</v>
      </c>
      <c r="W351">
        <v>35.5</v>
      </c>
      <c r="X351">
        <v>108116615</v>
      </c>
      <c r="Y351">
        <v>2.15</v>
      </c>
      <c r="Z351">
        <v>50975903</v>
      </c>
      <c r="AA351">
        <v>12.879721</v>
      </c>
      <c r="AB351">
        <v>121.774017</v>
      </c>
    </row>
    <row r="352" spans="1:28" x14ac:dyDescent="0.3">
      <c r="A352">
        <v>351</v>
      </c>
      <c r="B352" t="s">
        <v>629</v>
      </c>
      <c r="C352">
        <v>21100000</v>
      </c>
      <c r="D352">
        <v>5783557209</v>
      </c>
      <c r="E352" t="s">
        <v>1011</v>
      </c>
      <c r="F352" t="s">
        <v>629</v>
      </c>
      <c r="G352">
        <v>4728</v>
      </c>
      <c r="H352" t="s">
        <v>984</v>
      </c>
      <c r="I352" t="s">
        <v>985</v>
      </c>
      <c r="J352" t="s">
        <v>1053</v>
      </c>
      <c r="K352">
        <v>1113</v>
      </c>
      <c r="L352">
        <v>99</v>
      </c>
      <c r="M352">
        <v>10</v>
      </c>
      <c r="N352">
        <v>24691000</v>
      </c>
      <c r="O352">
        <v>6200</v>
      </c>
      <c r="P352">
        <v>98800</v>
      </c>
      <c r="Q352">
        <v>74100</v>
      </c>
      <c r="R352">
        <v>1200000</v>
      </c>
      <c r="S352" t="s">
        <v>987</v>
      </c>
      <c r="T352">
        <v>2016</v>
      </c>
      <c r="U352" t="s">
        <v>1003</v>
      </c>
      <c r="V352">
        <v>22</v>
      </c>
      <c r="W352">
        <v>88.2</v>
      </c>
      <c r="X352">
        <v>328239523</v>
      </c>
      <c r="Y352">
        <v>14.7</v>
      </c>
      <c r="Z352">
        <v>270663028</v>
      </c>
      <c r="AA352">
        <v>37.090240000000001</v>
      </c>
      <c r="AB352">
        <v>-95.712890999999999</v>
      </c>
    </row>
    <row r="353" spans="1:28" x14ac:dyDescent="0.3">
      <c r="A353">
        <v>352</v>
      </c>
      <c r="B353" t="s">
        <v>623</v>
      </c>
      <c r="C353">
        <v>21100000</v>
      </c>
      <c r="D353">
        <v>4526271677</v>
      </c>
      <c r="E353" t="s">
        <v>994</v>
      </c>
      <c r="F353" t="s">
        <v>623</v>
      </c>
      <c r="G353">
        <v>2325</v>
      </c>
      <c r="H353" t="s">
        <v>1081</v>
      </c>
      <c r="I353" t="s">
        <v>1082</v>
      </c>
      <c r="J353" t="s">
        <v>988</v>
      </c>
      <c r="K353">
        <v>1583</v>
      </c>
      <c r="L353">
        <v>8</v>
      </c>
      <c r="M353">
        <v>94</v>
      </c>
      <c r="N353">
        <v>26974000</v>
      </c>
      <c r="O353">
        <v>6700</v>
      </c>
      <c r="P353">
        <v>107900</v>
      </c>
      <c r="Q353">
        <v>80900</v>
      </c>
      <c r="R353">
        <v>1300000</v>
      </c>
      <c r="S353">
        <v>100000</v>
      </c>
      <c r="T353">
        <v>2016</v>
      </c>
      <c r="U353" t="s">
        <v>1008</v>
      </c>
      <c r="V353">
        <v>4</v>
      </c>
      <c r="W353">
        <v>36.299999999999997</v>
      </c>
      <c r="X353">
        <v>270203917</v>
      </c>
      <c r="Y353">
        <v>4.6900000000000004</v>
      </c>
      <c r="Z353">
        <v>151509724</v>
      </c>
      <c r="AA353">
        <v>-0.78927499999999995</v>
      </c>
      <c r="AB353">
        <v>113.92132700000001</v>
      </c>
    </row>
    <row r="354" spans="1:28" x14ac:dyDescent="0.3">
      <c r="A354">
        <v>353</v>
      </c>
      <c r="B354" t="s">
        <v>776</v>
      </c>
      <c r="C354">
        <v>21000000</v>
      </c>
      <c r="D354">
        <v>4380564906</v>
      </c>
      <c r="E354" t="s">
        <v>988</v>
      </c>
      <c r="F354" t="s">
        <v>776</v>
      </c>
      <c r="G354">
        <v>403</v>
      </c>
      <c r="H354" t="s">
        <v>984</v>
      </c>
      <c r="I354" t="s">
        <v>985</v>
      </c>
      <c r="J354" t="s">
        <v>988</v>
      </c>
      <c r="K354">
        <v>1671</v>
      </c>
      <c r="L354">
        <v>100</v>
      </c>
      <c r="M354">
        <v>95</v>
      </c>
      <c r="N354">
        <v>2476000</v>
      </c>
      <c r="O354">
        <v>619</v>
      </c>
      <c r="P354">
        <v>9900</v>
      </c>
      <c r="Q354">
        <v>7400</v>
      </c>
      <c r="R354">
        <v>118900</v>
      </c>
      <c r="S354" t="s">
        <v>987</v>
      </c>
      <c r="T354">
        <v>2006</v>
      </c>
      <c r="U354" t="s">
        <v>1015</v>
      </c>
      <c r="V354">
        <v>21</v>
      </c>
      <c r="W354">
        <v>88.2</v>
      </c>
      <c r="X354">
        <v>328239523</v>
      </c>
      <c r="Y354">
        <v>14.7</v>
      </c>
      <c r="Z354">
        <v>270663028</v>
      </c>
      <c r="AA354">
        <v>37.090240000000001</v>
      </c>
      <c r="AB354">
        <v>-95.712890999999999</v>
      </c>
    </row>
    <row r="355" spans="1:28" x14ac:dyDescent="0.3">
      <c r="A355">
        <v>354</v>
      </c>
      <c r="B355" t="s">
        <v>297</v>
      </c>
      <c r="C355">
        <v>21000000</v>
      </c>
      <c r="D355">
        <v>7762905663</v>
      </c>
      <c r="E355" t="s">
        <v>988</v>
      </c>
      <c r="F355" t="s">
        <v>297</v>
      </c>
      <c r="G355">
        <v>2883</v>
      </c>
      <c r="H355" t="s">
        <v>1019</v>
      </c>
      <c r="I355" t="s">
        <v>1020</v>
      </c>
      <c r="J355" t="s">
        <v>988</v>
      </c>
      <c r="K355">
        <v>695</v>
      </c>
      <c r="L355">
        <v>16</v>
      </c>
      <c r="M355">
        <v>94</v>
      </c>
      <c r="N355">
        <v>118410000</v>
      </c>
      <c r="O355">
        <v>29600</v>
      </c>
      <c r="P355">
        <v>473600</v>
      </c>
      <c r="Q355">
        <v>355200</v>
      </c>
      <c r="R355">
        <v>5700000</v>
      </c>
      <c r="S355">
        <v>400000</v>
      </c>
      <c r="T355">
        <v>2015</v>
      </c>
      <c r="U355" t="s">
        <v>1010</v>
      </c>
      <c r="V355">
        <v>26</v>
      </c>
      <c r="W355">
        <v>51.3</v>
      </c>
      <c r="X355">
        <v>212559417</v>
      </c>
      <c r="Y355">
        <v>12.08</v>
      </c>
      <c r="Z355">
        <v>183241641</v>
      </c>
      <c r="AA355">
        <v>-14.235004</v>
      </c>
      <c r="AB355">
        <v>-51.925280000000001</v>
      </c>
    </row>
    <row r="356" spans="1:28" x14ac:dyDescent="0.3">
      <c r="A356">
        <v>355</v>
      </c>
      <c r="B356" t="s">
        <v>404</v>
      </c>
      <c r="C356">
        <v>21000000</v>
      </c>
      <c r="D356">
        <v>10631638628</v>
      </c>
      <c r="E356" t="s">
        <v>988</v>
      </c>
      <c r="F356" t="s">
        <v>404</v>
      </c>
      <c r="G356">
        <v>420</v>
      </c>
      <c r="H356" t="s">
        <v>984</v>
      </c>
      <c r="I356" t="s">
        <v>985</v>
      </c>
      <c r="J356" t="s">
        <v>988</v>
      </c>
      <c r="K356">
        <v>398</v>
      </c>
      <c r="L356">
        <v>100</v>
      </c>
      <c r="M356">
        <v>95</v>
      </c>
      <c r="N356">
        <v>80062000</v>
      </c>
      <c r="O356">
        <v>20000</v>
      </c>
      <c r="P356">
        <v>320200</v>
      </c>
      <c r="Q356">
        <v>240200</v>
      </c>
      <c r="R356">
        <v>3800000</v>
      </c>
      <c r="S356">
        <v>100000</v>
      </c>
      <c r="T356">
        <v>2013</v>
      </c>
      <c r="U356" t="s">
        <v>980</v>
      </c>
      <c r="V356">
        <v>25</v>
      </c>
      <c r="W356">
        <v>88.2</v>
      </c>
      <c r="X356">
        <v>328239523</v>
      </c>
      <c r="Y356">
        <v>14.7</v>
      </c>
      <c r="Z356">
        <v>270663028</v>
      </c>
      <c r="AA356">
        <v>37.090240000000001</v>
      </c>
      <c r="AB356">
        <v>-95.712890999999999</v>
      </c>
    </row>
    <row r="357" spans="1:28" x14ac:dyDescent="0.3">
      <c r="A357">
        <v>356</v>
      </c>
      <c r="B357" t="s">
        <v>275</v>
      </c>
      <c r="C357">
        <v>21000000</v>
      </c>
      <c r="D357">
        <v>9789121606</v>
      </c>
      <c r="E357" t="s">
        <v>987</v>
      </c>
      <c r="F357" t="s">
        <v>275</v>
      </c>
      <c r="G357">
        <v>498</v>
      </c>
      <c r="H357" t="s">
        <v>984</v>
      </c>
      <c r="I357" t="s">
        <v>985</v>
      </c>
      <c r="J357" t="s">
        <v>988</v>
      </c>
      <c r="K357">
        <v>464</v>
      </c>
      <c r="L357">
        <v>100</v>
      </c>
      <c r="M357">
        <v>95</v>
      </c>
      <c r="N357">
        <v>133362000</v>
      </c>
      <c r="O357">
        <v>33300</v>
      </c>
      <c r="P357">
        <v>533400</v>
      </c>
      <c r="Q357">
        <v>400100</v>
      </c>
      <c r="R357">
        <v>6400000</v>
      </c>
      <c r="S357">
        <v>300000</v>
      </c>
      <c r="T357">
        <v>2018</v>
      </c>
      <c r="U357" t="s">
        <v>1029</v>
      </c>
      <c r="V357">
        <v>9</v>
      </c>
      <c r="W357">
        <v>88.2</v>
      </c>
      <c r="X357">
        <v>328239523</v>
      </c>
      <c r="Y357">
        <v>14.7</v>
      </c>
      <c r="Z357">
        <v>270663028</v>
      </c>
      <c r="AA357">
        <v>37.090240000000001</v>
      </c>
      <c r="AB357">
        <v>-95.712890999999999</v>
      </c>
    </row>
    <row r="358" spans="1:28" x14ac:dyDescent="0.3">
      <c r="A358">
        <v>357</v>
      </c>
      <c r="B358" t="s">
        <v>605</v>
      </c>
      <c r="C358">
        <v>20900000</v>
      </c>
      <c r="D358">
        <v>1693149479</v>
      </c>
      <c r="E358" t="s">
        <v>990</v>
      </c>
      <c r="F358" t="s">
        <v>605</v>
      </c>
      <c r="G358">
        <v>896</v>
      </c>
      <c r="H358" t="s">
        <v>978</v>
      </c>
      <c r="I358" t="s">
        <v>979</v>
      </c>
      <c r="J358" t="s">
        <v>990</v>
      </c>
      <c r="K358">
        <v>6082</v>
      </c>
      <c r="L358">
        <v>69</v>
      </c>
      <c r="M358">
        <v>20</v>
      </c>
      <c r="N358">
        <v>28588000</v>
      </c>
      <c r="O358">
        <v>7100</v>
      </c>
      <c r="P358">
        <v>114400</v>
      </c>
      <c r="Q358">
        <v>85800</v>
      </c>
      <c r="R358">
        <v>1400000</v>
      </c>
      <c r="S358">
        <v>100000</v>
      </c>
      <c r="T358">
        <v>2013</v>
      </c>
      <c r="U358" t="s">
        <v>1005</v>
      </c>
      <c r="V358">
        <v>6</v>
      </c>
      <c r="W358">
        <v>28.1</v>
      </c>
      <c r="X358">
        <v>1366417754</v>
      </c>
      <c r="Y358">
        <v>5.36</v>
      </c>
      <c r="Z358">
        <v>471031528</v>
      </c>
      <c r="AA358">
        <v>20.593684</v>
      </c>
      <c r="AB358">
        <v>78.962879999999998</v>
      </c>
    </row>
    <row r="359" spans="1:28" x14ac:dyDescent="0.3">
      <c r="A359">
        <v>358</v>
      </c>
      <c r="B359" t="s">
        <v>488</v>
      </c>
      <c r="C359">
        <v>20900000</v>
      </c>
      <c r="D359">
        <v>3828000587</v>
      </c>
      <c r="E359" t="s">
        <v>988</v>
      </c>
      <c r="F359" t="s">
        <v>488</v>
      </c>
      <c r="G359">
        <v>6262</v>
      </c>
      <c r="H359" t="s">
        <v>1019</v>
      </c>
      <c r="I359" t="s">
        <v>1020</v>
      </c>
      <c r="J359" t="s">
        <v>988</v>
      </c>
      <c r="K359">
        <v>2033</v>
      </c>
      <c r="L359">
        <v>17</v>
      </c>
      <c r="M359">
        <v>96</v>
      </c>
      <c r="N359">
        <v>52330000</v>
      </c>
      <c r="O359">
        <v>13100</v>
      </c>
      <c r="P359">
        <v>209300</v>
      </c>
      <c r="Q359">
        <v>157000</v>
      </c>
      <c r="R359">
        <v>2500000</v>
      </c>
      <c r="S359">
        <v>100000</v>
      </c>
      <c r="T359">
        <v>2013</v>
      </c>
      <c r="U359" t="s">
        <v>991</v>
      </c>
      <c r="V359">
        <v>26</v>
      </c>
      <c r="W359">
        <v>51.3</v>
      </c>
      <c r="X359">
        <v>212559417</v>
      </c>
      <c r="Y359">
        <v>12.08</v>
      </c>
      <c r="Z359">
        <v>183241641</v>
      </c>
      <c r="AA359">
        <v>-14.235004</v>
      </c>
      <c r="AB359">
        <v>-51.925280000000001</v>
      </c>
    </row>
    <row r="360" spans="1:28" x14ac:dyDescent="0.3">
      <c r="A360">
        <v>359</v>
      </c>
      <c r="B360" t="s">
        <v>936</v>
      </c>
      <c r="C360">
        <v>20900000</v>
      </c>
      <c r="D360">
        <v>4927879069</v>
      </c>
      <c r="E360" t="s">
        <v>1128</v>
      </c>
      <c r="F360" t="s">
        <v>936</v>
      </c>
      <c r="G360">
        <v>982</v>
      </c>
      <c r="H360" t="s">
        <v>984</v>
      </c>
      <c r="I360" t="s">
        <v>985</v>
      </c>
      <c r="J360" t="s">
        <v>1129</v>
      </c>
      <c r="K360">
        <v>1396</v>
      </c>
      <c r="L360">
        <v>100</v>
      </c>
      <c r="M360">
        <v>2</v>
      </c>
      <c r="N360">
        <v>2989000</v>
      </c>
      <c r="O360">
        <v>0</v>
      </c>
      <c r="P360">
        <v>0</v>
      </c>
      <c r="Q360">
        <v>0</v>
      </c>
      <c r="R360">
        <v>0</v>
      </c>
      <c r="S360">
        <v>100000</v>
      </c>
      <c r="T360">
        <v>2014</v>
      </c>
      <c r="U360" t="s">
        <v>991</v>
      </c>
      <c r="V360">
        <v>8</v>
      </c>
      <c r="W360">
        <v>88.2</v>
      </c>
      <c r="X360">
        <v>328239523</v>
      </c>
      <c r="Y360">
        <v>14.7</v>
      </c>
      <c r="Z360">
        <v>270663028</v>
      </c>
      <c r="AA360">
        <v>37.090240000000001</v>
      </c>
      <c r="AB360">
        <v>-95.712890999999999</v>
      </c>
    </row>
    <row r="361" spans="1:28" x14ac:dyDescent="0.3">
      <c r="A361">
        <v>360</v>
      </c>
      <c r="B361" t="s">
        <v>90</v>
      </c>
      <c r="C361">
        <v>20900000</v>
      </c>
      <c r="D361">
        <v>11058049885</v>
      </c>
      <c r="E361" t="s">
        <v>994</v>
      </c>
      <c r="F361" t="s">
        <v>90</v>
      </c>
      <c r="G361">
        <v>9850</v>
      </c>
      <c r="H361" t="s">
        <v>984</v>
      </c>
      <c r="I361" t="s">
        <v>985</v>
      </c>
      <c r="J361" t="s">
        <v>1002</v>
      </c>
      <c r="K361">
        <v>372</v>
      </c>
      <c r="L361">
        <v>100</v>
      </c>
      <c r="M361">
        <v>17</v>
      </c>
      <c r="N361">
        <v>383700000</v>
      </c>
      <c r="O361">
        <v>95900</v>
      </c>
      <c r="P361">
        <v>1500000</v>
      </c>
      <c r="Q361">
        <v>1200000</v>
      </c>
      <c r="R361">
        <v>18400000</v>
      </c>
      <c r="S361">
        <v>600000</v>
      </c>
      <c r="T361">
        <v>2020</v>
      </c>
      <c r="U361" t="s">
        <v>1010</v>
      </c>
      <c r="V361">
        <v>18</v>
      </c>
      <c r="W361">
        <v>88.2</v>
      </c>
      <c r="X361">
        <v>328239523</v>
      </c>
      <c r="Y361">
        <v>14.7</v>
      </c>
      <c r="Z361">
        <v>270663028</v>
      </c>
      <c r="AA361">
        <v>37.090240000000001</v>
      </c>
      <c r="AB361">
        <v>-95.712890999999999</v>
      </c>
    </row>
    <row r="362" spans="1:28" x14ac:dyDescent="0.3">
      <c r="A362">
        <v>361</v>
      </c>
      <c r="B362" t="s">
        <v>1144</v>
      </c>
      <c r="C362">
        <v>20900000</v>
      </c>
      <c r="D362">
        <v>0</v>
      </c>
      <c r="E362" t="s">
        <v>987</v>
      </c>
      <c r="F362" t="s">
        <v>1144</v>
      </c>
      <c r="G362">
        <v>0</v>
      </c>
      <c r="H362" t="s">
        <v>987</v>
      </c>
      <c r="I362" t="s">
        <v>987</v>
      </c>
      <c r="J362" t="s">
        <v>986</v>
      </c>
      <c r="K362">
        <v>4057944</v>
      </c>
      <c r="L362" t="s">
        <v>987</v>
      </c>
      <c r="M362">
        <v>24</v>
      </c>
      <c r="N362" t="s">
        <v>987</v>
      </c>
      <c r="O362">
        <v>0</v>
      </c>
      <c r="P362">
        <v>0</v>
      </c>
      <c r="Q362">
        <v>0</v>
      </c>
      <c r="R362">
        <v>0</v>
      </c>
      <c r="S362">
        <v>300000</v>
      </c>
      <c r="T362">
        <v>2013</v>
      </c>
      <c r="U362" t="s">
        <v>1005</v>
      </c>
      <c r="V362">
        <v>20</v>
      </c>
      <c r="W362" t="s">
        <v>987</v>
      </c>
      <c r="X362" t="s">
        <v>987</v>
      </c>
      <c r="Y362" t="s">
        <v>987</v>
      </c>
      <c r="Z362" t="s">
        <v>987</v>
      </c>
      <c r="AA362" t="s">
        <v>987</v>
      </c>
      <c r="AB362" t="s">
        <v>987</v>
      </c>
    </row>
    <row r="363" spans="1:28" x14ac:dyDescent="0.3">
      <c r="A363">
        <v>362</v>
      </c>
      <c r="B363" t="s">
        <v>829</v>
      </c>
      <c r="C363">
        <v>20900000</v>
      </c>
      <c r="D363">
        <v>17324976752</v>
      </c>
      <c r="E363" t="s">
        <v>977</v>
      </c>
      <c r="F363" t="s">
        <v>1145</v>
      </c>
      <c r="G363">
        <v>6</v>
      </c>
      <c r="H363" t="s">
        <v>984</v>
      </c>
      <c r="I363" t="s">
        <v>985</v>
      </c>
      <c r="J363" t="s">
        <v>977</v>
      </c>
      <c r="K363">
        <v>2595710</v>
      </c>
      <c r="L363">
        <v>5417</v>
      </c>
      <c r="M363">
        <v>4067</v>
      </c>
      <c r="N363">
        <v>99</v>
      </c>
      <c r="O363">
        <v>0.02</v>
      </c>
      <c r="P363">
        <v>0.4</v>
      </c>
      <c r="Q363">
        <v>0.3</v>
      </c>
      <c r="R363">
        <v>5</v>
      </c>
      <c r="S363" t="s">
        <v>987</v>
      </c>
      <c r="T363">
        <v>2006</v>
      </c>
      <c r="U363" t="s">
        <v>1015</v>
      </c>
      <c r="V363">
        <v>31</v>
      </c>
      <c r="W363">
        <v>88.2</v>
      </c>
      <c r="X363">
        <v>328239523</v>
      </c>
      <c r="Y363">
        <v>14.7</v>
      </c>
      <c r="Z363">
        <v>270663028</v>
      </c>
      <c r="AA363">
        <v>37.090240000000001</v>
      </c>
      <c r="AB363">
        <v>-95.712890999999999</v>
      </c>
    </row>
    <row r="364" spans="1:28" x14ac:dyDescent="0.3">
      <c r="A364">
        <v>363</v>
      </c>
      <c r="B364" t="s">
        <v>649</v>
      </c>
      <c r="C364">
        <v>20800000</v>
      </c>
      <c r="D364">
        <v>1870608170</v>
      </c>
      <c r="E364" t="s">
        <v>1044</v>
      </c>
      <c r="F364" t="s">
        <v>649</v>
      </c>
      <c r="G364">
        <v>288</v>
      </c>
      <c r="H364" t="s">
        <v>1019</v>
      </c>
      <c r="I364" t="s">
        <v>1020</v>
      </c>
      <c r="J364" t="s">
        <v>1044</v>
      </c>
      <c r="K364">
        <v>5407</v>
      </c>
      <c r="L364">
        <v>18</v>
      </c>
      <c r="M364">
        <v>18</v>
      </c>
      <c r="N364">
        <v>23897000</v>
      </c>
      <c r="O364">
        <v>6000</v>
      </c>
      <c r="P364">
        <v>95600</v>
      </c>
      <c r="Q364">
        <v>71700</v>
      </c>
      <c r="R364">
        <v>1100000</v>
      </c>
      <c r="S364" t="s">
        <v>987</v>
      </c>
      <c r="T364">
        <v>2011</v>
      </c>
      <c r="U364" t="s">
        <v>999</v>
      </c>
      <c r="V364">
        <v>8</v>
      </c>
      <c r="W364">
        <v>51.3</v>
      </c>
      <c r="X364">
        <v>212559417</v>
      </c>
      <c r="Y364">
        <v>12.08</v>
      </c>
      <c r="Z364">
        <v>183241641</v>
      </c>
      <c r="AA364">
        <v>-14.235004</v>
      </c>
      <c r="AB364">
        <v>-51.925280000000001</v>
      </c>
    </row>
    <row r="365" spans="1:28" x14ac:dyDescent="0.3">
      <c r="A365">
        <v>364</v>
      </c>
      <c r="B365" t="s">
        <v>599</v>
      </c>
      <c r="C365">
        <v>20800000</v>
      </c>
      <c r="D365">
        <v>2378448129</v>
      </c>
      <c r="E365" t="s">
        <v>990</v>
      </c>
      <c r="F365" t="s">
        <v>599</v>
      </c>
      <c r="G365">
        <v>193</v>
      </c>
      <c r="H365" t="s">
        <v>1130</v>
      </c>
      <c r="I365" t="s">
        <v>1131</v>
      </c>
      <c r="J365" t="s">
        <v>990</v>
      </c>
      <c r="K365">
        <v>3914</v>
      </c>
      <c r="L365">
        <v>2</v>
      </c>
      <c r="M365">
        <v>21</v>
      </c>
      <c r="N365">
        <v>29269000</v>
      </c>
      <c r="O365">
        <v>7300</v>
      </c>
      <c r="P365">
        <v>117100</v>
      </c>
      <c r="Q365">
        <v>87800</v>
      </c>
      <c r="R365">
        <v>1400000</v>
      </c>
      <c r="S365">
        <v>100000</v>
      </c>
      <c r="T365">
        <v>2013</v>
      </c>
      <c r="U365" t="s">
        <v>1015</v>
      </c>
      <c r="V365">
        <v>9</v>
      </c>
      <c r="W365">
        <v>70.2</v>
      </c>
      <c r="X365">
        <v>83132799</v>
      </c>
      <c r="Y365">
        <v>3.04</v>
      </c>
      <c r="Z365">
        <v>64324835</v>
      </c>
      <c r="AA365">
        <v>51.165691000000002</v>
      </c>
      <c r="AB365">
        <v>10.451525999999999</v>
      </c>
    </row>
    <row r="366" spans="1:28" x14ac:dyDescent="0.3">
      <c r="A366">
        <v>365</v>
      </c>
      <c r="B366" t="s">
        <v>26</v>
      </c>
      <c r="C366">
        <v>20700000</v>
      </c>
      <c r="D366">
        <v>17963202261</v>
      </c>
      <c r="E366" t="s">
        <v>988</v>
      </c>
      <c r="F366" t="s">
        <v>26</v>
      </c>
      <c r="G366">
        <v>619</v>
      </c>
      <c r="H366" t="s">
        <v>984</v>
      </c>
      <c r="I366" t="s">
        <v>985</v>
      </c>
      <c r="J366" t="s">
        <v>988</v>
      </c>
      <c r="K366">
        <v>146</v>
      </c>
      <c r="L366">
        <v>101</v>
      </c>
      <c r="M366">
        <v>96</v>
      </c>
      <c r="N366">
        <v>874796000</v>
      </c>
      <c r="O366">
        <v>218700</v>
      </c>
      <c r="P366">
        <v>3500000</v>
      </c>
      <c r="Q366">
        <v>2600000</v>
      </c>
      <c r="R366">
        <v>42000000</v>
      </c>
      <c r="S366">
        <v>1000000</v>
      </c>
      <c r="T366">
        <v>2020</v>
      </c>
      <c r="U366" t="s">
        <v>991</v>
      </c>
      <c r="V366">
        <v>26</v>
      </c>
      <c r="W366">
        <v>88.2</v>
      </c>
      <c r="X366">
        <v>328239523</v>
      </c>
      <c r="Y366">
        <v>14.7</v>
      </c>
      <c r="Z366">
        <v>270663028</v>
      </c>
      <c r="AA366">
        <v>37.090240000000001</v>
      </c>
      <c r="AB366">
        <v>-95.712890999999999</v>
      </c>
    </row>
    <row r="367" spans="1:28" x14ac:dyDescent="0.3">
      <c r="A367">
        <v>366</v>
      </c>
      <c r="B367" t="s">
        <v>661</v>
      </c>
      <c r="C367">
        <v>20700000</v>
      </c>
      <c r="D367">
        <v>5091618606</v>
      </c>
      <c r="E367" t="s">
        <v>1011</v>
      </c>
      <c r="F367" t="s">
        <v>661</v>
      </c>
      <c r="G367">
        <v>5062</v>
      </c>
      <c r="H367" t="s">
        <v>984</v>
      </c>
      <c r="I367" t="s">
        <v>985</v>
      </c>
      <c r="J367" t="s">
        <v>1053</v>
      </c>
      <c r="K367">
        <v>1334</v>
      </c>
      <c r="L367">
        <v>103</v>
      </c>
      <c r="M367">
        <v>11</v>
      </c>
      <c r="N367">
        <v>20012000</v>
      </c>
      <c r="O367">
        <v>5000</v>
      </c>
      <c r="P367">
        <v>80000</v>
      </c>
      <c r="Q367">
        <v>60000</v>
      </c>
      <c r="R367">
        <v>960600</v>
      </c>
      <c r="S367" t="s">
        <v>987</v>
      </c>
      <c r="T367">
        <v>2018</v>
      </c>
      <c r="U367" t="s">
        <v>1003</v>
      </c>
      <c r="V367">
        <v>18</v>
      </c>
      <c r="W367">
        <v>88.2</v>
      </c>
      <c r="X367">
        <v>328239523</v>
      </c>
      <c r="Y367">
        <v>14.7</v>
      </c>
      <c r="Z367">
        <v>270663028</v>
      </c>
      <c r="AA367">
        <v>37.090240000000001</v>
      </c>
      <c r="AB367">
        <v>-95.712890999999999</v>
      </c>
    </row>
    <row r="368" spans="1:28" x14ac:dyDescent="0.3">
      <c r="A368">
        <v>367</v>
      </c>
      <c r="B368" t="s">
        <v>828</v>
      </c>
      <c r="C368">
        <v>20700000</v>
      </c>
      <c r="D368">
        <v>5410164682</v>
      </c>
      <c r="E368" t="s">
        <v>988</v>
      </c>
      <c r="F368" t="s">
        <v>828</v>
      </c>
      <c r="G368">
        <v>6</v>
      </c>
      <c r="H368" t="s">
        <v>987</v>
      </c>
      <c r="I368" t="s">
        <v>987</v>
      </c>
      <c r="J368" t="s">
        <v>988</v>
      </c>
      <c r="K368">
        <v>3997461</v>
      </c>
      <c r="L368" t="s">
        <v>987</v>
      </c>
      <c r="M368">
        <v>4664</v>
      </c>
      <c r="N368">
        <v>125</v>
      </c>
      <c r="O368">
        <v>0.03</v>
      </c>
      <c r="P368">
        <v>0.5</v>
      </c>
      <c r="Q368">
        <v>0.38</v>
      </c>
      <c r="R368">
        <v>6</v>
      </c>
      <c r="S368">
        <v>10</v>
      </c>
      <c r="T368">
        <v>2013</v>
      </c>
      <c r="U368" t="s">
        <v>1008</v>
      </c>
      <c r="V368">
        <v>5</v>
      </c>
      <c r="W368" t="s">
        <v>987</v>
      </c>
      <c r="X368" t="s">
        <v>987</v>
      </c>
      <c r="Y368" t="s">
        <v>987</v>
      </c>
      <c r="Z368" t="s">
        <v>987</v>
      </c>
      <c r="AA368" t="s">
        <v>987</v>
      </c>
      <c r="AB368" t="s">
        <v>987</v>
      </c>
    </row>
    <row r="369" spans="1:28" x14ac:dyDescent="0.3">
      <c r="A369">
        <v>368</v>
      </c>
      <c r="B369" t="s">
        <v>51</v>
      </c>
      <c r="C369">
        <v>20700000</v>
      </c>
      <c r="D369">
        <v>8658941531</v>
      </c>
      <c r="E369" t="s">
        <v>994</v>
      </c>
      <c r="F369" t="s">
        <v>51</v>
      </c>
      <c r="G369">
        <v>889</v>
      </c>
      <c r="H369" t="s">
        <v>1000</v>
      </c>
      <c r="I369" t="s">
        <v>1001</v>
      </c>
      <c r="J369" t="s">
        <v>1002</v>
      </c>
      <c r="K369">
        <v>570</v>
      </c>
      <c r="L369">
        <v>3</v>
      </c>
      <c r="M369">
        <v>18</v>
      </c>
      <c r="N369">
        <v>552266000</v>
      </c>
      <c r="O369">
        <v>138100</v>
      </c>
      <c r="P369">
        <v>2200000</v>
      </c>
      <c r="Q369">
        <v>1700000</v>
      </c>
      <c r="R369">
        <v>26500000</v>
      </c>
      <c r="S369">
        <v>1600000</v>
      </c>
      <c r="T369">
        <v>2015</v>
      </c>
      <c r="U369" t="s">
        <v>1025</v>
      </c>
      <c r="V369">
        <v>26</v>
      </c>
      <c r="W369">
        <v>81.900000000000006</v>
      </c>
      <c r="X369">
        <v>144373535</v>
      </c>
      <c r="Y369">
        <v>4.59</v>
      </c>
      <c r="Z369">
        <v>107683889</v>
      </c>
      <c r="AA369">
        <v>61.524009999999997</v>
      </c>
      <c r="AB369">
        <v>105.31875599999999</v>
      </c>
    </row>
    <row r="370" spans="1:28" x14ac:dyDescent="0.3">
      <c r="A370">
        <v>369</v>
      </c>
      <c r="B370" t="s">
        <v>419</v>
      </c>
      <c r="C370">
        <v>20700000</v>
      </c>
      <c r="D370">
        <v>12624879732</v>
      </c>
      <c r="E370" t="s">
        <v>1004</v>
      </c>
      <c r="F370" t="s">
        <v>419</v>
      </c>
      <c r="G370">
        <v>47926</v>
      </c>
      <c r="H370" t="s">
        <v>984</v>
      </c>
      <c r="I370" t="s">
        <v>985</v>
      </c>
      <c r="J370" t="s">
        <v>1004</v>
      </c>
      <c r="K370">
        <v>304</v>
      </c>
      <c r="L370">
        <v>103</v>
      </c>
      <c r="M370">
        <v>4</v>
      </c>
      <c r="N370">
        <v>73025000</v>
      </c>
      <c r="O370">
        <v>18300</v>
      </c>
      <c r="P370">
        <v>292100</v>
      </c>
      <c r="Q370">
        <v>219100</v>
      </c>
      <c r="R370">
        <v>3500000</v>
      </c>
      <c r="S370" t="s">
        <v>987</v>
      </c>
      <c r="T370">
        <v>2005</v>
      </c>
      <c r="U370" t="s">
        <v>1029</v>
      </c>
      <c r="V370">
        <v>21</v>
      </c>
      <c r="W370">
        <v>88.2</v>
      </c>
      <c r="X370">
        <v>328239523</v>
      </c>
      <c r="Y370">
        <v>14.7</v>
      </c>
      <c r="Z370">
        <v>270663028</v>
      </c>
      <c r="AA370">
        <v>37.090240000000001</v>
      </c>
      <c r="AB370">
        <v>-95.712890999999999</v>
      </c>
    </row>
    <row r="371" spans="1:28" x14ac:dyDescent="0.3">
      <c r="A371">
        <v>370</v>
      </c>
      <c r="B371" t="s">
        <v>835</v>
      </c>
      <c r="C371">
        <v>20600000</v>
      </c>
      <c r="D371">
        <v>4956090094</v>
      </c>
      <c r="E371" t="s">
        <v>988</v>
      </c>
      <c r="F371" t="s">
        <v>1146</v>
      </c>
      <c r="G371">
        <v>15</v>
      </c>
      <c r="H371" t="s">
        <v>1081</v>
      </c>
      <c r="I371" t="s">
        <v>1082</v>
      </c>
      <c r="J371" t="s">
        <v>988</v>
      </c>
      <c r="K371">
        <v>3539124</v>
      </c>
      <c r="L371">
        <v>4044</v>
      </c>
      <c r="M371">
        <v>6217</v>
      </c>
      <c r="N371">
        <v>85</v>
      </c>
      <c r="O371">
        <v>0.02</v>
      </c>
      <c r="P371">
        <v>0.34</v>
      </c>
      <c r="Q371">
        <v>0.26</v>
      </c>
      <c r="R371">
        <v>4</v>
      </c>
      <c r="S371">
        <v>1</v>
      </c>
      <c r="T371">
        <v>2007</v>
      </c>
      <c r="U371" t="s">
        <v>1015</v>
      </c>
      <c r="V371">
        <v>23</v>
      </c>
      <c r="W371">
        <v>36.299999999999997</v>
      </c>
      <c r="X371">
        <v>270203917</v>
      </c>
      <c r="Y371">
        <v>4.6900000000000004</v>
      </c>
      <c r="Z371">
        <v>151509724</v>
      </c>
      <c r="AA371">
        <v>-0.78927499999999995</v>
      </c>
      <c r="AB371">
        <v>113.92132700000001</v>
      </c>
    </row>
    <row r="372" spans="1:28" x14ac:dyDescent="0.3">
      <c r="A372">
        <v>371</v>
      </c>
      <c r="B372" t="s">
        <v>192</v>
      </c>
      <c r="C372">
        <v>20600000</v>
      </c>
      <c r="D372">
        <v>7657171980</v>
      </c>
      <c r="E372" t="s">
        <v>1044</v>
      </c>
      <c r="F372" t="s">
        <v>192</v>
      </c>
      <c r="G372">
        <v>83</v>
      </c>
      <c r="H372" t="s">
        <v>1023</v>
      </c>
      <c r="I372" t="s">
        <v>1024</v>
      </c>
      <c r="J372" t="s">
        <v>988</v>
      </c>
      <c r="K372">
        <v>711</v>
      </c>
      <c r="L372">
        <v>8</v>
      </c>
      <c r="M372">
        <v>98</v>
      </c>
      <c r="N372">
        <v>193176000</v>
      </c>
      <c r="O372">
        <v>48300</v>
      </c>
      <c r="P372">
        <v>772700</v>
      </c>
      <c r="Q372">
        <v>579500</v>
      </c>
      <c r="R372">
        <v>9300000</v>
      </c>
      <c r="S372">
        <v>200000</v>
      </c>
      <c r="T372">
        <v>2017</v>
      </c>
      <c r="U372" t="s">
        <v>1003</v>
      </c>
      <c r="V372">
        <v>15</v>
      </c>
      <c r="W372">
        <v>90</v>
      </c>
      <c r="X372">
        <v>44938712</v>
      </c>
      <c r="Y372">
        <v>9.7899999999999991</v>
      </c>
      <c r="Z372">
        <v>41339571</v>
      </c>
      <c r="AA372">
        <v>-38.416097000000001</v>
      </c>
      <c r="AB372">
        <v>-63.616672000000001</v>
      </c>
    </row>
    <row r="373" spans="1:28" x14ac:dyDescent="0.3">
      <c r="A373">
        <v>372</v>
      </c>
      <c r="B373" t="s">
        <v>400</v>
      </c>
      <c r="C373">
        <v>20600000</v>
      </c>
      <c r="D373">
        <v>10292874715</v>
      </c>
      <c r="E373" t="s">
        <v>977</v>
      </c>
      <c r="F373" t="s">
        <v>400</v>
      </c>
      <c r="G373">
        <v>156</v>
      </c>
      <c r="H373" t="s">
        <v>1147</v>
      </c>
      <c r="I373" t="s">
        <v>1148</v>
      </c>
      <c r="J373" t="s">
        <v>977</v>
      </c>
      <c r="K373">
        <v>421</v>
      </c>
      <c r="L373">
        <v>1</v>
      </c>
      <c r="M373">
        <v>92</v>
      </c>
      <c r="N373">
        <v>81236000</v>
      </c>
      <c r="O373">
        <v>20300</v>
      </c>
      <c r="P373">
        <v>324900</v>
      </c>
      <c r="Q373">
        <v>243700</v>
      </c>
      <c r="R373">
        <v>3900000</v>
      </c>
      <c r="S373" t="s">
        <v>987</v>
      </c>
      <c r="T373">
        <v>2009</v>
      </c>
      <c r="U373" t="s">
        <v>1025</v>
      </c>
      <c r="V373">
        <v>28</v>
      </c>
      <c r="W373">
        <v>67</v>
      </c>
      <c r="X373">
        <v>10285453</v>
      </c>
      <c r="Y373">
        <v>6.48</v>
      </c>
      <c r="Z373">
        <v>9021165</v>
      </c>
      <c r="AA373">
        <v>60.128160999999999</v>
      </c>
      <c r="AB373">
        <v>18.643501000000001</v>
      </c>
    </row>
    <row r="374" spans="1:28" x14ac:dyDescent="0.3">
      <c r="A374">
        <v>373</v>
      </c>
      <c r="B374" t="s">
        <v>236</v>
      </c>
      <c r="C374">
        <v>20500000</v>
      </c>
      <c r="D374">
        <v>15038593883</v>
      </c>
      <c r="E374" t="s">
        <v>988</v>
      </c>
      <c r="F374" t="s">
        <v>236</v>
      </c>
      <c r="G374">
        <v>33229</v>
      </c>
      <c r="H374" t="s">
        <v>1006</v>
      </c>
      <c r="I374" t="s">
        <v>1007</v>
      </c>
      <c r="J374" t="s">
        <v>988</v>
      </c>
      <c r="K374">
        <v>220</v>
      </c>
      <c r="L374">
        <v>7</v>
      </c>
      <c r="M374">
        <v>99</v>
      </c>
      <c r="N374">
        <v>158540000</v>
      </c>
      <c r="O374">
        <v>39600</v>
      </c>
      <c r="P374">
        <v>634200</v>
      </c>
      <c r="Q374">
        <v>475600</v>
      </c>
      <c r="R374">
        <v>7600000</v>
      </c>
      <c r="S374">
        <v>100000</v>
      </c>
      <c r="T374">
        <v>2006</v>
      </c>
      <c r="U374" t="s">
        <v>980</v>
      </c>
      <c r="V374">
        <v>9</v>
      </c>
      <c r="W374">
        <v>94.3</v>
      </c>
      <c r="X374">
        <v>51709098</v>
      </c>
      <c r="Y374">
        <v>4.1500000000000004</v>
      </c>
      <c r="Z374">
        <v>42106719</v>
      </c>
      <c r="AA374">
        <v>35.907756999999997</v>
      </c>
      <c r="AB374">
        <v>127.76692199999999</v>
      </c>
    </row>
    <row r="375" spans="1:28" x14ac:dyDescent="0.3">
      <c r="A375">
        <v>374</v>
      </c>
      <c r="B375" t="s">
        <v>615</v>
      </c>
      <c r="C375">
        <v>20500000</v>
      </c>
      <c r="D375">
        <v>8768697257</v>
      </c>
      <c r="E375" t="s">
        <v>996</v>
      </c>
      <c r="F375" t="s">
        <v>615</v>
      </c>
      <c r="G375">
        <v>1323</v>
      </c>
      <c r="H375" t="s">
        <v>1114</v>
      </c>
      <c r="I375" t="s">
        <v>1115</v>
      </c>
      <c r="J375" t="s">
        <v>986</v>
      </c>
      <c r="K375">
        <v>565</v>
      </c>
      <c r="L375">
        <v>3</v>
      </c>
      <c r="M375">
        <v>25</v>
      </c>
      <c r="N375">
        <v>26082000</v>
      </c>
      <c r="O375">
        <v>6500</v>
      </c>
      <c r="P375">
        <v>104300</v>
      </c>
      <c r="Q375">
        <v>78200</v>
      </c>
      <c r="R375">
        <v>1300000</v>
      </c>
      <c r="S375" t="s">
        <v>987</v>
      </c>
      <c r="T375">
        <v>2015</v>
      </c>
      <c r="U375" t="s">
        <v>1003</v>
      </c>
      <c r="V375">
        <v>4</v>
      </c>
      <c r="W375">
        <v>113.1</v>
      </c>
      <c r="X375">
        <v>25766605</v>
      </c>
      <c r="Y375">
        <v>5.27</v>
      </c>
      <c r="Z375">
        <v>21844756</v>
      </c>
      <c r="AA375">
        <v>-25.274398000000001</v>
      </c>
      <c r="AB375">
        <v>133.775136</v>
      </c>
    </row>
    <row r="376" spans="1:28" x14ac:dyDescent="0.3">
      <c r="A376">
        <v>375</v>
      </c>
      <c r="B376" t="s">
        <v>189</v>
      </c>
      <c r="C376">
        <v>20500000</v>
      </c>
      <c r="D376">
        <v>11009148579</v>
      </c>
      <c r="E376" t="s">
        <v>988</v>
      </c>
      <c r="F376" t="s">
        <v>189</v>
      </c>
      <c r="G376">
        <v>296</v>
      </c>
      <c r="H376" t="s">
        <v>984</v>
      </c>
      <c r="I376" t="s">
        <v>985</v>
      </c>
      <c r="J376" t="s">
        <v>988</v>
      </c>
      <c r="K376">
        <v>377</v>
      </c>
      <c r="L376">
        <v>104</v>
      </c>
      <c r="M376">
        <v>99</v>
      </c>
      <c r="N376">
        <v>195203000</v>
      </c>
      <c r="O376">
        <v>48800</v>
      </c>
      <c r="P376">
        <v>780800</v>
      </c>
      <c r="Q376">
        <v>585600</v>
      </c>
      <c r="R376">
        <v>9400000</v>
      </c>
      <c r="S376">
        <v>100000</v>
      </c>
      <c r="T376">
        <v>2017</v>
      </c>
      <c r="U376" t="s">
        <v>989</v>
      </c>
      <c r="V376">
        <v>9</v>
      </c>
      <c r="W376">
        <v>88.2</v>
      </c>
      <c r="X376">
        <v>328239523</v>
      </c>
      <c r="Y376">
        <v>14.7</v>
      </c>
      <c r="Z376">
        <v>270663028</v>
      </c>
      <c r="AA376">
        <v>37.090240000000001</v>
      </c>
      <c r="AB376">
        <v>-95.712890999999999</v>
      </c>
    </row>
    <row r="377" spans="1:28" x14ac:dyDescent="0.3">
      <c r="A377">
        <v>376</v>
      </c>
      <c r="B377" t="s">
        <v>545</v>
      </c>
      <c r="C377">
        <v>20400000</v>
      </c>
      <c r="D377">
        <v>1796227417</v>
      </c>
      <c r="E377" t="s">
        <v>982</v>
      </c>
      <c r="F377" t="s">
        <v>545</v>
      </c>
      <c r="G377">
        <v>206</v>
      </c>
      <c r="H377" t="s">
        <v>1019</v>
      </c>
      <c r="I377" t="s">
        <v>1020</v>
      </c>
      <c r="J377" t="s">
        <v>1022</v>
      </c>
      <c r="K377">
        <v>5673</v>
      </c>
      <c r="L377">
        <v>19</v>
      </c>
      <c r="M377">
        <v>24</v>
      </c>
      <c r="N377">
        <v>39495000</v>
      </c>
      <c r="O377">
        <v>9900</v>
      </c>
      <c r="P377">
        <v>158000</v>
      </c>
      <c r="Q377">
        <v>118500</v>
      </c>
      <c r="R377">
        <v>1900000</v>
      </c>
      <c r="S377">
        <v>100000</v>
      </c>
      <c r="T377">
        <v>2014</v>
      </c>
      <c r="U377" t="s">
        <v>1005</v>
      </c>
      <c r="V377">
        <v>2</v>
      </c>
      <c r="W377">
        <v>51.3</v>
      </c>
      <c r="X377">
        <v>212559417</v>
      </c>
      <c r="Y377">
        <v>12.08</v>
      </c>
      <c r="Z377">
        <v>183241641</v>
      </c>
      <c r="AA377">
        <v>-14.235004</v>
      </c>
      <c r="AB377">
        <v>-51.925280000000001</v>
      </c>
    </row>
    <row r="378" spans="1:28" x14ac:dyDescent="0.3">
      <c r="A378">
        <v>377</v>
      </c>
      <c r="B378" t="s">
        <v>694</v>
      </c>
      <c r="C378">
        <v>20400000</v>
      </c>
      <c r="D378">
        <v>7311322368</v>
      </c>
      <c r="E378" t="s">
        <v>994</v>
      </c>
      <c r="F378" t="s">
        <v>694</v>
      </c>
      <c r="G378">
        <v>1006</v>
      </c>
      <c r="H378" t="s">
        <v>984</v>
      </c>
      <c r="I378" t="s">
        <v>985</v>
      </c>
      <c r="J378" t="s">
        <v>1002</v>
      </c>
      <c r="K378">
        <v>778</v>
      </c>
      <c r="L378">
        <v>105</v>
      </c>
      <c r="M378">
        <v>19</v>
      </c>
      <c r="N378">
        <v>14646000</v>
      </c>
      <c r="O378">
        <v>3700</v>
      </c>
      <c r="P378">
        <v>58600</v>
      </c>
      <c r="Q378">
        <v>43900</v>
      </c>
      <c r="R378">
        <v>703000</v>
      </c>
      <c r="S378">
        <v>100000</v>
      </c>
      <c r="T378">
        <v>2013</v>
      </c>
      <c r="U378" t="s">
        <v>991</v>
      </c>
      <c r="V378">
        <v>19</v>
      </c>
      <c r="W378">
        <v>88.2</v>
      </c>
      <c r="X378">
        <v>328239523</v>
      </c>
      <c r="Y378">
        <v>14.7</v>
      </c>
      <c r="Z378">
        <v>270663028</v>
      </c>
      <c r="AA378">
        <v>37.090240000000001</v>
      </c>
      <c r="AB378">
        <v>-95.712890999999999</v>
      </c>
    </row>
    <row r="379" spans="1:28" x14ac:dyDescent="0.3">
      <c r="A379">
        <v>378</v>
      </c>
      <c r="B379" t="s">
        <v>915</v>
      </c>
      <c r="C379">
        <v>20400000</v>
      </c>
      <c r="D379">
        <v>13397000296</v>
      </c>
      <c r="E379" t="s">
        <v>977</v>
      </c>
      <c r="F379" t="s">
        <v>1149</v>
      </c>
      <c r="G379">
        <v>0</v>
      </c>
      <c r="H379" t="s">
        <v>1150</v>
      </c>
      <c r="I379" t="s">
        <v>1151</v>
      </c>
      <c r="J379" t="s">
        <v>986</v>
      </c>
      <c r="K379">
        <v>4057944</v>
      </c>
      <c r="L379">
        <v>1385</v>
      </c>
      <c r="M379">
        <v>7136</v>
      </c>
      <c r="N379" t="s">
        <v>987</v>
      </c>
      <c r="O379">
        <v>0</v>
      </c>
      <c r="P379">
        <v>0</v>
      </c>
      <c r="Q379">
        <v>0</v>
      </c>
      <c r="R379">
        <v>0</v>
      </c>
      <c r="S379">
        <v>12</v>
      </c>
      <c r="T379">
        <v>2006</v>
      </c>
      <c r="U379" t="s">
        <v>1029</v>
      </c>
      <c r="V379">
        <v>28</v>
      </c>
      <c r="W379">
        <v>9.6999999999999993</v>
      </c>
      <c r="X379">
        <v>38041754</v>
      </c>
      <c r="Y379">
        <v>11.12</v>
      </c>
      <c r="Z379">
        <v>9797273</v>
      </c>
      <c r="AA379">
        <v>33.939109999999999</v>
      </c>
      <c r="AB379">
        <v>67.709952999999999</v>
      </c>
    </row>
    <row r="380" spans="1:28" x14ac:dyDescent="0.3">
      <c r="A380">
        <v>379</v>
      </c>
      <c r="B380" t="s">
        <v>24</v>
      </c>
      <c r="C380">
        <v>20400000</v>
      </c>
      <c r="D380">
        <v>29406206620</v>
      </c>
      <c r="E380" t="s">
        <v>988</v>
      </c>
      <c r="F380" t="s">
        <v>24</v>
      </c>
      <c r="G380">
        <v>51515</v>
      </c>
      <c r="H380" t="s">
        <v>978</v>
      </c>
      <c r="I380" t="s">
        <v>979</v>
      </c>
      <c r="J380" t="s">
        <v>988</v>
      </c>
      <c r="K380">
        <v>43</v>
      </c>
      <c r="L380">
        <v>70</v>
      </c>
      <c r="M380">
        <v>100</v>
      </c>
      <c r="N380">
        <v>907534000</v>
      </c>
      <c r="O380">
        <v>226900</v>
      </c>
      <c r="P380">
        <v>3600000</v>
      </c>
      <c r="Q380">
        <v>2700000</v>
      </c>
      <c r="R380">
        <v>43600000</v>
      </c>
      <c r="S380">
        <v>400000</v>
      </c>
      <c r="T380">
        <v>2007</v>
      </c>
      <c r="U380" t="s">
        <v>989</v>
      </c>
      <c r="V380">
        <v>1</v>
      </c>
      <c r="W380">
        <v>28.1</v>
      </c>
      <c r="X380">
        <v>1366417754</v>
      </c>
      <c r="Y380">
        <v>5.36</v>
      </c>
      <c r="Z380">
        <v>471031528</v>
      </c>
      <c r="AA380">
        <v>20.593684</v>
      </c>
      <c r="AB380">
        <v>78.962879999999998</v>
      </c>
    </row>
    <row r="381" spans="1:28" x14ac:dyDescent="0.3">
      <c r="A381">
        <v>380</v>
      </c>
      <c r="B381" t="s">
        <v>596</v>
      </c>
      <c r="C381">
        <v>20400000</v>
      </c>
      <c r="D381">
        <v>4707412332</v>
      </c>
      <c r="E381" t="s">
        <v>988</v>
      </c>
      <c r="F381" t="s">
        <v>596</v>
      </c>
      <c r="G381">
        <v>462</v>
      </c>
      <c r="H381" t="s">
        <v>1152</v>
      </c>
      <c r="I381" t="s">
        <v>1153</v>
      </c>
      <c r="J381" t="s">
        <v>988</v>
      </c>
      <c r="K381">
        <v>1489</v>
      </c>
      <c r="L381">
        <v>1</v>
      </c>
      <c r="M381">
        <v>100</v>
      </c>
      <c r="N381">
        <v>28990000</v>
      </c>
      <c r="O381">
        <v>7200</v>
      </c>
      <c r="P381">
        <v>116000</v>
      </c>
      <c r="Q381">
        <v>87000</v>
      </c>
      <c r="R381">
        <v>1400000</v>
      </c>
      <c r="S381" t="s">
        <v>987</v>
      </c>
      <c r="T381">
        <v>2012</v>
      </c>
      <c r="U381" t="s">
        <v>1005</v>
      </c>
      <c r="V381">
        <v>11</v>
      </c>
      <c r="W381">
        <v>82.7</v>
      </c>
      <c r="X381">
        <v>44385155</v>
      </c>
      <c r="Y381">
        <v>8.8800000000000008</v>
      </c>
      <c r="Z381">
        <v>30835699</v>
      </c>
      <c r="AA381">
        <v>48.379432999999999</v>
      </c>
      <c r="AB381">
        <v>31.165579999999999</v>
      </c>
    </row>
    <row r="382" spans="1:28" x14ac:dyDescent="0.3">
      <c r="A382">
        <v>381</v>
      </c>
      <c r="B382" t="s">
        <v>544</v>
      </c>
      <c r="C382">
        <v>20400000</v>
      </c>
      <c r="D382">
        <v>3579555124</v>
      </c>
      <c r="E382" t="s">
        <v>977</v>
      </c>
      <c r="F382" t="s">
        <v>544</v>
      </c>
      <c r="G382">
        <v>239</v>
      </c>
      <c r="H382" t="s">
        <v>978</v>
      </c>
      <c r="I382" t="s">
        <v>979</v>
      </c>
      <c r="J382" t="s">
        <v>977</v>
      </c>
      <c r="K382">
        <v>2236</v>
      </c>
      <c r="L382">
        <v>70</v>
      </c>
      <c r="M382">
        <v>94</v>
      </c>
      <c r="N382">
        <v>41289000</v>
      </c>
      <c r="O382">
        <v>10300</v>
      </c>
      <c r="P382">
        <v>165200</v>
      </c>
      <c r="Q382">
        <v>123900</v>
      </c>
      <c r="R382">
        <v>2000000</v>
      </c>
      <c r="S382">
        <v>100000</v>
      </c>
      <c r="T382">
        <v>2013</v>
      </c>
      <c r="U382" t="s">
        <v>995</v>
      </c>
      <c r="V382">
        <v>3</v>
      </c>
      <c r="W382">
        <v>28.1</v>
      </c>
      <c r="X382">
        <v>1366417754</v>
      </c>
      <c r="Y382">
        <v>5.36</v>
      </c>
      <c r="Z382">
        <v>471031528</v>
      </c>
      <c r="AA382">
        <v>20.593684</v>
      </c>
      <c r="AB382">
        <v>78.962879999999998</v>
      </c>
    </row>
    <row r="383" spans="1:28" x14ac:dyDescent="0.3">
      <c r="A383">
        <v>382</v>
      </c>
      <c r="B383" t="s">
        <v>388</v>
      </c>
      <c r="C383">
        <v>20300000</v>
      </c>
      <c r="D383">
        <v>2441288701</v>
      </c>
      <c r="E383" t="s">
        <v>988</v>
      </c>
      <c r="F383" t="s">
        <v>388</v>
      </c>
      <c r="G383">
        <v>1245</v>
      </c>
      <c r="H383" t="s">
        <v>1013</v>
      </c>
      <c r="I383" t="s">
        <v>1014</v>
      </c>
      <c r="J383" t="s">
        <v>988</v>
      </c>
      <c r="K383">
        <v>3750</v>
      </c>
      <c r="L383">
        <v>15</v>
      </c>
      <c r="M383">
        <v>101</v>
      </c>
      <c r="N383">
        <v>86457000</v>
      </c>
      <c r="O383">
        <v>21600</v>
      </c>
      <c r="P383">
        <v>345800</v>
      </c>
      <c r="Q383">
        <v>259400</v>
      </c>
      <c r="R383">
        <v>4100000</v>
      </c>
      <c r="S383">
        <v>100000</v>
      </c>
      <c r="T383">
        <v>2013</v>
      </c>
      <c r="U383" t="s">
        <v>1003</v>
      </c>
      <c r="V383">
        <v>31</v>
      </c>
      <c r="W383">
        <v>60</v>
      </c>
      <c r="X383">
        <v>66834405</v>
      </c>
      <c r="Y383">
        <v>3.85</v>
      </c>
      <c r="Z383">
        <v>55908316</v>
      </c>
      <c r="AA383">
        <v>55.378050999999999</v>
      </c>
      <c r="AB383">
        <v>-3.4359730000000002</v>
      </c>
    </row>
    <row r="384" spans="1:28" x14ac:dyDescent="0.3">
      <c r="A384">
        <v>383</v>
      </c>
      <c r="B384" t="s">
        <v>422</v>
      </c>
      <c r="C384">
        <v>20300000</v>
      </c>
      <c r="D384">
        <v>11022391339</v>
      </c>
      <c r="E384" t="s">
        <v>990</v>
      </c>
      <c r="F384" t="s">
        <v>422</v>
      </c>
      <c r="G384">
        <v>107</v>
      </c>
      <c r="H384" t="s">
        <v>987</v>
      </c>
      <c r="I384" t="s">
        <v>987</v>
      </c>
      <c r="J384" t="s">
        <v>990</v>
      </c>
      <c r="K384">
        <v>380</v>
      </c>
      <c r="L384" t="s">
        <v>987</v>
      </c>
      <c r="M384">
        <v>22</v>
      </c>
      <c r="N384">
        <v>71777000</v>
      </c>
      <c r="O384">
        <v>17900</v>
      </c>
      <c r="P384">
        <v>287100</v>
      </c>
      <c r="Q384">
        <v>215300</v>
      </c>
      <c r="R384">
        <v>3400000</v>
      </c>
      <c r="S384">
        <v>200000</v>
      </c>
      <c r="T384">
        <v>2018</v>
      </c>
      <c r="U384" t="s">
        <v>1015</v>
      </c>
      <c r="V384">
        <v>22</v>
      </c>
      <c r="W384" t="s">
        <v>987</v>
      </c>
      <c r="X384" t="s">
        <v>987</v>
      </c>
      <c r="Y384" t="s">
        <v>987</v>
      </c>
      <c r="Z384" t="s">
        <v>987</v>
      </c>
      <c r="AA384" t="s">
        <v>987</v>
      </c>
      <c r="AB384" t="s">
        <v>987</v>
      </c>
    </row>
    <row r="385" spans="1:28" x14ac:dyDescent="0.3">
      <c r="A385">
        <v>384</v>
      </c>
      <c r="B385" t="s">
        <v>314</v>
      </c>
      <c r="C385">
        <v>20300000</v>
      </c>
      <c r="D385">
        <v>11819051552</v>
      </c>
      <c r="E385" t="s">
        <v>990</v>
      </c>
      <c r="F385" t="s">
        <v>314</v>
      </c>
      <c r="G385">
        <v>875</v>
      </c>
      <c r="H385" t="s">
        <v>1081</v>
      </c>
      <c r="I385" t="s">
        <v>1082</v>
      </c>
      <c r="J385" t="s">
        <v>990</v>
      </c>
      <c r="K385">
        <v>332</v>
      </c>
      <c r="L385">
        <v>10</v>
      </c>
      <c r="M385">
        <v>22</v>
      </c>
      <c r="N385">
        <v>112768000</v>
      </c>
      <c r="O385">
        <v>28200</v>
      </c>
      <c r="P385">
        <v>451100</v>
      </c>
      <c r="Q385">
        <v>338300</v>
      </c>
      <c r="R385">
        <v>5400000</v>
      </c>
      <c r="S385">
        <v>100000</v>
      </c>
      <c r="T385">
        <v>2019</v>
      </c>
      <c r="U385" t="s">
        <v>1003</v>
      </c>
      <c r="V385">
        <v>14</v>
      </c>
      <c r="W385">
        <v>36.299999999999997</v>
      </c>
      <c r="X385">
        <v>270203917</v>
      </c>
      <c r="Y385">
        <v>4.6900000000000004</v>
      </c>
      <c r="Z385">
        <v>151509724</v>
      </c>
      <c r="AA385">
        <v>-0.78927499999999995</v>
      </c>
      <c r="AB385">
        <v>113.92132700000001</v>
      </c>
    </row>
    <row r="386" spans="1:28" x14ac:dyDescent="0.3">
      <c r="A386">
        <v>385</v>
      </c>
      <c r="B386" t="s">
        <v>145</v>
      </c>
      <c r="C386">
        <v>20200000</v>
      </c>
      <c r="D386">
        <v>2951914200</v>
      </c>
      <c r="E386" t="s">
        <v>988</v>
      </c>
      <c r="F386" t="s">
        <v>145</v>
      </c>
      <c r="G386">
        <v>460</v>
      </c>
      <c r="H386" t="s">
        <v>1051</v>
      </c>
      <c r="I386" t="s">
        <v>1052</v>
      </c>
      <c r="J386" t="s">
        <v>988</v>
      </c>
      <c r="K386">
        <v>2959</v>
      </c>
      <c r="L386">
        <v>7</v>
      </c>
      <c r="M386">
        <v>103</v>
      </c>
      <c r="N386">
        <v>263864000</v>
      </c>
      <c r="O386">
        <v>66000</v>
      </c>
      <c r="P386">
        <v>1100000</v>
      </c>
      <c r="Q386">
        <v>791600</v>
      </c>
      <c r="R386">
        <v>12700000</v>
      </c>
      <c r="S386">
        <v>1600000</v>
      </c>
      <c r="T386">
        <v>2009</v>
      </c>
      <c r="U386" t="s">
        <v>1015</v>
      </c>
      <c r="V386">
        <v>20</v>
      </c>
      <c r="W386">
        <v>55.3</v>
      </c>
      <c r="X386">
        <v>50339443</v>
      </c>
      <c r="Y386">
        <v>9.7100000000000009</v>
      </c>
      <c r="Z386">
        <v>40827302</v>
      </c>
      <c r="AA386">
        <v>4.5708679999999999</v>
      </c>
      <c r="AB386">
        <v>-74.297332999999995</v>
      </c>
    </row>
    <row r="387" spans="1:28" x14ac:dyDescent="0.3">
      <c r="A387">
        <v>386</v>
      </c>
      <c r="B387" t="s">
        <v>686</v>
      </c>
      <c r="C387">
        <v>20200000</v>
      </c>
      <c r="D387">
        <v>2764127969</v>
      </c>
      <c r="E387" t="s">
        <v>1044</v>
      </c>
      <c r="F387" t="s">
        <v>686</v>
      </c>
      <c r="G387">
        <v>693</v>
      </c>
      <c r="H387" t="s">
        <v>1062</v>
      </c>
      <c r="I387" t="s">
        <v>1063</v>
      </c>
      <c r="J387" t="s">
        <v>988</v>
      </c>
      <c r="K387">
        <v>3238</v>
      </c>
      <c r="L387">
        <v>5</v>
      </c>
      <c r="M387">
        <v>102</v>
      </c>
      <c r="N387">
        <v>15556000</v>
      </c>
      <c r="O387">
        <v>3900</v>
      </c>
      <c r="P387">
        <v>62200</v>
      </c>
      <c r="Q387">
        <v>46700</v>
      </c>
      <c r="R387">
        <v>746700</v>
      </c>
      <c r="S387">
        <v>100000</v>
      </c>
      <c r="T387">
        <v>2014</v>
      </c>
      <c r="U387" t="s">
        <v>999</v>
      </c>
      <c r="V387">
        <v>24</v>
      </c>
      <c r="W387">
        <v>36.799999999999997</v>
      </c>
      <c r="X387">
        <v>9770529</v>
      </c>
      <c r="Y387">
        <v>2.35</v>
      </c>
      <c r="Z387">
        <v>8479744</v>
      </c>
      <c r="AA387">
        <v>23.424075999999999</v>
      </c>
      <c r="AB387">
        <v>53.847817999999997</v>
      </c>
    </row>
    <row r="388" spans="1:28" x14ac:dyDescent="0.3">
      <c r="A388">
        <v>387</v>
      </c>
      <c r="B388" t="s">
        <v>933</v>
      </c>
      <c r="C388">
        <v>20200000</v>
      </c>
      <c r="D388">
        <v>7066711323</v>
      </c>
      <c r="E388" t="s">
        <v>988</v>
      </c>
      <c r="F388" t="s">
        <v>1154</v>
      </c>
      <c r="G388">
        <v>0</v>
      </c>
      <c r="H388" t="s">
        <v>987</v>
      </c>
      <c r="I388" t="s">
        <v>987</v>
      </c>
      <c r="J388" t="s">
        <v>986</v>
      </c>
      <c r="K388">
        <v>4057944</v>
      </c>
      <c r="L388" t="s">
        <v>987</v>
      </c>
      <c r="M388">
        <v>7492</v>
      </c>
      <c r="N388" t="s">
        <v>987</v>
      </c>
      <c r="O388">
        <v>0</v>
      </c>
      <c r="P388">
        <v>0</v>
      </c>
      <c r="Q388">
        <v>0</v>
      </c>
      <c r="R388">
        <v>0</v>
      </c>
      <c r="S388" t="s">
        <v>987</v>
      </c>
      <c r="T388">
        <v>2012</v>
      </c>
      <c r="U388" t="s">
        <v>1005</v>
      </c>
      <c r="V388">
        <v>29</v>
      </c>
      <c r="W388" t="s">
        <v>987</v>
      </c>
      <c r="X388" t="s">
        <v>987</v>
      </c>
      <c r="Y388" t="s">
        <v>987</v>
      </c>
      <c r="Z388" t="s">
        <v>987</v>
      </c>
      <c r="AA388" t="s">
        <v>987</v>
      </c>
      <c r="AB388" t="s">
        <v>987</v>
      </c>
    </row>
    <row r="389" spans="1:28" x14ac:dyDescent="0.3">
      <c r="A389">
        <v>388</v>
      </c>
      <c r="B389" t="s">
        <v>311</v>
      </c>
      <c r="C389">
        <v>20200000</v>
      </c>
      <c r="D389">
        <v>7274150246</v>
      </c>
      <c r="E389" t="s">
        <v>990</v>
      </c>
      <c r="F389" t="s">
        <v>311</v>
      </c>
      <c r="G389">
        <v>226</v>
      </c>
      <c r="H389" t="s">
        <v>978</v>
      </c>
      <c r="I389" t="s">
        <v>979</v>
      </c>
      <c r="J389" t="s">
        <v>990</v>
      </c>
      <c r="K389">
        <v>780</v>
      </c>
      <c r="L389">
        <v>71</v>
      </c>
      <c r="M389">
        <v>23</v>
      </c>
      <c r="N389">
        <v>113420000</v>
      </c>
      <c r="O389">
        <v>28400</v>
      </c>
      <c r="P389">
        <v>453700</v>
      </c>
      <c r="Q389">
        <v>340300</v>
      </c>
      <c r="R389">
        <v>5400000</v>
      </c>
      <c r="S389">
        <v>300000</v>
      </c>
      <c r="T389">
        <v>2017</v>
      </c>
      <c r="U389" t="s">
        <v>995</v>
      </c>
      <c r="V389">
        <v>25</v>
      </c>
      <c r="W389">
        <v>28.1</v>
      </c>
      <c r="X389">
        <v>1366417754</v>
      </c>
      <c r="Y389">
        <v>5.36</v>
      </c>
      <c r="Z389">
        <v>471031528</v>
      </c>
      <c r="AA389">
        <v>20.593684</v>
      </c>
      <c r="AB389">
        <v>78.962879999999998</v>
      </c>
    </row>
    <row r="390" spans="1:28" x14ac:dyDescent="0.3">
      <c r="A390">
        <v>389</v>
      </c>
      <c r="B390" t="s">
        <v>15</v>
      </c>
      <c r="C390">
        <v>20200000</v>
      </c>
      <c r="D390">
        <v>20919403720</v>
      </c>
      <c r="E390" t="s">
        <v>1044</v>
      </c>
      <c r="F390" t="s">
        <v>15</v>
      </c>
      <c r="G390">
        <v>1935</v>
      </c>
      <c r="H390" t="s">
        <v>1155</v>
      </c>
      <c r="I390" t="s">
        <v>1156</v>
      </c>
      <c r="J390" t="s">
        <v>1044</v>
      </c>
      <c r="K390">
        <v>108</v>
      </c>
      <c r="L390">
        <v>1</v>
      </c>
      <c r="M390">
        <v>19</v>
      </c>
      <c r="N390">
        <v>1245000000</v>
      </c>
      <c r="O390">
        <v>311200</v>
      </c>
      <c r="P390">
        <v>5000000</v>
      </c>
      <c r="Q390">
        <v>3700000</v>
      </c>
      <c r="R390">
        <v>59800000</v>
      </c>
      <c r="S390">
        <v>1200000</v>
      </c>
      <c r="T390">
        <v>2020</v>
      </c>
      <c r="U390" t="s">
        <v>980</v>
      </c>
      <c r="V390">
        <v>20</v>
      </c>
      <c r="W390">
        <v>88.1</v>
      </c>
      <c r="X390">
        <v>1912789</v>
      </c>
      <c r="Y390">
        <v>6.52</v>
      </c>
      <c r="Z390">
        <v>1304943</v>
      </c>
      <c r="AA390">
        <v>56.879635</v>
      </c>
      <c r="AB390">
        <v>24.603189</v>
      </c>
    </row>
    <row r="391" spans="1:28" x14ac:dyDescent="0.3">
      <c r="A391">
        <v>390</v>
      </c>
      <c r="B391" t="s">
        <v>70</v>
      </c>
      <c r="C391">
        <v>20200000</v>
      </c>
      <c r="D391">
        <v>19694265358</v>
      </c>
      <c r="E391" t="s">
        <v>1044</v>
      </c>
      <c r="F391" t="s">
        <v>70</v>
      </c>
      <c r="G391">
        <v>761</v>
      </c>
      <c r="H391" t="s">
        <v>984</v>
      </c>
      <c r="I391" t="s">
        <v>985</v>
      </c>
      <c r="J391" t="s">
        <v>1044</v>
      </c>
      <c r="K391">
        <v>126</v>
      </c>
      <c r="L391">
        <v>106</v>
      </c>
      <c r="M391">
        <v>20</v>
      </c>
      <c r="N391">
        <v>452250000</v>
      </c>
      <c r="O391">
        <v>113100</v>
      </c>
      <c r="P391">
        <v>1800000</v>
      </c>
      <c r="Q391">
        <v>1400000</v>
      </c>
      <c r="R391">
        <v>21700000</v>
      </c>
      <c r="S391">
        <v>600000</v>
      </c>
      <c r="T391">
        <v>2021</v>
      </c>
      <c r="U391" t="s">
        <v>1008</v>
      </c>
      <c r="V391">
        <v>21</v>
      </c>
      <c r="W391">
        <v>88.2</v>
      </c>
      <c r="X391">
        <v>328239523</v>
      </c>
      <c r="Y391">
        <v>14.7</v>
      </c>
      <c r="Z391">
        <v>270663028</v>
      </c>
      <c r="AA391">
        <v>37.090240000000001</v>
      </c>
      <c r="AB391">
        <v>-95.712890999999999</v>
      </c>
    </row>
    <row r="392" spans="1:28" x14ac:dyDescent="0.3">
      <c r="A392">
        <v>391</v>
      </c>
      <c r="B392" t="s">
        <v>440</v>
      </c>
      <c r="C392">
        <v>20200000</v>
      </c>
      <c r="D392">
        <v>6098644584</v>
      </c>
      <c r="E392" t="s">
        <v>996</v>
      </c>
      <c r="F392" t="s">
        <v>440</v>
      </c>
      <c r="G392">
        <v>3713</v>
      </c>
      <c r="H392" t="s">
        <v>1081</v>
      </c>
      <c r="I392" t="s">
        <v>1082</v>
      </c>
      <c r="J392" t="s">
        <v>986</v>
      </c>
      <c r="K392">
        <v>1023</v>
      </c>
      <c r="L392">
        <v>11</v>
      </c>
      <c r="M392">
        <v>27</v>
      </c>
      <c r="N392">
        <v>64489000</v>
      </c>
      <c r="O392">
        <v>16100</v>
      </c>
      <c r="P392">
        <v>258000</v>
      </c>
      <c r="Q392">
        <v>193500</v>
      </c>
      <c r="R392">
        <v>3100000</v>
      </c>
      <c r="S392">
        <v>200000</v>
      </c>
      <c r="T392">
        <v>2014</v>
      </c>
      <c r="U392" t="s">
        <v>980</v>
      </c>
      <c r="V392">
        <v>15</v>
      </c>
      <c r="W392">
        <v>36.299999999999997</v>
      </c>
      <c r="X392">
        <v>270203917</v>
      </c>
      <c r="Y392">
        <v>4.6900000000000004</v>
      </c>
      <c r="Z392">
        <v>151509724</v>
      </c>
      <c r="AA392">
        <v>-0.78927499999999995</v>
      </c>
      <c r="AB392">
        <v>113.92132700000001</v>
      </c>
    </row>
    <row r="393" spans="1:28" x14ac:dyDescent="0.3">
      <c r="A393">
        <v>392</v>
      </c>
      <c r="B393" t="s">
        <v>172</v>
      </c>
      <c r="C393">
        <v>20100000</v>
      </c>
      <c r="D393">
        <v>23353115850</v>
      </c>
      <c r="E393" t="s">
        <v>988</v>
      </c>
      <c r="F393" t="s">
        <v>172</v>
      </c>
      <c r="G393">
        <v>3774</v>
      </c>
      <c r="H393" t="s">
        <v>984</v>
      </c>
      <c r="I393" t="s">
        <v>985</v>
      </c>
      <c r="J393" t="s">
        <v>986</v>
      </c>
      <c r="K393">
        <v>86</v>
      </c>
      <c r="L393">
        <v>108</v>
      </c>
      <c r="M393">
        <v>28</v>
      </c>
      <c r="N393">
        <v>221702000</v>
      </c>
      <c r="O393">
        <v>55400</v>
      </c>
      <c r="P393">
        <v>886800</v>
      </c>
      <c r="Q393">
        <v>665100</v>
      </c>
      <c r="R393">
        <v>10600000</v>
      </c>
      <c r="S393">
        <v>200000</v>
      </c>
      <c r="T393">
        <v>2013</v>
      </c>
      <c r="U393" t="s">
        <v>1029</v>
      </c>
      <c r="V393">
        <v>3</v>
      </c>
      <c r="W393">
        <v>88.2</v>
      </c>
      <c r="X393">
        <v>328239523</v>
      </c>
      <c r="Y393">
        <v>14.7</v>
      </c>
      <c r="Z393">
        <v>270663028</v>
      </c>
      <c r="AA393">
        <v>37.090240000000001</v>
      </c>
      <c r="AB393">
        <v>-95.712890999999999</v>
      </c>
    </row>
    <row r="394" spans="1:28" x14ac:dyDescent="0.3">
      <c r="A394">
        <v>393</v>
      </c>
      <c r="B394" t="s">
        <v>630</v>
      </c>
      <c r="C394">
        <v>20100000</v>
      </c>
      <c r="D394">
        <v>6618524158</v>
      </c>
      <c r="E394" t="s">
        <v>977</v>
      </c>
      <c r="F394" t="s">
        <v>630</v>
      </c>
      <c r="G394">
        <v>241</v>
      </c>
      <c r="H394" t="s">
        <v>984</v>
      </c>
      <c r="I394" t="s">
        <v>985</v>
      </c>
      <c r="J394" t="s">
        <v>977</v>
      </c>
      <c r="K394">
        <v>905</v>
      </c>
      <c r="L394">
        <v>108</v>
      </c>
      <c r="M394">
        <v>95</v>
      </c>
      <c r="N394">
        <v>25263000</v>
      </c>
      <c r="O394">
        <v>6300</v>
      </c>
      <c r="P394">
        <v>101100</v>
      </c>
      <c r="Q394">
        <v>75800</v>
      </c>
      <c r="R394">
        <v>1200000</v>
      </c>
      <c r="S394" t="s">
        <v>987</v>
      </c>
      <c r="T394">
        <v>2010</v>
      </c>
      <c r="U394" t="s">
        <v>999</v>
      </c>
      <c r="V394">
        <v>6</v>
      </c>
      <c r="W394">
        <v>88.2</v>
      </c>
      <c r="X394">
        <v>328239523</v>
      </c>
      <c r="Y394">
        <v>14.7</v>
      </c>
      <c r="Z394">
        <v>270663028</v>
      </c>
      <c r="AA394">
        <v>37.090240000000001</v>
      </c>
      <c r="AB394">
        <v>-95.712890999999999</v>
      </c>
    </row>
    <row r="395" spans="1:28" x14ac:dyDescent="0.3">
      <c r="A395">
        <v>394</v>
      </c>
      <c r="B395" t="s">
        <v>757</v>
      </c>
      <c r="C395">
        <v>20100000</v>
      </c>
      <c r="D395">
        <v>8920141342</v>
      </c>
      <c r="E395" t="s">
        <v>996</v>
      </c>
      <c r="F395" t="s">
        <v>757</v>
      </c>
      <c r="G395">
        <v>4974</v>
      </c>
      <c r="H395" t="s">
        <v>1019</v>
      </c>
      <c r="I395" t="s">
        <v>1020</v>
      </c>
      <c r="J395" t="s">
        <v>986</v>
      </c>
      <c r="K395">
        <v>549</v>
      </c>
      <c r="L395">
        <v>20</v>
      </c>
      <c r="M395">
        <v>28</v>
      </c>
      <c r="N395">
        <v>5420000</v>
      </c>
      <c r="O395">
        <v>1400</v>
      </c>
      <c r="P395">
        <v>21700</v>
      </c>
      <c r="Q395">
        <v>16300</v>
      </c>
      <c r="R395">
        <v>260200</v>
      </c>
      <c r="S395" t="s">
        <v>987</v>
      </c>
      <c r="T395">
        <v>2011</v>
      </c>
      <c r="U395" t="s">
        <v>1025</v>
      </c>
      <c r="V395">
        <v>7</v>
      </c>
      <c r="W395">
        <v>51.3</v>
      </c>
      <c r="X395">
        <v>212559417</v>
      </c>
      <c r="Y395">
        <v>12.08</v>
      </c>
      <c r="Z395">
        <v>183241641</v>
      </c>
      <c r="AA395">
        <v>-14.235004</v>
      </c>
      <c r="AB395">
        <v>-51.925280000000001</v>
      </c>
    </row>
    <row r="396" spans="1:28" x14ac:dyDescent="0.3">
      <c r="A396">
        <v>395</v>
      </c>
      <c r="B396" t="s">
        <v>896</v>
      </c>
      <c r="C396">
        <v>20100000</v>
      </c>
      <c r="D396">
        <v>10366850490</v>
      </c>
      <c r="E396" t="s">
        <v>988</v>
      </c>
      <c r="F396" t="s">
        <v>1157</v>
      </c>
      <c r="G396">
        <v>0</v>
      </c>
      <c r="H396" t="s">
        <v>987</v>
      </c>
      <c r="I396" t="s">
        <v>987</v>
      </c>
      <c r="J396" t="s">
        <v>986</v>
      </c>
      <c r="K396">
        <v>4057944</v>
      </c>
      <c r="L396" t="s">
        <v>987</v>
      </c>
      <c r="M396">
        <v>7471</v>
      </c>
      <c r="N396" t="s">
        <v>987</v>
      </c>
      <c r="O396">
        <v>0</v>
      </c>
      <c r="P396">
        <v>0</v>
      </c>
      <c r="Q396">
        <v>0</v>
      </c>
      <c r="R396">
        <v>0</v>
      </c>
      <c r="S396" t="s">
        <v>987</v>
      </c>
      <c r="T396">
        <v>2013</v>
      </c>
      <c r="U396" t="s">
        <v>980</v>
      </c>
      <c r="V396">
        <v>16</v>
      </c>
      <c r="W396" t="s">
        <v>987</v>
      </c>
      <c r="X396" t="s">
        <v>987</v>
      </c>
      <c r="Y396" t="s">
        <v>987</v>
      </c>
      <c r="Z396" t="s">
        <v>987</v>
      </c>
      <c r="AA396" t="s">
        <v>987</v>
      </c>
      <c r="AB396" t="s">
        <v>987</v>
      </c>
    </row>
    <row r="397" spans="1:28" x14ac:dyDescent="0.3">
      <c r="A397">
        <v>396</v>
      </c>
      <c r="B397" t="s">
        <v>693</v>
      </c>
      <c r="C397">
        <v>20100000</v>
      </c>
      <c r="D397">
        <v>11317309935</v>
      </c>
      <c r="E397" t="s">
        <v>982</v>
      </c>
      <c r="F397" t="s">
        <v>693</v>
      </c>
      <c r="G397">
        <v>1481</v>
      </c>
      <c r="H397" t="s">
        <v>984</v>
      </c>
      <c r="I397" t="s">
        <v>985</v>
      </c>
      <c r="J397" t="s">
        <v>988</v>
      </c>
      <c r="K397">
        <v>366</v>
      </c>
      <c r="L397">
        <v>109</v>
      </c>
      <c r="M397">
        <v>104</v>
      </c>
      <c r="N397">
        <v>14862000</v>
      </c>
      <c r="O397">
        <v>3700</v>
      </c>
      <c r="P397">
        <v>59400</v>
      </c>
      <c r="Q397">
        <v>44600</v>
      </c>
      <c r="R397">
        <v>713400</v>
      </c>
      <c r="S397">
        <v>100000</v>
      </c>
      <c r="T397">
        <v>2007</v>
      </c>
      <c r="U397" t="s">
        <v>989</v>
      </c>
      <c r="V397">
        <v>1</v>
      </c>
      <c r="W397">
        <v>88.2</v>
      </c>
      <c r="X397">
        <v>328239523</v>
      </c>
      <c r="Y397">
        <v>14.7</v>
      </c>
      <c r="Z397">
        <v>270663028</v>
      </c>
      <c r="AA397">
        <v>37.090240000000001</v>
      </c>
      <c r="AB397">
        <v>-95.712890999999999</v>
      </c>
    </row>
    <row r="398" spans="1:28" x14ac:dyDescent="0.3">
      <c r="A398">
        <v>397</v>
      </c>
      <c r="B398" t="s">
        <v>130</v>
      </c>
      <c r="C398">
        <v>20100000</v>
      </c>
      <c r="D398">
        <v>14816075927</v>
      </c>
      <c r="E398" t="s">
        <v>977</v>
      </c>
      <c r="F398" t="s">
        <v>130</v>
      </c>
      <c r="G398">
        <v>2384</v>
      </c>
      <c r="H398" t="s">
        <v>984</v>
      </c>
      <c r="I398" t="s">
        <v>985</v>
      </c>
      <c r="J398" t="s">
        <v>977</v>
      </c>
      <c r="K398">
        <v>227</v>
      </c>
      <c r="L398">
        <v>108</v>
      </c>
      <c r="M398">
        <v>95</v>
      </c>
      <c r="N398">
        <v>276751000</v>
      </c>
      <c r="O398">
        <v>69200</v>
      </c>
      <c r="P398">
        <v>1100000</v>
      </c>
      <c r="Q398">
        <v>830300</v>
      </c>
      <c r="R398">
        <v>13300000</v>
      </c>
      <c r="S398">
        <v>300000</v>
      </c>
      <c r="T398">
        <v>2013</v>
      </c>
      <c r="U398" t="s">
        <v>995</v>
      </c>
      <c r="V398">
        <v>25</v>
      </c>
      <c r="W398">
        <v>88.2</v>
      </c>
      <c r="X398">
        <v>328239523</v>
      </c>
      <c r="Y398">
        <v>14.7</v>
      </c>
      <c r="Z398">
        <v>270663028</v>
      </c>
      <c r="AA398">
        <v>37.090240000000001</v>
      </c>
      <c r="AB398">
        <v>-95.712890999999999</v>
      </c>
    </row>
    <row r="399" spans="1:28" x14ac:dyDescent="0.3">
      <c r="A399">
        <v>398</v>
      </c>
      <c r="B399" t="s">
        <v>329</v>
      </c>
      <c r="C399">
        <v>20100000</v>
      </c>
      <c r="D399">
        <v>6119294270</v>
      </c>
      <c r="E399" t="s">
        <v>1011</v>
      </c>
      <c r="F399" t="s">
        <v>329</v>
      </c>
      <c r="G399">
        <v>5491</v>
      </c>
      <c r="H399" t="s">
        <v>984</v>
      </c>
      <c r="I399" t="s">
        <v>985</v>
      </c>
      <c r="J399" t="s">
        <v>1053</v>
      </c>
      <c r="K399">
        <v>1014</v>
      </c>
      <c r="L399">
        <v>108</v>
      </c>
      <c r="M399">
        <v>12</v>
      </c>
      <c r="N399">
        <v>105784000</v>
      </c>
      <c r="O399">
        <v>26400</v>
      </c>
      <c r="P399">
        <v>423100</v>
      </c>
      <c r="Q399">
        <v>317400</v>
      </c>
      <c r="R399">
        <v>5100000</v>
      </c>
      <c r="S399">
        <v>100000</v>
      </c>
      <c r="T399">
        <v>2017</v>
      </c>
      <c r="U399" t="s">
        <v>1025</v>
      </c>
      <c r="V399">
        <v>30</v>
      </c>
      <c r="W399">
        <v>88.2</v>
      </c>
      <c r="X399">
        <v>328239523</v>
      </c>
      <c r="Y399">
        <v>14.7</v>
      </c>
      <c r="Z399">
        <v>270663028</v>
      </c>
      <c r="AA399">
        <v>37.090240000000001</v>
      </c>
      <c r="AB399">
        <v>-95.712890999999999</v>
      </c>
    </row>
    <row r="400" spans="1:28" x14ac:dyDescent="0.3">
      <c r="A400">
        <v>399</v>
      </c>
      <c r="B400" t="s">
        <v>837</v>
      </c>
      <c r="C400">
        <v>20100000</v>
      </c>
      <c r="D400">
        <v>5634695322</v>
      </c>
      <c r="E400" t="s">
        <v>988</v>
      </c>
      <c r="F400" t="s">
        <v>1158</v>
      </c>
      <c r="G400">
        <v>1</v>
      </c>
      <c r="H400" t="s">
        <v>984</v>
      </c>
      <c r="I400" t="s">
        <v>985</v>
      </c>
      <c r="J400" t="s">
        <v>1022</v>
      </c>
      <c r="K400">
        <v>4054962</v>
      </c>
      <c r="L400">
        <v>6143</v>
      </c>
      <c r="M400">
        <v>4024</v>
      </c>
      <c r="N400">
        <v>63</v>
      </c>
      <c r="O400">
        <v>0.02</v>
      </c>
      <c r="P400">
        <v>0.25</v>
      </c>
      <c r="Q400">
        <v>0.19</v>
      </c>
      <c r="R400">
        <v>3</v>
      </c>
      <c r="S400">
        <v>30</v>
      </c>
      <c r="T400">
        <v>2011</v>
      </c>
      <c r="U400" t="s">
        <v>995</v>
      </c>
      <c r="V400">
        <v>10</v>
      </c>
      <c r="W400">
        <v>88.2</v>
      </c>
      <c r="X400">
        <v>328239523</v>
      </c>
      <c r="Y400">
        <v>14.7</v>
      </c>
      <c r="Z400">
        <v>270663028</v>
      </c>
      <c r="AA400">
        <v>37.090240000000001</v>
      </c>
      <c r="AB400">
        <v>-95.712890999999999</v>
      </c>
    </row>
    <row r="401" spans="1:28" x14ac:dyDescent="0.3">
      <c r="A401">
        <v>400</v>
      </c>
      <c r="B401" t="s">
        <v>737</v>
      </c>
      <c r="C401">
        <v>20100000</v>
      </c>
      <c r="D401">
        <v>17913237851</v>
      </c>
      <c r="E401" t="s">
        <v>994</v>
      </c>
      <c r="F401" t="s">
        <v>737</v>
      </c>
      <c r="G401">
        <v>7737</v>
      </c>
      <c r="H401" t="s">
        <v>984</v>
      </c>
      <c r="I401" t="s">
        <v>985</v>
      </c>
      <c r="J401" t="s">
        <v>1002</v>
      </c>
      <c r="K401">
        <v>150</v>
      </c>
      <c r="L401">
        <v>108</v>
      </c>
      <c r="M401">
        <v>20</v>
      </c>
      <c r="N401">
        <v>9112000</v>
      </c>
      <c r="O401">
        <v>2300</v>
      </c>
      <c r="P401">
        <v>36400</v>
      </c>
      <c r="Q401">
        <v>27300</v>
      </c>
      <c r="R401">
        <v>437400</v>
      </c>
      <c r="S401" t="s">
        <v>987</v>
      </c>
      <c r="T401">
        <v>2011</v>
      </c>
      <c r="U401" t="s">
        <v>1010</v>
      </c>
      <c r="V401">
        <v>10</v>
      </c>
      <c r="W401">
        <v>88.2</v>
      </c>
      <c r="X401">
        <v>328239523</v>
      </c>
      <c r="Y401">
        <v>14.7</v>
      </c>
      <c r="Z401">
        <v>270663028</v>
      </c>
      <c r="AA401">
        <v>37.090240000000001</v>
      </c>
      <c r="AB401">
        <v>-95.712890999999999</v>
      </c>
    </row>
    <row r="402" spans="1:28" x14ac:dyDescent="0.3">
      <c r="A402">
        <v>401</v>
      </c>
      <c r="B402" t="s">
        <v>642</v>
      </c>
      <c r="C402">
        <v>20000000</v>
      </c>
      <c r="D402">
        <v>13154314376</v>
      </c>
      <c r="E402" t="s">
        <v>988</v>
      </c>
      <c r="F402" t="s">
        <v>642</v>
      </c>
      <c r="G402">
        <v>4339</v>
      </c>
      <c r="H402" t="s">
        <v>984</v>
      </c>
      <c r="I402" t="s">
        <v>985</v>
      </c>
      <c r="J402" t="s">
        <v>988</v>
      </c>
      <c r="K402">
        <v>281</v>
      </c>
      <c r="L402">
        <v>109</v>
      </c>
      <c r="M402">
        <v>104</v>
      </c>
      <c r="N402">
        <v>23206000</v>
      </c>
      <c r="O402">
        <v>5800</v>
      </c>
      <c r="P402">
        <v>92800</v>
      </c>
      <c r="Q402">
        <v>69600</v>
      </c>
      <c r="R402">
        <v>1100000</v>
      </c>
      <c r="S402" t="s">
        <v>987</v>
      </c>
      <c r="T402">
        <v>2007</v>
      </c>
      <c r="U402" t="s">
        <v>1008</v>
      </c>
      <c r="V402">
        <v>4</v>
      </c>
      <c r="W402">
        <v>88.2</v>
      </c>
      <c r="X402">
        <v>328239523</v>
      </c>
      <c r="Y402">
        <v>14.7</v>
      </c>
      <c r="Z402">
        <v>270663028</v>
      </c>
      <c r="AA402">
        <v>37.090240000000001</v>
      </c>
      <c r="AB402">
        <v>-95.712890999999999</v>
      </c>
    </row>
    <row r="403" spans="1:28" x14ac:dyDescent="0.3">
      <c r="A403">
        <v>402</v>
      </c>
      <c r="B403" t="s">
        <v>785</v>
      </c>
      <c r="C403">
        <v>20000000</v>
      </c>
      <c r="D403">
        <v>559765455</v>
      </c>
      <c r="E403" t="s">
        <v>977</v>
      </c>
      <c r="F403" t="s">
        <v>785</v>
      </c>
      <c r="G403">
        <v>1527</v>
      </c>
      <c r="H403" t="s">
        <v>984</v>
      </c>
      <c r="I403" t="s">
        <v>985</v>
      </c>
      <c r="J403" t="s">
        <v>977</v>
      </c>
      <c r="K403">
        <v>22747</v>
      </c>
      <c r="L403">
        <v>109</v>
      </c>
      <c r="M403">
        <v>96</v>
      </c>
      <c r="N403">
        <v>1331000</v>
      </c>
      <c r="O403">
        <v>333</v>
      </c>
      <c r="P403">
        <v>5300</v>
      </c>
      <c r="Q403">
        <v>4000</v>
      </c>
      <c r="R403">
        <v>63900</v>
      </c>
      <c r="S403" t="s">
        <v>987</v>
      </c>
      <c r="T403">
        <v>2006</v>
      </c>
      <c r="U403" t="s">
        <v>999</v>
      </c>
      <c r="V403">
        <v>14</v>
      </c>
      <c r="W403">
        <v>88.2</v>
      </c>
      <c r="X403">
        <v>328239523</v>
      </c>
      <c r="Y403">
        <v>14.7</v>
      </c>
      <c r="Z403">
        <v>270663028</v>
      </c>
      <c r="AA403">
        <v>37.090240000000001</v>
      </c>
      <c r="AB403">
        <v>-95.712890999999999</v>
      </c>
    </row>
    <row r="404" spans="1:28" x14ac:dyDescent="0.3">
      <c r="A404">
        <v>403</v>
      </c>
      <c r="B404" t="s">
        <v>552</v>
      </c>
      <c r="C404">
        <v>20000000</v>
      </c>
      <c r="D404">
        <v>3875172235</v>
      </c>
      <c r="E404" t="s">
        <v>988</v>
      </c>
      <c r="F404" t="s">
        <v>552</v>
      </c>
      <c r="G404">
        <v>1527</v>
      </c>
      <c r="H404" t="s">
        <v>1013</v>
      </c>
      <c r="I404" t="s">
        <v>1014</v>
      </c>
      <c r="J404" t="s">
        <v>988</v>
      </c>
      <c r="K404">
        <v>2001</v>
      </c>
      <c r="L404">
        <v>16</v>
      </c>
      <c r="M404">
        <v>104</v>
      </c>
      <c r="N404">
        <v>39228000</v>
      </c>
      <c r="O404">
        <v>9800</v>
      </c>
      <c r="P404">
        <v>156900</v>
      </c>
      <c r="Q404">
        <v>117700</v>
      </c>
      <c r="R404">
        <v>1900000</v>
      </c>
      <c r="S404">
        <v>200000</v>
      </c>
      <c r="T404">
        <v>2006</v>
      </c>
      <c r="U404" t="s">
        <v>999</v>
      </c>
      <c r="V404">
        <v>29</v>
      </c>
      <c r="W404">
        <v>60</v>
      </c>
      <c r="X404">
        <v>66834405</v>
      </c>
      <c r="Y404">
        <v>3.85</v>
      </c>
      <c r="Z404">
        <v>55908316</v>
      </c>
      <c r="AA404">
        <v>55.378050999999999</v>
      </c>
      <c r="AB404">
        <v>-3.4359730000000002</v>
      </c>
    </row>
    <row r="405" spans="1:28" x14ac:dyDescent="0.3">
      <c r="A405">
        <v>404</v>
      </c>
      <c r="B405" t="s">
        <v>904</v>
      </c>
      <c r="C405">
        <v>20000000</v>
      </c>
      <c r="D405">
        <v>6033295543</v>
      </c>
      <c r="E405" t="s">
        <v>977</v>
      </c>
      <c r="F405" t="s">
        <v>1159</v>
      </c>
      <c r="G405">
        <v>1</v>
      </c>
      <c r="H405" t="s">
        <v>1017</v>
      </c>
      <c r="I405" t="s">
        <v>1018</v>
      </c>
      <c r="J405" t="s">
        <v>988</v>
      </c>
      <c r="K405">
        <v>4051673</v>
      </c>
      <c r="L405">
        <v>4072</v>
      </c>
      <c r="M405">
        <v>6742</v>
      </c>
      <c r="N405" t="s">
        <v>987</v>
      </c>
      <c r="O405">
        <v>0</v>
      </c>
      <c r="P405">
        <v>0</v>
      </c>
      <c r="Q405">
        <v>0</v>
      </c>
      <c r="R405">
        <v>0</v>
      </c>
      <c r="S405" t="s">
        <v>987</v>
      </c>
      <c r="T405">
        <v>2006</v>
      </c>
      <c r="U405" t="s">
        <v>980</v>
      </c>
      <c r="V405">
        <v>9</v>
      </c>
      <c r="W405">
        <v>68.900000000000006</v>
      </c>
      <c r="X405">
        <v>36991981</v>
      </c>
      <c r="Y405">
        <v>5.56</v>
      </c>
      <c r="Z405">
        <v>30628482</v>
      </c>
      <c r="AA405">
        <v>56.130366000000002</v>
      </c>
      <c r="AB405">
        <v>-106.346771</v>
      </c>
    </row>
    <row r="406" spans="1:28" x14ac:dyDescent="0.3">
      <c r="A406">
        <v>405</v>
      </c>
      <c r="B406" t="s">
        <v>901</v>
      </c>
      <c r="C406">
        <v>20000000</v>
      </c>
      <c r="D406">
        <v>9715291883</v>
      </c>
      <c r="E406" t="s">
        <v>982</v>
      </c>
      <c r="F406" t="s">
        <v>901</v>
      </c>
      <c r="G406">
        <v>1476</v>
      </c>
      <c r="H406" t="s">
        <v>978</v>
      </c>
      <c r="I406" t="s">
        <v>979</v>
      </c>
      <c r="J406" t="s">
        <v>988</v>
      </c>
      <c r="K406">
        <v>473</v>
      </c>
      <c r="L406">
        <v>72</v>
      </c>
      <c r="M406">
        <v>104</v>
      </c>
      <c r="N406">
        <v>70278000</v>
      </c>
      <c r="O406">
        <v>0</v>
      </c>
      <c r="P406">
        <v>0</v>
      </c>
      <c r="Q406">
        <v>0</v>
      </c>
      <c r="R406">
        <v>0</v>
      </c>
      <c r="S406">
        <v>100000</v>
      </c>
      <c r="T406">
        <v>2011</v>
      </c>
      <c r="U406" t="s">
        <v>1015</v>
      </c>
      <c r="V406">
        <v>1</v>
      </c>
      <c r="W406">
        <v>28.1</v>
      </c>
      <c r="X406">
        <v>1366417754</v>
      </c>
      <c r="Y406">
        <v>5.36</v>
      </c>
      <c r="Z406">
        <v>471031528</v>
      </c>
      <c r="AA406">
        <v>20.593684</v>
      </c>
      <c r="AB406">
        <v>78.962879999999998</v>
      </c>
    </row>
    <row r="407" spans="1:28" x14ac:dyDescent="0.3">
      <c r="A407">
        <v>406</v>
      </c>
      <c r="B407" t="s">
        <v>176</v>
      </c>
      <c r="C407">
        <v>19900000</v>
      </c>
      <c r="D407">
        <v>13917423958</v>
      </c>
      <c r="E407" t="s">
        <v>977</v>
      </c>
      <c r="F407" t="s">
        <v>176</v>
      </c>
      <c r="G407">
        <v>416</v>
      </c>
      <c r="H407" t="s">
        <v>1019</v>
      </c>
      <c r="I407" t="s">
        <v>1020</v>
      </c>
      <c r="J407" t="s">
        <v>977</v>
      </c>
      <c r="K407">
        <v>258</v>
      </c>
      <c r="L407">
        <v>21</v>
      </c>
      <c r="M407">
        <v>97</v>
      </c>
      <c r="N407">
        <v>214803000</v>
      </c>
      <c r="O407">
        <v>53700</v>
      </c>
      <c r="P407">
        <v>859200</v>
      </c>
      <c r="Q407">
        <v>644400</v>
      </c>
      <c r="R407">
        <v>10300000</v>
      </c>
      <c r="S407">
        <v>100000</v>
      </c>
      <c r="T407">
        <v>2010</v>
      </c>
      <c r="U407" t="s">
        <v>1029</v>
      </c>
      <c r="V407">
        <v>9</v>
      </c>
      <c r="W407">
        <v>51.3</v>
      </c>
      <c r="X407">
        <v>212559417</v>
      </c>
      <c r="Y407">
        <v>12.08</v>
      </c>
      <c r="Z407">
        <v>183241641</v>
      </c>
      <c r="AA407">
        <v>-14.235004</v>
      </c>
      <c r="AB407">
        <v>-51.925280000000001</v>
      </c>
    </row>
    <row r="408" spans="1:28" x14ac:dyDescent="0.3">
      <c r="A408">
        <v>407</v>
      </c>
      <c r="B408" t="s">
        <v>755</v>
      </c>
      <c r="C408">
        <v>19800000</v>
      </c>
      <c r="D408">
        <v>3234880084</v>
      </c>
      <c r="E408" t="s">
        <v>1088</v>
      </c>
      <c r="F408" t="s">
        <v>755</v>
      </c>
      <c r="G408">
        <v>1411</v>
      </c>
      <c r="H408" t="s">
        <v>1130</v>
      </c>
      <c r="I408" t="s">
        <v>1131</v>
      </c>
      <c r="J408" t="s">
        <v>1089</v>
      </c>
      <c r="K408">
        <v>2583</v>
      </c>
      <c r="L408">
        <v>3</v>
      </c>
      <c r="M408">
        <v>6</v>
      </c>
      <c r="N408">
        <v>5650000</v>
      </c>
      <c r="O408">
        <v>1400</v>
      </c>
      <c r="P408">
        <v>22600</v>
      </c>
      <c r="Q408">
        <v>17000</v>
      </c>
      <c r="R408">
        <v>271200</v>
      </c>
      <c r="S408" t="s">
        <v>987</v>
      </c>
      <c r="T408">
        <v>2011</v>
      </c>
      <c r="U408" t="s">
        <v>991</v>
      </c>
      <c r="V408">
        <v>6</v>
      </c>
      <c r="W408">
        <v>70.2</v>
      </c>
      <c r="X408">
        <v>83132799</v>
      </c>
      <c r="Y408">
        <v>3.04</v>
      </c>
      <c r="Z408">
        <v>64324835</v>
      </c>
      <c r="AA408">
        <v>51.165691000000002</v>
      </c>
      <c r="AB408">
        <v>10.451525999999999</v>
      </c>
    </row>
    <row r="409" spans="1:28" x14ac:dyDescent="0.3">
      <c r="A409">
        <v>408</v>
      </c>
      <c r="B409" t="s">
        <v>750</v>
      </c>
      <c r="C409">
        <v>19800000</v>
      </c>
      <c r="D409">
        <v>5759442450</v>
      </c>
      <c r="E409" t="s">
        <v>994</v>
      </c>
      <c r="F409" t="s">
        <v>750</v>
      </c>
      <c r="G409">
        <v>760</v>
      </c>
      <c r="H409" t="s">
        <v>984</v>
      </c>
      <c r="I409" t="s">
        <v>985</v>
      </c>
      <c r="J409" t="s">
        <v>988</v>
      </c>
      <c r="K409">
        <v>1120</v>
      </c>
      <c r="L409">
        <v>111</v>
      </c>
      <c r="M409">
        <v>105</v>
      </c>
      <c r="N409">
        <v>6137000</v>
      </c>
      <c r="O409">
        <v>1500</v>
      </c>
      <c r="P409">
        <v>24500</v>
      </c>
      <c r="Q409">
        <v>18400</v>
      </c>
      <c r="R409">
        <v>294600</v>
      </c>
      <c r="S409">
        <v>100000</v>
      </c>
      <c r="T409">
        <v>2017</v>
      </c>
      <c r="U409" t="s">
        <v>1005</v>
      </c>
      <c r="V409">
        <v>3</v>
      </c>
      <c r="W409">
        <v>88.2</v>
      </c>
      <c r="X409">
        <v>328239523</v>
      </c>
      <c r="Y409">
        <v>14.7</v>
      </c>
      <c r="Z409">
        <v>270663028</v>
      </c>
      <c r="AA409">
        <v>37.090240000000001</v>
      </c>
      <c r="AB409">
        <v>-95.712890999999999</v>
      </c>
    </row>
    <row r="410" spans="1:28" x14ac:dyDescent="0.3">
      <c r="A410">
        <v>409</v>
      </c>
      <c r="B410" t="s">
        <v>808</v>
      </c>
      <c r="C410">
        <v>19800000</v>
      </c>
      <c r="D410">
        <v>12293479945</v>
      </c>
      <c r="E410" t="s">
        <v>1026</v>
      </c>
      <c r="F410" t="s">
        <v>1160</v>
      </c>
      <c r="G410">
        <v>9930</v>
      </c>
      <c r="H410" t="s">
        <v>984</v>
      </c>
      <c r="I410" t="s">
        <v>985</v>
      </c>
      <c r="J410" t="s">
        <v>1027</v>
      </c>
      <c r="K410">
        <v>1291541</v>
      </c>
      <c r="L410">
        <v>2251</v>
      </c>
      <c r="M410">
        <v>1555</v>
      </c>
      <c r="N410">
        <v>16229</v>
      </c>
      <c r="O410">
        <v>4</v>
      </c>
      <c r="P410">
        <v>65</v>
      </c>
      <c r="Q410">
        <v>49</v>
      </c>
      <c r="R410">
        <v>779</v>
      </c>
      <c r="S410" t="s">
        <v>987</v>
      </c>
      <c r="T410">
        <v>2013</v>
      </c>
      <c r="U410" t="s">
        <v>1029</v>
      </c>
      <c r="V410">
        <v>16</v>
      </c>
      <c r="W410">
        <v>88.2</v>
      </c>
      <c r="X410">
        <v>328239523</v>
      </c>
      <c r="Y410">
        <v>14.7</v>
      </c>
      <c r="Z410">
        <v>270663028</v>
      </c>
      <c r="AA410">
        <v>37.090240000000001</v>
      </c>
      <c r="AB410">
        <v>-95.712890999999999</v>
      </c>
    </row>
    <row r="411" spans="1:28" x14ac:dyDescent="0.3">
      <c r="A411">
        <v>410</v>
      </c>
      <c r="B411" t="s">
        <v>768</v>
      </c>
      <c r="C411">
        <v>19700000</v>
      </c>
      <c r="D411">
        <v>1803249241</v>
      </c>
      <c r="E411" t="s">
        <v>1044</v>
      </c>
      <c r="F411" t="s">
        <v>768</v>
      </c>
      <c r="G411">
        <v>250</v>
      </c>
      <c r="H411" t="s">
        <v>984</v>
      </c>
      <c r="I411" t="s">
        <v>985</v>
      </c>
      <c r="J411" t="s">
        <v>1044</v>
      </c>
      <c r="K411">
        <v>5665</v>
      </c>
      <c r="L411">
        <v>112</v>
      </c>
      <c r="M411">
        <v>21</v>
      </c>
      <c r="N411">
        <v>3769000</v>
      </c>
      <c r="O411">
        <v>942</v>
      </c>
      <c r="P411">
        <v>15100</v>
      </c>
      <c r="Q411">
        <v>11300</v>
      </c>
      <c r="R411">
        <v>180900</v>
      </c>
      <c r="S411" t="s">
        <v>987</v>
      </c>
      <c r="T411">
        <v>2010</v>
      </c>
      <c r="U411" t="s">
        <v>989</v>
      </c>
      <c r="V411">
        <v>16</v>
      </c>
      <c r="W411">
        <v>88.2</v>
      </c>
      <c r="X411">
        <v>328239523</v>
      </c>
      <c r="Y411">
        <v>14.7</v>
      </c>
      <c r="Z411">
        <v>270663028</v>
      </c>
      <c r="AA411">
        <v>37.090240000000001</v>
      </c>
      <c r="AB411">
        <v>-95.712890999999999</v>
      </c>
    </row>
    <row r="412" spans="1:28" x14ac:dyDescent="0.3">
      <c r="A412">
        <v>411</v>
      </c>
      <c r="B412" t="s">
        <v>595</v>
      </c>
      <c r="C412">
        <v>19700000</v>
      </c>
      <c r="D412">
        <v>7452667615</v>
      </c>
      <c r="E412" t="s">
        <v>994</v>
      </c>
      <c r="F412" t="s">
        <v>595</v>
      </c>
      <c r="G412">
        <v>2912</v>
      </c>
      <c r="H412" t="s">
        <v>987</v>
      </c>
      <c r="I412" t="s">
        <v>987</v>
      </c>
      <c r="J412" t="s">
        <v>1053</v>
      </c>
      <c r="K412">
        <v>747</v>
      </c>
      <c r="L412" t="s">
        <v>987</v>
      </c>
      <c r="M412">
        <v>13</v>
      </c>
      <c r="N412">
        <v>29387000</v>
      </c>
      <c r="O412">
        <v>7300</v>
      </c>
      <c r="P412">
        <v>117500</v>
      </c>
      <c r="Q412">
        <v>88200</v>
      </c>
      <c r="R412">
        <v>1400000</v>
      </c>
      <c r="S412">
        <v>100000</v>
      </c>
      <c r="T412">
        <v>2016</v>
      </c>
      <c r="U412" t="s">
        <v>989</v>
      </c>
      <c r="V412">
        <v>5</v>
      </c>
      <c r="W412" t="s">
        <v>987</v>
      </c>
      <c r="X412" t="s">
        <v>987</v>
      </c>
      <c r="Y412" t="s">
        <v>987</v>
      </c>
      <c r="Z412" t="s">
        <v>987</v>
      </c>
      <c r="AA412" t="s">
        <v>987</v>
      </c>
      <c r="AB412" t="s">
        <v>987</v>
      </c>
    </row>
    <row r="413" spans="1:28" x14ac:dyDescent="0.3">
      <c r="A413">
        <v>412</v>
      </c>
      <c r="B413" t="s">
        <v>916</v>
      </c>
      <c r="C413">
        <v>19700000</v>
      </c>
      <c r="D413">
        <v>10955619815</v>
      </c>
      <c r="E413" t="s">
        <v>982</v>
      </c>
      <c r="F413" t="s">
        <v>1161</v>
      </c>
      <c r="G413">
        <v>1</v>
      </c>
      <c r="H413" t="s">
        <v>984</v>
      </c>
      <c r="I413" t="s">
        <v>985</v>
      </c>
      <c r="J413" t="s">
        <v>986</v>
      </c>
      <c r="K413">
        <v>4052414</v>
      </c>
      <c r="L413">
        <v>7741</v>
      </c>
      <c r="M413">
        <v>7494</v>
      </c>
      <c r="N413" t="s">
        <v>987</v>
      </c>
      <c r="O413">
        <v>0</v>
      </c>
      <c r="P413">
        <v>0</v>
      </c>
      <c r="Q413">
        <v>0</v>
      </c>
      <c r="R413">
        <v>0</v>
      </c>
      <c r="S413" t="s">
        <v>987</v>
      </c>
      <c r="T413">
        <v>2011</v>
      </c>
      <c r="U413" t="s">
        <v>1025</v>
      </c>
      <c r="V413">
        <v>6</v>
      </c>
      <c r="W413">
        <v>88.2</v>
      </c>
      <c r="X413">
        <v>328239523</v>
      </c>
      <c r="Y413">
        <v>14.7</v>
      </c>
      <c r="Z413">
        <v>270663028</v>
      </c>
      <c r="AA413">
        <v>37.090240000000001</v>
      </c>
      <c r="AB413">
        <v>-95.712890999999999</v>
      </c>
    </row>
    <row r="414" spans="1:28" x14ac:dyDescent="0.3">
      <c r="A414">
        <v>413</v>
      </c>
      <c r="B414" t="s">
        <v>479</v>
      </c>
      <c r="C414">
        <v>19700000</v>
      </c>
      <c r="D414">
        <v>11323617496</v>
      </c>
      <c r="E414" t="s">
        <v>988</v>
      </c>
      <c r="F414" t="s">
        <v>479</v>
      </c>
      <c r="G414">
        <v>4225</v>
      </c>
      <c r="H414" t="s">
        <v>1013</v>
      </c>
      <c r="I414" t="s">
        <v>1014</v>
      </c>
      <c r="J414" t="s">
        <v>988</v>
      </c>
      <c r="K414">
        <v>364</v>
      </c>
      <c r="L414">
        <v>17</v>
      </c>
      <c r="M414">
        <v>106</v>
      </c>
      <c r="N414">
        <v>54192000</v>
      </c>
      <c r="O414">
        <v>13500</v>
      </c>
      <c r="P414">
        <v>216800</v>
      </c>
      <c r="Q414">
        <v>162600</v>
      </c>
      <c r="R414">
        <v>2600000</v>
      </c>
      <c r="S414">
        <v>100000</v>
      </c>
      <c r="T414">
        <v>2008</v>
      </c>
      <c r="U414" t="s">
        <v>999</v>
      </c>
      <c r="V414">
        <v>12</v>
      </c>
      <c r="W414">
        <v>60</v>
      </c>
      <c r="X414">
        <v>66834405</v>
      </c>
      <c r="Y414">
        <v>3.85</v>
      </c>
      <c r="Z414">
        <v>55908316</v>
      </c>
      <c r="AA414">
        <v>55.378050999999999</v>
      </c>
      <c r="AB414">
        <v>-3.4359730000000002</v>
      </c>
    </row>
    <row r="415" spans="1:28" x14ac:dyDescent="0.3">
      <c r="A415">
        <v>414</v>
      </c>
      <c r="B415" t="s">
        <v>824</v>
      </c>
      <c r="C415">
        <v>19700000</v>
      </c>
      <c r="D415">
        <v>9808676159</v>
      </c>
      <c r="E415" t="s">
        <v>988</v>
      </c>
      <c r="F415" t="s">
        <v>824</v>
      </c>
      <c r="G415">
        <v>267</v>
      </c>
      <c r="H415" t="s">
        <v>1013</v>
      </c>
      <c r="I415" t="s">
        <v>1014</v>
      </c>
      <c r="J415" t="s">
        <v>977</v>
      </c>
      <c r="K415">
        <v>2831648</v>
      </c>
      <c r="L415">
        <v>3695</v>
      </c>
      <c r="M415">
        <v>4668</v>
      </c>
      <c r="N415">
        <v>336</v>
      </c>
      <c r="O415">
        <v>0.08</v>
      </c>
      <c r="P415">
        <v>1</v>
      </c>
      <c r="Q415">
        <v>1</v>
      </c>
      <c r="R415">
        <v>16</v>
      </c>
      <c r="S415" t="s">
        <v>987</v>
      </c>
      <c r="T415">
        <v>2006</v>
      </c>
      <c r="U415" t="s">
        <v>980</v>
      </c>
      <c r="V415">
        <v>25</v>
      </c>
      <c r="W415">
        <v>60</v>
      </c>
      <c r="X415">
        <v>66834405</v>
      </c>
      <c r="Y415">
        <v>3.85</v>
      </c>
      <c r="Z415">
        <v>55908316</v>
      </c>
      <c r="AA415">
        <v>55.378050999999999</v>
      </c>
      <c r="AB415">
        <v>-3.4359730000000002</v>
      </c>
    </row>
    <row r="416" spans="1:28" x14ac:dyDescent="0.3">
      <c r="A416">
        <v>415</v>
      </c>
      <c r="B416" t="s">
        <v>841</v>
      </c>
      <c r="C416">
        <v>19600000</v>
      </c>
      <c r="D416">
        <v>2851024430</v>
      </c>
      <c r="E416" t="s">
        <v>996</v>
      </c>
      <c r="F416" t="s">
        <v>1162</v>
      </c>
      <c r="G416">
        <v>17</v>
      </c>
      <c r="H416" t="s">
        <v>984</v>
      </c>
      <c r="I416" t="s">
        <v>985</v>
      </c>
      <c r="J416" t="s">
        <v>986</v>
      </c>
      <c r="K416">
        <v>3857915</v>
      </c>
      <c r="L416">
        <v>7711</v>
      </c>
      <c r="M416">
        <v>7464</v>
      </c>
      <c r="N416">
        <v>23</v>
      </c>
      <c r="O416">
        <v>0.01</v>
      </c>
      <c r="P416">
        <v>0.09</v>
      </c>
      <c r="Q416">
        <v>7.0000000000000007E-2</v>
      </c>
      <c r="R416">
        <v>1</v>
      </c>
      <c r="S416" t="s">
        <v>987</v>
      </c>
      <c r="T416">
        <v>2009</v>
      </c>
      <c r="U416" t="s">
        <v>980</v>
      </c>
      <c r="V416">
        <v>5</v>
      </c>
      <c r="W416">
        <v>88.2</v>
      </c>
      <c r="X416">
        <v>328239523</v>
      </c>
      <c r="Y416">
        <v>14.7</v>
      </c>
      <c r="Z416">
        <v>270663028</v>
      </c>
      <c r="AA416">
        <v>37.090240000000001</v>
      </c>
      <c r="AB416">
        <v>-95.712890999999999</v>
      </c>
    </row>
    <row r="417" spans="1:28" x14ac:dyDescent="0.3">
      <c r="A417">
        <v>416</v>
      </c>
      <c r="B417" t="s">
        <v>132</v>
      </c>
      <c r="C417">
        <v>19600000</v>
      </c>
      <c r="D417">
        <v>13930021471</v>
      </c>
      <c r="E417" t="s">
        <v>992</v>
      </c>
      <c r="F417" t="s">
        <v>132</v>
      </c>
      <c r="G417">
        <v>18661</v>
      </c>
      <c r="H417" t="s">
        <v>984</v>
      </c>
      <c r="I417" t="s">
        <v>985</v>
      </c>
      <c r="J417" t="s">
        <v>988</v>
      </c>
      <c r="K417">
        <v>257</v>
      </c>
      <c r="L417">
        <v>112</v>
      </c>
      <c r="M417">
        <v>106</v>
      </c>
      <c r="N417">
        <v>274212000</v>
      </c>
      <c r="O417">
        <v>68600</v>
      </c>
      <c r="P417">
        <v>1100000</v>
      </c>
      <c r="Q417">
        <v>822600</v>
      </c>
      <c r="R417">
        <v>13200000</v>
      </c>
      <c r="S417">
        <v>300000</v>
      </c>
      <c r="T417">
        <v>2013</v>
      </c>
      <c r="U417" t="s">
        <v>1029</v>
      </c>
      <c r="V417">
        <v>13</v>
      </c>
      <c r="W417">
        <v>88.2</v>
      </c>
      <c r="X417">
        <v>328239523</v>
      </c>
      <c r="Y417">
        <v>14.7</v>
      </c>
      <c r="Z417">
        <v>270663028</v>
      </c>
      <c r="AA417">
        <v>37.090240000000001</v>
      </c>
      <c r="AB417">
        <v>-95.712890999999999</v>
      </c>
    </row>
    <row r="418" spans="1:28" x14ac:dyDescent="0.3">
      <c r="A418">
        <v>417</v>
      </c>
      <c r="B418" t="s">
        <v>317</v>
      </c>
      <c r="C418">
        <v>19600000</v>
      </c>
      <c r="D418">
        <v>8779729549</v>
      </c>
      <c r="E418" t="s">
        <v>988</v>
      </c>
      <c r="F418" t="s">
        <v>317</v>
      </c>
      <c r="G418">
        <v>1306</v>
      </c>
      <c r="H418" t="s">
        <v>1085</v>
      </c>
      <c r="I418" t="s">
        <v>1086</v>
      </c>
      <c r="J418" t="s">
        <v>988</v>
      </c>
      <c r="K418">
        <v>562</v>
      </c>
      <c r="L418">
        <v>3</v>
      </c>
      <c r="M418">
        <v>107</v>
      </c>
      <c r="N418">
        <v>110806000</v>
      </c>
      <c r="O418">
        <v>27700</v>
      </c>
      <c r="P418">
        <v>443200</v>
      </c>
      <c r="Q418">
        <v>332400</v>
      </c>
      <c r="R418">
        <v>5300000</v>
      </c>
      <c r="S418">
        <v>100000</v>
      </c>
      <c r="T418">
        <v>2020</v>
      </c>
      <c r="U418" t="s">
        <v>999</v>
      </c>
      <c r="V418">
        <v>17</v>
      </c>
      <c r="W418">
        <v>23.9</v>
      </c>
      <c r="X418">
        <v>83429615</v>
      </c>
      <c r="Y418">
        <v>13.49</v>
      </c>
      <c r="Z418">
        <v>63097818</v>
      </c>
      <c r="AA418">
        <v>38.963745000000003</v>
      </c>
      <c r="AB418">
        <v>35.243321999999999</v>
      </c>
    </row>
    <row r="419" spans="1:28" x14ac:dyDescent="0.3">
      <c r="A419">
        <v>418</v>
      </c>
      <c r="B419" t="s">
        <v>0</v>
      </c>
      <c r="C419">
        <v>19600000</v>
      </c>
      <c r="D419">
        <v>7906181776</v>
      </c>
      <c r="E419" t="s">
        <v>982</v>
      </c>
      <c r="F419" t="s">
        <v>0</v>
      </c>
      <c r="G419">
        <v>214</v>
      </c>
      <c r="H419" t="s">
        <v>984</v>
      </c>
      <c r="I419" t="s">
        <v>985</v>
      </c>
      <c r="J419" t="s">
        <v>988</v>
      </c>
      <c r="K419">
        <v>656</v>
      </c>
      <c r="L419">
        <v>112</v>
      </c>
      <c r="M419">
        <v>106</v>
      </c>
      <c r="N419">
        <v>2304000000</v>
      </c>
      <c r="O419">
        <v>576000</v>
      </c>
      <c r="P419">
        <v>9200000</v>
      </c>
      <c r="Q419">
        <v>6900000</v>
      </c>
      <c r="R419">
        <v>110600000</v>
      </c>
      <c r="S419">
        <v>6700000</v>
      </c>
      <c r="T419">
        <v>2016</v>
      </c>
      <c r="U419" t="s">
        <v>1008</v>
      </c>
      <c r="V419">
        <v>6</v>
      </c>
      <c r="W419">
        <v>88.2</v>
      </c>
      <c r="X419">
        <v>328239523</v>
      </c>
      <c r="Y419">
        <v>14.7</v>
      </c>
      <c r="Z419">
        <v>270663028</v>
      </c>
      <c r="AA419">
        <v>37.090240000000001</v>
      </c>
      <c r="AB419">
        <v>-95.712890999999999</v>
      </c>
    </row>
    <row r="420" spans="1:28" x14ac:dyDescent="0.3">
      <c r="A420">
        <v>419</v>
      </c>
      <c r="B420" t="s">
        <v>650</v>
      </c>
      <c r="C420">
        <v>19600000</v>
      </c>
      <c r="D420">
        <v>3961318438</v>
      </c>
      <c r="E420" t="s">
        <v>996</v>
      </c>
      <c r="F420" t="s">
        <v>650</v>
      </c>
      <c r="G420">
        <v>674</v>
      </c>
      <c r="H420" t="s">
        <v>984</v>
      </c>
      <c r="I420" t="s">
        <v>985</v>
      </c>
      <c r="J420" t="s">
        <v>986</v>
      </c>
      <c r="K420">
        <v>1934</v>
      </c>
      <c r="L420">
        <v>113</v>
      </c>
      <c r="M420">
        <v>30</v>
      </c>
      <c r="N420">
        <v>22292000</v>
      </c>
      <c r="O420">
        <v>5600</v>
      </c>
      <c r="P420">
        <v>89200</v>
      </c>
      <c r="Q420">
        <v>66900</v>
      </c>
      <c r="R420">
        <v>1100000</v>
      </c>
      <c r="S420" t="s">
        <v>987</v>
      </c>
      <c r="T420">
        <v>2013</v>
      </c>
      <c r="U420" t="s">
        <v>1003</v>
      </c>
      <c r="V420">
        <v>31</v>
      </c>
      <c r="W420">
        <v>88.2</v>
      </c>
      <c r="X420">
        <v>328239523</v>
      </c>
      <c r="Y420">
        <v>14.7</v>
      </c>
      <c r="Z420">
        <v>270663028</v>
      </c>
      <c r="AA420">
        <v>37.090240000000001</v>
      </c>
      <c r="AB420">
        <v>-95.712890999999999</v>
      </c>
    </row>
    <row r="421" spans="1:28" x14ac:dyDescent="0.3">
      <c r="A421">
        <v>420</v>
      </c>
      <c r="B421" t="s">
        <v>885</v>
      </c>
      <c r="C421">
        <v>19500000</v>
      </c>
      <c r="D421">
        <v>5234251168</v>
      </c>
      <c r="E421" t="s">
        <v>988</v>
      </c>
      <c r="F421" t="s">
        <v>885</v>
      </c>
      <c r="G421">
        <v>847</v>
      </c>
      <c r="H421" t="s">
        <v>978</v>
      </c>
      <c r="I421" t="s">
        <v>979</v>
      </c>
      <c r="J421" t="s">
        <v>988</v>
      </c>
      <c r="K421">
        <v>1265</v>
      </c>
      <c r="L421">
        <v>74</v>
      </c>
      <c r="M421">
        <v>108</v>
      </c>
      <c r="N421">
        <v>59841000</v>
      </c>
      <c r="O421">
        <v>0</v>
      </c>
      <c r="P421">
        <v>0</v>
      </c>
      <c r="Q421">
        <v>0</v>
      </c>
      <c r="R421">
        <v>0</v>
      </c>
      <c r="S421">
        <v>300000</v>
      </c>
      <c r="T421">
        <v>2014</v>
      </c>
      <c r="U421" t="s">
        <v>980</v>
      </c>
      <c r="V421">
        <v>14</v>
      </c>
      <c r="W421">
        <v>28.1</v>
      </c>
      <c r="X421">
        <v>1366417754</v>
      </c>
      <c r="Y421">
        <v>5.36</v>
      </c>
      <c r="Z421">
        <v>471031528</v>
      </c>
      <c r="AA421">
        <v>20.593684</v>
      </c>
      <c r="AB421">
        <v>78.962879999999998</v>
      </c>
    </row>
    <row r="422" spans="1:28" x14ac:dyDescent="0.3">
      <c r="A422">
        <v>421</v>
      </c>
      <c r="B422" t="s">
        <v>591</v>
      </c>
      <c r="C422">
        <v>19400000</v>
      </c>
      <c r="D422">
        <v>2255542592</v>
      </c>
      <c r="E422" t="s">
        <v>1026</v>
      </c>
      <c r="F422" t="s">
        <v>591</v>
      </c>
      <c r="G422">
        <v>4750</v>
      </c>
      <c r="H422" t="s">
        <v>978</v>
      </c>
      <c r="I422" t="s">
        <v>979</v>
      </c>
      <c r="J422" t="s">
        <v>1027</v>
      </c>
      <c r="K422">
        <v>4178</v>
      </c>
      <c r="L422">
        <v>74</v>
      </c>
      <c r="M422">
        <v>8</v>
      </c>
      <c r="N422">
        <v>32111000</v>
      </c>
      <c r="O422">
        <v>8000</v>
      </c>
      <c r="P422">
        <v>128400</v>
      </c>
      <c r="Q422">
        <v>96300</v>
      </c>
      <c r="R422">
        <v>1500000</v>
      </c>
      <c r="S422">
        <v>100000</v>
      </c>
      <c r="T422">
        <v>2017</v>
      </c>
      <c r="U422" t="s">
        <v>1015</v>
      </c>
      <c r="V422">
        <v>5</v>
      </c>
      <c r="W422">
        <v>28.1</v>
      </c>
      <c r="X422">
        <v>1366417754</v>
      </c>
      <c r="Y422">
        <v>5.36</v>
      </c>
      <c r="Z422">
        <v>471031528</v>
      </c>
      <c r="AA422">
        <v>20.593684</v>
      </c>
      <c r="AB422">
        <v>78.962879999999998</v>
      </c>
    </row>
    <row r="423" spans="1:28" x14ac:dyDescent="0.3">
      <c r="A423">
        <v>422</v>
      </c>
      <c r="B423" t="s">
        <v>777</v>
      </c>
      <c r="C423">
        <v>19400000</v>
      </c>
      <c r="D423">
        <v>1577859332</v>
      </c>
      <c r="E423" t="s">
        <v>994</v>
      </c>
      <c r="F423" t="s">
        <v>777</v>
      </c>
      <c r="G423">
        <v>85</v>
      </c>
      <c r="H423" t="s">
        <v>1058</v>
      </c>
      <c r="I423" t="s">
        <v>1059</v>
      </c>
      <c r="J423" t="s">
        <v>1002</v>
      </c>
      <c r="K423">
        <v>6674</v>
      </c>
      <c r="L423">
        <v>14</v>
      </c>
      <c r="M423">
        <v>22</v>
      </c>
      <c r="N423">
        <v>2382000</v>
      </c>
      <c r="O423">
        <v>595</v>
      </c>
      <c r="P423">
        <v>9500</v>
      </c>
      <c r="Q423">
        <v>7100</v>
      </c>
      <c r="R423">
        <v>114300</v>
      </c>
      <c r="S423">
        <v>100000</v>
      </c>
      <c r="T423">
        <v>2017</v>
      </c>
      <c r="U423" t="s">
        <v>991</v>
      </c>
      <c r="V423">
        <v>15</v>
      </c>
      <c r="W423">
        <v>40.200000000000003</v>
      </c>
      <c r="X423">
        <v>126014024</v>
      </c>
      <c r="Y423">
        <v>3.42</v>
      </c>
      <c r="Z423">
        <v>102626859</v>
      </c>
      <c r="AA423">
        <v>23.634501</v>
      </c>
      <c r="AB423">
        <v>-102.552784</v>
      </c>
    </row>
    <row r="424" spans="1:28" x14ac:dyDescent="0.3">
      <c r="A424">
        <v>423</v>
      </c>
      <c r="B424" t="s">
        <v>137</v>
      </c>
      <c r="C424">
        <v>19400000</v>
      </c>
      <c r="D424">
        <v>23038014291</v>
      </c>
      <c r="E424" t="s">
        <v>988</v>
      </c>
      <c r="F424" t="s">
        <v>137</v>
      </c>
      <c r="G424">
        <v>125974</v>
      </c>
      <c r="H424" t="s">
        <v>978</v>
      </c>
      <c r="I424" t="s">
        <v>979</v>
      </c>
      <c r="J424" t="s">
        <v>988</v>
      </c>
      <c r="K424">
        <v>88</v>
      </c>
      <c r="L424">
        <v>75</v>
      </c>
      <c r="M424">
        <v>109</v>
      </c>
      <c r="N424">
        <v>272917000</v>
      </c>
      <c r="O424">
        <v>68200</v>
      </c>
      <c r="P424">
        <v>1100000</v>
      </c>
      <c r="Q424">
        <v>818800</v>
      </c>
      <c r="R424">
        <v>13100000</v>
      </c>
      <c r="S424">
        <v>200000</v>
      </c>
      <c r="T424">
        <v>2010</v>
      </c>
      <c r="U424" t="s">
        <v>980</v>
      </c>
      <c r="V424">
        <v>15</v>
      </c>
      <c r="W424">
        <v>28.1</v>
      </c>
      <c r="X424">
        <v>1366417754</v>
      </c>
      <c r="Y424">
        <v>5.36</v>
      </c>
      <c r="Z424">
        <v>471031528</v>
      </c>
      <c r="AA424">
        <v>20.593684</v>
      </c>
      <c r="AB424">
        <v>78.962879999999998</v>
      </c>
    </row>
    <row r="425" spans="1:28" x14ac:dyDescent="0.3">
      <c r="A425">
        <v>424</v>
      </c>
      <c r="B425" t="s">
        <v>461</v>
      </c>
      <c r="C425">
        <v>19400000</v>
      </c>
      <c r="D425">
        <v>5529131886</v>
      </c>
      <c r="E425" t="s">
        <v>1004</v>
      </c>
      <c r="F425" t="s">
        <v>461</v>
      </c>
      <c r="G425">
        <v>10728</v>
      </c>
      <c r="H425" t="s">
        <v>1163</v>
      </c>
      <c r="I425" t="s">
        <v>1164</v>
      </c>
      <c r="J425" t="s">
        <v>1004</v>
      </c>
      <c r="K425">
        <v>1186</v>
      </c>
      <c r="L425">
        <v>1</v>
      </c>
      <c r="M425">
        <v>5</v>
      </c>
      <c r="N425">
        <v>58863000</v>
      </c>
      <c r="O425">
        <v>14700</v>
      </c>
      <c r="P425">
        <v>235500</v>
      </c>
      <c r="Q425">
        <v>176600</v>
      </c>
      <c r="R425">
        <v>2800000</v>
      </c>
      <c r="S425">
        <v>100000</v>
      </c>
      <c r="T425">
        <v>2006</v>
      </c>
      <c r="U425" t="s">
        <v>991</v>
      </c>
      <c r="V425">
        <v>6</v>
      </c>
      <c r="W425">
        <v>59.6</v>
      </c>
      <c r="X425">
        <v>8574832</v>
      </c>
      <c r="Y425">
        <v>4.58</v>
      </c>
      <c r="Z425">
        <v>6332428</v>
      </c>
      <c r="AA425">
        <v>46.818187999999999</v>
      </c>
      <c r="AB425">
        <v>8.2275120000000008</v>
      </c>
    </row>
    <row r="426" spans="1:28" x14ac:dyDescent="0.3">
      <c r="A426">
        <v>425</v>
      </c>
      <c r="B426" t="s">
        <v>556</v>
      </c>
      <c r="C426">
        <v>19300000</v>
      </c>
      <c r="D426">
        <v>264228052</v>
      </c>
      <c r="E426" t="s">
        <v>987</v>
      </c>
      <c r="F426" t="s">
        <v>556</v>
      </c>
      <c r="G426">
        <v>335</v>
      </c>
      <c r="H426" t="s">
        <v>978</v>
      </c>
      <c r="I426" t="s">
        <v>979</v>
      </c>
      <c r="J426" t="s">
        <v>1053</v>
      </c>
      <c r="K426">
        <v>48846</v>
      </c>
      <c r="L426">
        <v>75</v>
      </c>
      <c r="M426">
        <v>14</v>
      </c>
      <c r="N426">
        <v>37167000</v>
      </c>
      <c r="O426">
        <v>9300</v>
      </c>
      <c r="P426">
        <v>148700</v>
      </c>
      <c r="Q426">
        <v>111500</v>
      </c>
      <c r="R426">
        <v>1800000</v>
      </c>
      <c r="S426">
        <v>300000</v>
      </c>
      <c r="T426">
        <v>2021</v>
      </c>
      <c r="U426" t="s">
        <v>980</v>
      </c>
      <c r="V426">
        <v>2</v>
      </c>
      <c r="W426">
        <v>28.1</v>
      </c>
      <c r="X426">
        <v>1366417754</v>
      </c>
      <c r="Y426">
        <v>5.36</v>
      </c>
      <c r="Z426">
        <v>471031528</v>
      </c>
      <c r="AA426">
        <v>20.593684</v>
      </c>
      <c r="AB426">
        <v>78.962879999999998</v>
      </c>
    </row>
    <row r="427" spans="1:28" x14ac:dyDescent="0.3">
      <c r="A427">
        <v>426</v>
      </c>
      <c r="B427" t="s">
        <v>428</v>
      </c>
      <c r="C427">
        <v>19300000</v>
      </c>
      <c r="D427">
        <v>2897907132</v>
      </c>
      <c r="E427" t="s">
        <v>1088</v>
      </c>
      <c r="F427" t="s">
        <v>428</v>
      </c>
      <c r="G427">
        <v>462</v>
      </c>
      <c r="H427" t="s">
        <v>987</v>
      </c>
      <c r="I427" t="s">
        <v>987</v>
      </c>
      <c r="J427" t="s">
        <v>988</v>
      </c>
      <c r="K427">
        <v>3024</v>
      </c>
      <c r="L427" t="s">
        <v>987</v>
      </c>
      <c r="M427">
        <v>110</v>
      </c>
      <c r="N427">
        <v>69614000</v>
      </c>
      <c r="O427">
        <v>17400</v>
      </c>
      <c r="P427">
        <v>278500</v>
      </c>
      <c r="Q427">
        <v>208800</v>
      </c>
      <c r="R427">
        <v>3300000</v>
      </c>
      <c r="S427">
        <v>100000</v>
      </c>
      <c r="T427">
        <v>2007</v>
      </c>
      <c r="U427" t="s">
        <v>1015</v>
      </c>
      <c r="V427">
        <v>30</v>
      </c>
      <c r="W427" t="s">
        <v>987</v>
      </c>
      <c r="X427" t="s">
        <v>987</v>
      </c>
      <c r="Y427" t="s">
        <v>987</v>
      </c>
      <c r="Z427" t="s">
        <v>987</v>
      </c>
      <c r="AA427" t="s">
        <v>987</v>
      </c>
      <c r="AB427" t="s">
        <v>987</v>
      </c>
    </row>
    <row r="428" spans="1:28" x14ac:dyDescent="0.3">
      <c r="A428">
        <v>427</v>
      </c>
      <c r="B428" t="s">
        <v>679</v>
      </c>
      <c r="C428">
        <v>19300000</v>
      </c>
      <c r="D428">
        <v>4508184467</v>
      </c>
      <c r="E428" t="s">
        <v>1088</v>
      </c>
      <c r="F428" t="s">
        <v>679</v>
      </c>
      <c r="G428">
        <v>2175</v>
      </c>
      <c r="H428" t="s">
        <v>987</v>
      </c>
      <c r="I428" t="s">
        <v>987</v>
      </c>
      <c r="J428" t="s">
        <v>1089</v>
      </c>
      <c r="K428">
        <v>1596</v>
      </c>
      <c r="L428" t="s">
        <v>987</v>
      </c>
      <c r="M428">
        <v>7</v>
      </c>
      <c r="N428">
        <v>16718000</v>
      </c>
      <c r="O428">
        <v>4200</v>
      </c>
      <c r="P428">
        <v>66900</v>
      </c>
      <c r="Q428">
        <v>50200</v>
      </c>
      <c r="R428">
        <v>802500</v>
      </c>
      <c r="S428">
        <v>1100000</v>
      </c>
      <c r="T428">
        <v>2010</v>
      </c>
      <c r="U428" t="s">
        <v>1005</v>
      </c>
      <c r="V428">
        <v>21</v>
      </c>
      <c r="W428" t="s">
        <v>987</v>
      </c>
      <c r="X428" t="s">
        <v>987</v>
      </c>
      <c r="Y428" t="s">
        <v>987</v>
      </c>
      <c r="Z428" t="s">
        <v>987</v>
      </c>
      <c r="AA428" t="s">
        <v>987</v>
      </c>
      <c r="AB428" t="s">
        <v>987</v>
      </c>
    </row>
    <row r="429" spans="1:28" x14ac:dyDescent="0.3">
      <c r="A429">
        <v>428</v>
      </c>
      <c r="B429" t="s">
        <v>775</v>
      </c>
      <c r="C429">
        <v>19200000</v>
      </c>
      <c r="D429">
        <v>4329121104</v>
      </c>
      <c r="E429" t="s">
        <v>994</v>
      </c>
      <c r="F429" t="s">
        <v>775</v>
      </c>
      <c r="G429">
        <v>570</v>
      </c>
      <c r="H429" t="s">
        <v>984</v>
      </c>
      <c r="I429" t="s">
        <v>985</v>
      </c>
      <c r="J429" t="s">
        <v>1044</v>
      </c>
      <c r="K429">
        <v>1705</v>
      </c>
      <c r="L429">
        <v>114</v>
      </c>
      <c r="M429">
        <v>22</v>
      </c>
      <c r="N429">
        <v>2730000</v>
      </c>
      <c r="O429">
        <v>683</v>
      </c>
      <c r="P429">
        <v>10900</v>
      </c>
      <c r="Q429">
        <v>8200</v>
      </c>
      <c r="R429">
        <v>131100</v>
      </c>
      <c r="S429" t="s">
        <v>987</v>
      </c>
      <c r="T429">
        <v>2005</v>
      </c>
      <c r="U429" t="s">
        <v>991</v>
      </c>
      <c r="V429">
        <v>22</v>
      </c>
      <c r="W429">
        <v>88.2</v>
      </c>
      <c r="X429">
        <v>328239523</v>
      </c>
      <c r="Y429">
        <v>14.7</v>
      </c>
      <c r="Z429">
        <v>270663028</v>
      </c>
      <c r="AA429">
        <v>37.090240000000001</v>
      </c>
      <c r="AB429">
        <v>-95.712890999999999</v>
      </c>
    </row>
    <row r="430" spans="1:28" x14ac:dyDescent="0.3">
      <c r="A430">
        <v>429</v>
      </c>
      <c r="B430" t="s">
        <v>598</v>
      </c>
      <c r="C430">
        <v>19200000</v>
      </c>
      <c r="D430">
        <v>7590582024</v>
      </c>
      <c r="E430" t="s">
        <v>988</v>
      </c>
      <c r="F430" t="s">
        <v>598</v>
      </c>
      <c r="G430">
        <v>8285</v>
      </c>
      <c r="H430" t="s">
        <v>978</v>
      </c>
      <c r="I430" t="s">
        <v>979</v>
      </c>
      <c r="J430" t="s">
        <v>977</v>
      </c>
      <c r="K430">
        <v>724</v>
      </c>
      <c r="L430">
        <v>77</v>
      </c>
      <c r="M430">
        <v>98</v>
      </c>
      <c r="N430">
        <v>28678000</v>
      </c>
      <c r="O430">
        <v>7200</v>
      </c>
      <c r="P430">
        <v>114700</v>
      </c>
      <c r="Q430">
        <v>86000</v>
      </c>
      <c r="R430">
        <v>1400000</v>
      </c>
      <c r="S430">
        <v>100000</v>
      </c>
      <c r="T430">
        <v>2011</v>
      </c>
      <c r="U430" t="s">
        <v>1003</v>
      </c>
      <c r="V430">
        <v>11</v>
      </c>
      <c r="W430">
        <v>28.1</v>
      </c>
      <c r="X430">
        <v>1366417754</v>
      </c>
      <c r="Y430">
        <v>5.36</v>
      </c>
      <c r="Z430">
        <v>471031528</v>
      </c>
      <c r="AA430">
        <v>20.593684</v>
      </c>
      <c r="AB430">
        <v>78.962879999999998</v>
      </c>
    </row>
    <row r="431" spans="1:28" x14ac:dyDescent="0.3">
      <c r="A431">
        <v>430</v>
      </c>
      <c r="B431" t="s">
        <v>675</v>
      </c>
      <c r="C431">
        <v>19100000</v>
      </c>
      <c r="D431">
        <v>13124645973</v>
      </c>
      <c r="E431" t="s">
        <v>988</v>
      </c>
      <c r="F431" t="s">
        <v>675</v>
      </c>
      <c r="G431">
        <v>6526</v>
      </c>
      <c r="H431" t="s">
        <v>984</v>
      </c>
      <c r="I431" t="s">
        <v>985</v>
      </c>
      <c r="J431" t="s">
        <v>1044</v>
      </c>
      <c r="K431">
        <v>283</v>
      </c>
      <c r="L431">
        <v>115</v>
      </c>
      <c r="M431">
        <v>23</v>
      </c>
      <c r="N431">
        <v>17243000</v>
      </c>
      <c r="O431">
        <v>4300</v>
      </c>
      <c r="P431">
        <v>69000</v>
      </c>
      <c r="Q431">
        <v>51700</v>
      </c>
      <c r="R431">
        <v>827600</v>
      </c>
      <c r="S431" t="s">
        <v>987</v>
      </c>
      <c r="T431">
        <v>2006</v>
      </c>
      <c r="U431" t="s">
        <v>991</v>
      </c>
      <c r="V431">
        <v>20</v>
      </c>
      <c r="W431">
        <v>88.2</v>
      </c>
      <c r="X431">
        <v>328239523</v>
      </c>
      <c r="Y431">
        <v>14.7</v>
      </c>
      <c r="Z431">
        <v>270663028</v>
      </c>
      <c r="AA431">
        <v>37.090240000000001</v>
      </c>
      <c r="AB431">
        <v>-95.712890999999999</v>
      </c>
    </row>
    <row r="432" spans="1:28" x14ac:dyDescent="0.3">
      <c r="A432">
        <v>431</v>
      </c>
      <c r="B432" t="s">
        <v>582</v>
      </c>
      <c r="C432">
        <v>19100000</v>
      </c>
      <c r="D432">
        <v>4566120190</v>
      </c>
      <c r="E432" t="s">
        <v>1044</v>
      </c>
      <c r="F432" t="s">
        <v>582</v>
      </c>
      <c r="G432">
        <v>139</v>
      </c>
      <c r="H432" t="s">
        <v>984</v>
      </c>
      <c r="I432" t="s">
        <v>985</v>
      </c>
      <c r="J432" t="s">
        <v>1044</v>
      </c>
      <c r="K432">
        <v>1568</v>
      </c>
      <c r="L432">
        <v>115</v>
      </c>
      <c r="M432">
        <v>23</v>
      </c>
      <c r="N432">
        <v>30986000</v>
      </c>
      <c r="O432">
        <v>7700</v>
      </c>
      <c r="P432">
        <v>123900</v>
      </c>
      <c r="Q432">
        <v>93000</v>
      </c>
      <c r="R432">
        <v>1500000</v>
      </c>
      <c r="S432" t="s">
        <v>987</v>
      </c>
      <c r="T432">
        <v>2014</v>
      </c>
      <c r="U432" t="s">
        <v>1010</v>
      </c>
      <c r="V432">
        <v>30</v>
      </c>
      <c r="W432">
        <v>88.2</v>
      </c>
      <c r="X432">
        <v>328239523</v>
      </c>
      <c r="Y432">
        <v>14.7</v>
      </c>
      <c r="Z432">
        <v>270663028</v>
      </c>
      <c r="AA432">
        <v>37.090240000000001</v>
      </c>
      <c r="AB432">
        <v>-95.712890999999999</v>
      </c>
    </row>
    <row r="433" spans="1:28" x14ac:dyDescent="0.3">
      <c r="A433">
        <v>432</v>
      </c>
      <c r="B433" t="s">
        <v>434</v>
      </c>
      <c r="C433">
        <v>19100000</v>
      </c>
      <c r="D433">
        <v>5194942269</v>
      </c>
      <c r="E433" t="s">
        <v>982</v>
      </c>
      <c r="F433" t="s">
        <v>434</v>
      </c>
      <c r="G433">
        <v>2948</v>
      </c>
      <c r="H433" t="s">
        <v>987</v>
      </c>
      <c r="I433" t="s">
        <v>987</v>
      </c>
      <c r="J433" t="s">
        <v>1022</v>
      </c>
      <c r="K433">
        <v>1279</v>
      </c>
      <c r="L433" t="s">
        <v>987</v>
      </c>
      <c r="M433">
        <v>26</v>
      </c>
      <c r="N433">
        <v>65920000</v>
      </c>
      <c r="O433">
        <v>16500</v>
      </c>
      <c r="P433">
        <v>263700</v>
      </c>
      <c r="Q433">
        <v>197800</v>
      </c>
      <c r="R433">
        <v>3200000</v>
      </c>
      <c r="S433">
        <v>200000</v>
      </c>
      <c r="T433">
        <v>2016</v>
      </c>
      <c r="U433" t="s">
        <v>1010</v>
      </c>
      <c r="V433">
        <v>29</v>
      </c>
      <c r="W433" t="s">
        <v>987</v>
      </c>
      <c r="X433" t="s">
        <v>987</v>
      </c>
      <c r="Y433" t="s">
        <v>987</v>
      </c>
      <c r="Z433" t="s">
        <v>987</v>
      </c>
      <c r="AA433" t="s">
        <v>987</v>
      </c>
      <c r="AB433" t="s">
        <v>987</v>
      </c>
    </row>
    <row r="434" spans="1:28" x14ac:dyDescent="0.3">
      <c r="A434">
        <v>433</v>
      </c>
      <c r="B434" t="s">
        <v>516</v>
      </c>
      <c r="C434">
        <v>19100000</v>
      </c>
      <c r="D434">
        <v>6339584661</v>
      </c>
      <c r="E434" t="s">
        <v>977</v>
      </c>
      <c r="F434" t="s">
        <v>516</v>
      </c>
      <c r="G434">
        <v>37</v>
      </c>
      <c r="H434" t="s">
        <v>987</v>
      </c>
      <c r="I434" t="s">
        <v>987</v>
      </c>
      <c r="J434" t="s">
        <v>977</v>
      </c>
      <c r="K434">
        <v>966</v>
      </c>
      <c r="L434" t="s">
        <v>987</v>
      </c>
      <c r="M434">
        <v>99</v>
      </c>
      <c r="N434">
        <v>46192000</v>
      </c>
      <c r="O434">
        <v>11500</v>
      </c>
      <c r="P434">
        <v>184800</v>
      </c>
      <c r="Q434">
        <v>138600</v>
      </c>
      <c r="R434">
        <v>2200000</v>
      </c>
      <c r="S434" t="s">
        <v>987</v>
      </c>
      <c r="T434">
        <v>2018</v>
      </c>
      <c r="U434" t="s">
        <v>995</v>
      </c>
      <c r="V434">
        <v>19</v>
      </c>
      <c r="W434" t="s">
        <v>987</v>
      </c>
      <c r="X434" t="s">
        <v>987</v>
      </c>
      <c r="Y434" t="s">
        <v>987</v>
      </c>
      <c r="Z434" t="s">
        <v>987</v>
      </c>
      <c r="AA434" t="s">
        <v>987</v>
      </c>
      <c r="AB434" t="s">
        <v>987</v>
      </c>
    </row>
    <row r="435" spans="1:28" x14ac:dyDescent="0.3">
      <c r="A435">
        <v>434</v>
      </c>
      <c r="B435" t="s">
        <v>1165</v>
      </c>
      <c r="C435">
        <v>19000000</v>
      </c>
      <c r="D435">
        <v>4924054368</v>
      </c>
      <c r="E435" t="s">
        <v>990</v>
      </c>
      <c r="F435" t="s">
        <v>1165</v>
      </c>
      <c r="G435">
        <v>60</v>
      </c>
      <c r="H435" t="s">
        <v>984</v>
      </c>
      <c r="I435" t="s">
        <v>985</v>
      </c>
      <c r="J435" t="s">
        <v>988</v>
      </c>
      <c r="K435">
        <v>1399</v>
      </c>
      <c r="L435">
        <v>116</v>
      </c>
      <c r="M435">
        <v>111</v>
      </c>
      <c r="N435">
        <v>21587000</v>
      </c>
      <c r="O435">
        <v>5400</v>
      </c>
      <c r="P435">
        <v>86300</v>
      </c>
      <c r="Q435">
        <v>64800</v>
      </c>
      <c r="R435">
        <v>1000000</v>
      </c>
      <c r="S435">
        <v>100000</v>
      </c>
      <c r="T435">
        <v>2018</v>
      </c>
      <c r="U435" t="s">
        <v>989</v>
      </c>
      <c r="V435">
        <v>20</v>
      </c>
      <c r="W435">
        <v>88.2</v>
      </c>
      <c r="X435">
        <v>328239523</v>
      </c>
      <c r="Y435">
        <v>14.7</v>
      </c>
      <c r="Z435">
        <v>270663028</v>
      </c>
      <c r="AA435">
        <v>37.090240000000001</v>
      </c>
      <c r="AB435">
        <v>-95.712890999999999</v>
      </c>
    </row>
    <row r="436" spans="1:28" x14ac:dyDescent="0.3">
      <c r="A436">
        <v>435</v>
      </c>
      <c r="B436" t="s">
        <v>294</v>
      </c>
      <c r="C436">
        <v>19000000</v>
      </c>
      <c r="D436">
        <v>7229175322</v>
      </c>
      <c r="E436" t="s">
        <v>1011</v>
      </c>
      <c r="F436" t="s">
        <v>294</v>
      </c>
      <c r="G436">
        <v>903</v>
      </c>
      <c r="H436" t="s">
        <v>1058</v>
      </c>
      <c r="I436" t="s">
        <v>1059</v>
      </c>
      <c r="J436" t="s">
        <v>1053</v>
      </c>
      <c r="K436">
        <v>786</v>
      </c>
      <c r="L436">
        <v>15</v>
      </c>
      <c r="M436">
        <v>111</v>
      </c>
      <c r="N436">
        <v>123338000</v>
      </c>
      <c r="O436">
        <v>30800</v>
      </c>
      <c r="P436">
        <v>493400</v>
      </c>
      <c r="Q436">
        <v>370000</v>
      </c>
      <c r="R436">
        <v>5900000</v>
      </c>
      <c r="S436">
        <v>200000</v>
      </c>
      <c r="T436">
        <v>2018</v>
      </c>
      <c r="U436" t="s">
        <v>1003</v>
      </c>
      <c r="V436">
        <v>23</v>
      </c>
      <c r="W436">
        <v>40.200000000000003</v>
      </c>
      <c r="X436">
        <v>126014024</v>
      </c>
      <c r="Y436">
        <v>3.42</v>
      </c>
      <c r="Z436">
        <v>102626859</v>
      </c>
      <c r="AA436">
        <v>23.634501</v>
      </c>
      <c r="AB436">
        <v>-102.552784</v>
      </c>
    </row>
    <row r="437" spans="1:28" x14ac:dyDescent="0.3">
      <c r="A437">
        <v>436</v>
      </c>
      <c r="B437" t="s">
        <v>326</v>
      </c>
      <c r="C437">
        <v>19000000</v>
      </c>
      <c r="D437">
        <v>8281724393</v>
      </c>
      <c r="E437" t="s">
        <v>982</v>
      </c>
      <c r="F437" t="s">
        <v>326</v>
      </c>
      <c r="G437">
        <v>1525</v>
      </c>
      <c r="H437" t="s">
        <v>978</v>
      </c>
      <c r="I437" t="s">
        <v>979</v>
      </c>
      <c r="J437" t="s">
        <v>988</v>
      </c>
      <c r="K437">
        <v>618</v>
      </c>
      <c r="L437">
        <v>78</v>
      </c>
      <c r="M437">
        <v>111</v>
      </c>
      <c r="N437">
        <v>105706000</v>
      </c>
      <c r="O437">
        <v>26400</v>
      </c>
      <c r="P437">
        <v>422800</v>
      </c>
      <c r="Q437">
        <v>317100</v>
      </c>
      <c r="R437">
        <v>5100000</v>
      </c>
      <c r="S437">
        <v>200000</v>
      </c>
      <c r="T437">
        <v>2017</v>
      </c>
      <c r="U437" t="s">
        <v>1029</v>
      </c>
      <c r="V437">
        <v>8</v>
      </c>
      <c r="W437">
        <v>28.1</v>
      </c>
      <c r="X437">
        <v>1366417754</v>
      </c>
      <c r="Y437">
        <v>5.36</v>
      </c>
      <c r="Z437">
        <v>471031528</v>
      </c>
      <c r="AA437">
        <v>20.593684</v>
      </c>
      <c r="AB437">
        <v>78.962879999999998</v>
      </c>
    </row>
    <row r="438" spans="1:28" x14ac:dyDescent="0.3">
      <c r="A438">
        <v>437</v>
      </c>
      <c r="B438" t="s">
        <v>409</v>
      </c>
      <c r="C438">
        <v>19000000</v>
      </c>
      <c r="D438">
        <v>13824277846</v>
      </c>
      <c r="E438" t="s">
        <v>982</v>
      </c>
      <c r="F438" t="s">
        <v>409</v>
      </c>
      <c r="G438">
        <v>1154</v>
      </c>
      <c r="H438" t="s">
        <v>1019</v>
      </c>
      <c r="I438" t="s">
        <v>1020</v>
      </c>
      <c r="J438" t="s">
        <v>1022</v>
      </c>
      <c r="K438">
        <v>260</v>
      </c>
      <c r="L438">
        <v>22</v>
      </c>
      <c r="M438">
        <v>27</v>
      </c>
      <c r="N438">
        <v>76903000</v>
      </c>
      <c r="O438">
        <v>19200</v>
      </c>
      <c r="P438">
        <v>307600</v>
      </c>
      <c r="Q438">
        <v>230700</v>
      </c>
      <c r="R438">
        <v>3700000</v>
      </c>
      <c r="S438">
        <v>100000</v>
      </c>
      <c r="T438">
        <v>2012</v>
      </c>
      <c r="U438" t="s">
        <v>1015</v>
      </c>
      <c r="V438">
        <v>30</v>
      </c>
      <c r="W438">
        <v>51.3</v>
      </c>
      <c r="X438">
        <v>212559417</v>
      </c>
      <c r="Y438">
        <v>12.08</v>
      </c>
      <c r="Z438">
        <v>183241641</v>
      </c>
      <c r="AA438">
        <v>-14.235004</v>
      </c>
      <c r="AB438">
        <v>-51.925280000000001</v>
      </c>
    </row>
    <row r="439" spans="1:28" x14ac:dyDescent="0.3">
      <c r="A439">
        <v>438</v>
      </c>
      <c r="B439" t="s">
        <v>339</v>
      </c>
      <c r="C439">
        <v>19000000</v>
      </c>
      <c r="D439">
        <v>16014044618</v>
      </c>
      <c r="E439" t="s">
        <v>977</v>
      </c>
      <c r="F439" t="s">
        <v>339</v>
      </c>
      <c r="G439">
        <v>79</v>
      </c>
      <c r="H439" t="s">
        <v>1013</v>
      </c>
      <c r="I439" t="s">
        <v>1014</v>
      </c>
      <c r="J439" t="s">
        <v>977</v>
      </c>
      <c r="K439">
        <v>191</v>
      </c>
      <c r="L439">
        <v>18</v>
      </c>
      <c r="M439">
        <v>99</v>
      </c>
      <c r="N439">
        <v>102410000</v>
      </c>
      <c r="O439">
        <v>25600</v>
      </c>
      <c r="P439">
        <v>409600</v>
      </c>
      <c r="Q439">
        <v>307200</v>
      </c>
      <c r="R439">
        <v>4900000</v>
      </c>
      <c r="S439">
        <v>100000</v>
      </c>
      <c r="T439">
        <v>2007</v>
      </c>
      <c r="U439" t="s">
        <v>989</v>
      </c>
      <c r="V439">
        <v>11</v>
      </c>
      <c r="W439">
        <v>60</v>
      </c>
      <c r="X439">
        <v>66834405</v>
      </c>
      <c r="Y439">
        <v>3.85</v>
      </c>
      <c r="Z439">
        <v>55908316</v>
      </c>
      <c r="AA439">
        <v>55.378050999999999</v>
      </c>
      <c r="AB439">
        <v>-3.4359730000000002</v>
      </c>
    </row>
    <row r="440" spans="1:28" x14ac:dyDescent="0.3">
      <c r="A440">
        <v>439</v>
      </c>
      <c r="B440" t="s">
        <v>323</v>
      </c>
      <c r="C440">
        <v>19000000</v>
      </c>
      <c r="D440">
        <v>15126092508</v>
      </c>
      <c r="E440" t="s">
        <v>988</v>
      </c>
      <c r="F440" t="s">
        <v>323</v>
      </c>
      <c r="G440">
        <v>64496</v>
      </c>
      <c r="H440" t="s">
        <v>1006</v>
      </c>
      <c r="I440" t="s">
        <v>1007</v>
      </c>
      <c r="J440" t="s">
        <v>988</v>
      </c>
      <c r="K440">
        <v>217</v>
      </c>
      <c r="L440">
        <v>8</v>
      </c>
      <c r="M440">
        <v>111</v>
      </c>
      <c r="N440">
        <v>107989000</v>
      </c>
      <c r="O440">
        <v>27000</v>
      </c>
      <c r="P440">
        <v>432000</v>
      </c>
      <c r="Q440">
        <v>324000</v>
      </c>
      <c r="R440">
        <v>5200000</v>
      </c>
      <c r="S440" t="s">
        <v>987</v>
      </c>
      <c r="T440">
        <v>2007</v>
      </c>
      <c r="U440" t="s">
        <v>1003</v>
      </c>
      <c r="V440">
        <v>6</v>
      </c>
      <c r="W440">
        <v>94.3</v>
      </c>
      <c r="X440">
        <v>51709098</v>
      </c>
      <c r="Y440">
        <v>4.1500000000000004</v>
      </c>
      <c r="Z440">
        <v>42106719</v>
      </c>
      <c r="AA440">
        <v>35.907756999999997</v>
      </c>
      <c r="AB440">
        <v>127.76692199999999</v>
      </c>
    </row>
    <row r="441" spans="1:28" x14ac:dyDescent="0.3">
      <c r="A441">
        <v>440</v>
      </c>
      <c r="B441" t="s">
        <v>638</v>
      </c>
      <c r="C441">
        <v>18900000</v>
      </c>
      <c r="D441">
        <v>2855519150</v>
      </c>
      <c r="E441" t="s">
        <v>994</v>
      </c>
      <c r="F441" t="s">
        <v>638</v>
      </c>
      <c r="G441">
        <v>375</v>
      </c>
      <c r="H441" t="s">
        <v>1000</v>
      </c>
      <c r="I441" t="s">
        <v>1001</v>
      </c>
      <c r="J441" t="s">
        <v>988</v>
      </c>
      <c r="K441">
        <v>3094</v>
      </c>
      <c r="L441">
        <v>4</v>
      </c>
      <c r="M441">
        <v>112</v>
      </c>
      <c r="N441">
        <v>24563000</v>
      </c>
      <c r="O441">
        <v>6100</v>
      </c>
      <c r="P441">
        <v>98300</v>
      </c>
      <c r="Q441">
        <v>73700</v>
      </c>
      <c r="R441">
        <v>1200000</v>
      </c>
      <c r="S441" t="s">
        <v>987</v>
      </c>
      <c r="T441">
        <v>2014</v>
      </c>
      <c r="U441" t="s">
        <v>1025</v>
      </c>
      <c r="V441">
        <v>16</v>
      </c>
      <c r="W441">
        <v>81.900000000000006</v>
      </c>
      <c r="X441">
        <v>144373535</v>
      </c>
      <c r="Y441">
        <v>4.59</v>
      </c>
      <c r="Z441">
        <v>107683889</v>
      </c>
      <c r="AA441">
        <v>61.524009999999997</v>
      </c>
      <c r="AB441">
        <v>105.31875599999999</v>
      </c>
    </row>
    <row r="442" spans="1:28" x14ac:dyDescent="0.3">
      <c r="A442">
        <v>441</v>
      </c>
      <c r="B442" t="s">
        <v>902</v>
      </c>
      <c r="C442">
        <v>18900000</v>
      </c>
      <c r="D442">
        <v>8301731337</v>
      </c>
      <c r="E442" t="s">
        <v>992</v>
      </c>
      <c r="F442" t="s">
        <v>902</v>
      </c>
      <c r="G442">
        <v>0</v>
      </c>
      <c r="H442" t="s">
        <v>987</v>
      </c>
      <c r="I442" t="s">
        <v>987</v>
      </c>
      <c r="J442" t="s">
        <v>987</v>
      </c>
      <c r="K442">
        <v>4057944</v>
      </c>
      <c r="L442" t="s">
        <v>987</v>
      </c>
      <c r="M442" t="s">
        <v>987</v>
      </c>
      <c r="N442" t="s">
        <v>987</v>
      </c>
      <c r="O442">
        <v>0</v>
      </c>
      <c r="P442">
        <v>0</v>
      </c>
      <c r="Q442">
        <v>0</v>
      </c>
      <c r="R442">
        <v>0</v>
      </c>
      <c r="S442">
        <v>2</v>
      </c>
      <c r="T442">
        <v>2014</v>
      </c>
      <c r="U442" t="s">
        <v>989</v>
      </c>
      <c r="V442">
        <v>20</v>
      </c>
      <c r="W442" t="s">
        <v>987</v>
      </c>
      <c r="X442" t="s">
        <v>987</v>
      </c>
      <c r="Y442" t="s">
        <v>987</v>
      </c>
      <c r="Z442" t="s">
        <v>987</v>
      </c>
      <c r="AA442" t="s">
        <v>987</v>
      </c>
      <c r="AB442" t="s">
        <v>987</v>
      </c>
    </row>
    <row r="443" spans="1:28" x14ac:dyDescent="0.3">
      <c r="A443">
        <v>442</v>
      </c>
      <c r="B443" t="s">
        <v>264</v>
      </c>
      <c r="C443">
        <v>18900000</v>
      </c>
      <c r="D443">
        <v>9813245108</v>
      </c>
      <c r="E443" t="s">
        <v>990</v>
      </c>
      <c r="F443" t="s">
        <v>264</v>
      </c>
      <c r="G443">
        <v>719</v>
      </c>
      <c r="H443" t="s">
        <v>1058</v>
      </c>
      <c r="I443" t="s">
        <v>1059</v>
      </c>
      <c r="J443" t="s">
        <v>990</v>
      </c>
      <c r="K443">
        <v>459</v>
      </c>
      <c r="L443">
        <v>16</v>
      </c>
      <c r="M443">
        <v>24</v>
      </c>
      <c r="N443">
        <v>140398000</v>
      </c>
      <c r="O443">
        <v>35100</v>
      </c>
      <c r="P443">
        <v>561600</v>
      </c>
      <c r="Q443">
        <v>421200</v>
      </c>
      <c r="R443">
        <v>6700000</v>
      </c>
      <c r="S443" t="s">
        <v>987</v>
      </c>
      <c r="T443">
        <v>2018</v>
      </c>
      <c r="U443" t="s">
        <v>1003</v>
      </c>
      <c r="V443">
        <v>26</v>
      </c>
      <c r="W443">
        <v>40.200000000000003</v>
      </c>
      <c r="X443">
        <v>126014024</v>
      </c>
      <c r="Y443">
        <v>3.42</v>
      </c>
      <c r="Z443">
        <v>102626859</v>
      </c>
      <c r="AA443">
        <v>23.634501</v>
      </c>
      <c r="AB443">
        <v>-102.552784</v>
      </c>
    </row>
    <row r="444" spans="1:28" x14ac:dyDescent="0.3">
      <c r="A444">
        <v>443</v>
      </c>
      <c r="B444" t="s">
        <v>593</v>
      </c>
      <c r="C444">
        <v>18800000</v>
      </c>
      <c r="D444">
        <v>3654621568</v>
      </c>
      <c r="E444" t="s">
        <v>990</v>
      </c>
      <c r="F444" t="s">
        <v>593</v>
      </c>
      <c r="G444">
        <v>2072</v>
      </c>
      <c r="H444" t="s">
        <v>984</v>
      </c>
      <c r="I444" t="s">
        <v>985</v>
      </c>
      <c r="J444" t="s">
        <v>990</v>
      </c>
      <c r="K444">
        <v>2163</v>
      </c>
      <c r="L444">
        <v>117</v>
      </c>
      <c r="M444">
        <v>25</v>
      </c>
      <c r="N444">
        <v>29874000</v>
      </c>
      <c r="O444">
        <v>7500</v>
      </c>
      <c r="P444">
        <v>119500</v>
      </c>
      <c r="Q444">
        <v>89600</v>
      </c>
      <c r="R444">
        <v>1400000</v>
      </c>
      <c r="S444">
        <v>100000</v>
      </c>
      <c r="T444">
        <v>2011</v>
      </c>
      <c r="U444" t="s">
        <v>980</v>
      </c>
      <c r="V444">
        <v>1</v>
      </c>
      <c r="W444">
        <v>88.2</v>
      </c>
      <c r="X444">
        <v>328239523</v>
      </c>
      <c r="Y444">
        <v>14.7</v>
      </c>
      <c r="Z444">
        <v>270663028</v>
      </c>
      <c r="AA444">
        <v>37.090240000000001</v>
      </c>
      <c r="AB444">
        <v>-95.712890999999999</v>
      </c>
    </row>
    <row r="445" spans="1:28" x14ac:dyDescent="0.3">
      <c r="A445">
        <v>444</v>
      </c>
      <c r="B445" t="s">
        <v>402</v>
      </c>
      <c r="C445">
        <v>18800000</v>
      </c>
      <c r="D445">
        <v>5257834105</v>
      </c>
      <c r="E445" t="s">
        <v>988</v>
      </c>
      <c r="F445" t="s">
        <v>402</v>
      </c>
      <c r="G445">
        <v>312</v>
      </c>
      <c r="H445" t="s">
        <v>1013</v>
      </c>
      <c r="I445" t="s">
        <v>1014</v>
      </c>
      <c r="J445" t="s">
        <v>988</v>
      </c>
      <c r="K445">
        <v>1263</v>
      </c>
      <c r="L445">
        <v>19</v>
      </c>
      <c r="M445">
        <v>113</v>
      </c>
      <c r="N445">
        <v>78158000</v>
      </c>
      <c r="O445">
        <v>19500</v>
      </c>
      <c r="P445">
        <v>312600</v>
      </c>
      <c r="Q445">
        <v>234500</v>
      </c>
      <c r="R445">
        <v>3800000</v>
      </c>
      <c r="S445">
        <v>100000</v>
      </c>
      <c r="T445">
        <v>2015</v>
      </c>
      <c r="U445" t="s">
        <v>1008</v>
      </c>
      <c r="V445">
        <v>14</v>
      </c>
      <c r="W445">
        <v>60</v>
      </c>
      <c r="X445">
        <v>66834405</v>
      </c>
      <c r="Y445">
        <v>3.85</v>
      </c>
      <c r="Z445">
        <v>55908316</v>
      </c>
      <c r="AA445">
        <v>55.378050999999999</v>
      </c>
      <c r="AB445">
        <v>-3.4359730000000002</v>
      </c>
    </row>
    <row r="446" spans="1:28" x14ac:dyDescent="0.3">
      <c r="A446">
        <v>445</v>
      </c>
      <c r="B446" t="s">
        <v>852</v>
      </c>
      <c r="C446">
        <v>18800000</v>
      </c>
      <c r="D446">
        <v>7634430188</v>
      </c>
      <c r="E446" t="s">
        <v>994</v>
      </c>
      <c r="F446" t="s">
        <v>852</v>
      </c>
      <c r="G446">
        <v>9</v>
      </c>
      <c r="H446" t="s">
        <v>987</v>
      </c>
      <c r="I446" t="s">
        <v>987</v>
      </c>
      <c r="J446" t="s">
        <v>987</v>
      </c>
      <c r="K446">
        <v>4054469</v>
      </c>
      <c r="L446" t="s">
        <v>987</v>
      </c>
      <c r="M446" t="s">
        <v>987</v>
      </c>
      <c r="N446">
        <v>7</v>
      </c>
      <c r="O446">
        <v>0</v>
      </c>
      <c r="P446">
        <v>0.03</v>
      </c>
      <c r="Q446">
        <v>0.02</v>
      </c>
      <c r="R446">
        <v>0.34</v>
      </c>
      <c r="S446" t="s">
        <v>987</v>
      </c>
      <c r="T446">
        <v>2017</v>
      </c>
      <c r="U446" t="s">
        <v>1010</v>
      </c>
      <c r="V446">
        <v>15</v>
      </c>
      <c r="W446" t="s">
        <v>987</v>
      </c>
      <c r="X446" t="s">
        <v>987</v>
      </c>
      <c r="Y446" t="s">
        <v>987</v>
      </c>
      <c r="Z446" t="s">
        <v>987</v>
      </c>
      <c r="AA446" t="s">
        <v>987</v>
      </c>
      <c r="AB446" t="s">
        <v>987</v>
      </c>
    </row>
    <row r="447" spans="1:28" x14ac:dyDescent="0.3">
      <c r="A447">
        <v>446</v>
      </c>
      <c r="B447" t="s">
        <v>947</v>
      </c>
      <c r="C447">
        <v>18800000</v>
      </c>
      <c r="D447">
        <v>7762077012</v>
      </c>
      <c r="E447" t="s">
        <v>987</v>
      </c>
      <c r="F447" t="s">
        <v>1166</v>
      </c>
      <c r="G447">
        <v>2</v>
      </c>
      <c r="H447" t="s">
        <v>987</v>
      </c>
      <c r="I447" t="s">
        <v>987</v>
      </c>
      <c r="J447" t="s">
        <v>987</v>
      </c>
      <c r="K447">
        <v>4057882</v>
      </c>
      <c r="L447" t="s">
        <v>987</v>
      </c>
      <c r="M447" t="s">
        <v>987</v>
      </c>
      <c r="N447" t="s">
        <v>987</v>
      </c>
      <c r="O447">
        <v>0</v>
      </c>
      <c r="P447">
        <v>0</v>
      </c>
      <c r="Q447">
        <v>0</v>
      </c>
      <c r="R447">
        <v>0</v>
      </c>
      <c r="S447" t="s">
        <v>987</v>
      </c>
      <c r="T447">
        <v>2021</v>
      </c>
      <c r="U447" t="s">
        <v>1005</v>
      </c>
      <c r="V447">
        <v>21</v>
      </c>
      <c r="W447" t="s">
        <v>987</v>
      </c>
      <c r="X447" t="s">
        <v>987</v>
      </c>
      <c r="Y447" t="s">
        <v>987</v>
      </c>
      <c r="Z447" t="s">
        <v>987</v>
      </c>
      <c r="AA447" t="s">
        <v>987</v>
      </c>
      <c r="AB447" t="s">
        <v>987</v>
      </c>
    </row>
    <row r="448" spans="1:28" x14ac:dyDescent="0.3">
      <c r="A448">
        <v>447</v>
      </c>
      <c r="B448" t="s">
        <v>356</v>
      </c>
      <c r="C448">
        <v>18800000</v>
      </c>
      <c r="D448">
        <v>9573641299</v>
      </c>
      <c r="E448" t="s">
        <v>977</v>
      </c>
      <c r="F448" t="s">
        <v>356</v>
      </c>
      <c r="G448">
        <v>217</v>
      </c>
      <c r="H448" t="s">
        <v>984</v>
      </c>
      <c r="I448" t="s">
        <v>985</v>
      </c>
      <c r="J448" t="s">
        <v>977</v>
      </c>
      <c r="K448">
        <v>485</v>
      </c>
      <c r="L448">
        <v>117</v>
      </c>
      <c r="M448">
        <v>100</v>
      </c>
      <c r="N448">
        <v>97758000</v>
      </c>
      <c r="O448">
        <v>24400</v>
      </c>
      <c r="P448">
        <v>391000</v>
      </c>
      <c r="Q448">
        <v>293300</v>
      </c>
      <c r="R448">
        <v>4700000</v>
      </c>
      <c r="S448">
        <v>100000</v>
      </c>
      <c r="T448">
        <v>2009</v>
      </c>
      <c r="U448" t="s">
        <v>1025</v>
      </c>
      <c r="V448">
        <v>30</v>
      </c>
      <c r="W448">
        <v>88.2</v>
      </c>
      <c r="X448">
        <v>328239523</v>
      </c>
      <c r="Y448">
        <v>14.7</v>
      </c>
      <c r="Z448">
        <v>270663028</v>
      </c>
      <c r="AA448">
        <v>37.090240000000001</v>
      </c>
      <c r="AB448">
        <v>-95.712890999999999</v>
      </c>
    </row>
    <row r="449" spans="1:28" x14ac:dyDescent="0.3">
      <c r="A449">
        <v>448</v>
      </c>
      <c r="B449" t="s">
        <v>1167</v>
      </c>
      <c r="C449">
        <v>18800000</v>
      </c>
      <c r="D449">
        <v>9594188708</v>
      </c>
      <c r="E449" t="s">
        <v>988</v>
      </c>
      <c r="F449" t="s">
        <v>1167</v>
      </c>
      <c r="G449">
        <v>530</v>
      </c>
      <c r="H449" t="s">
        <v>1152</v>
      </c>
      <c r="I449" t="s">
        <v>1153</v>
      </c>
      <c r="J449" t="s">
        <v>988</v>
      </c>
      <c r="K449">
        <v>483</v>
      </c>
      <c r="L449">
        <v>2</v>
      </c>
      <c r="M449">
        <v>113</v>
      </c>
      <c r="N449">
        <v>68006000</v>
      </c>
      <c r="O449">
        <v>17000</v>
      </c>
      <c r="P449">
        <v>272000</v>
      </c>
      <c r="Q449">
        <v>204000</v>
      </c>
      <c r="R449">
        <v>3300000</v>
      </c>
      <c r="S449">
        <v>100000</v>
      </c>
      <c r="T449">
        <v>2014</v>
      </c>
      <c r="U449" t="s">
        <v>1025</v>
      </c>
      <c r="V449">
        <v>20</v>
      </c>
      <c r="W449">
        <v>82.7</v>
      </c>
      <c r="X449">
        <v>44385155</v>
      </c>
      <c r="Y449">
        <v>8.8800000000000008</v>
      </c>
      <c r="Z449">
        <v>30835699</v>
      </c>
      <c r="AA449">
        <v>48.379432999999999</v>
      </c>
      <c r="AB449">
        <v>31.165579999999999</v>
      </c>
    </row>
    <row r="450" spans="1:28" x14ac:dyDescent="0.3">
      <c r="A450">
        <v>449</v>
      </c>
      <c r="B450" t="s">
        <v>322</v>
      </c>
      <c r="C450">
        <v>18800000</v>
      </c>
      <c r="D450">
        <v>3276891538</v>
      </c>
      <c r="E450" t="s">
        <v>1044</v>
      </c>
      <c r="F450" t="s">
        <v>322</v>
      </c>
      <c r="G450">
        <v>304</v>
      </c>
      <c r="H450" t="s">
        <v>978</v>
      </c>
      <c r="I450" t="s">
        <v>979</v>
      </c>
      <c r="J450" t="s">
        <v>1002</v>
      </c>
      <c r="K450">
        <v>2508</v>
      </c>
      <c r="L450">
        <v>79</v>
      </c>
      <c r="M450">
        <v>24</v>
      </c>
      <c r="N450">
        <v>109026000</v>
      </c>
      <c r="O450">
        <v>27300</v>
      </c>
      <c r="P450">
        <v>436100</v>
      </c>
      <c r="Q450">
        <v>327100</v>
      </c>
      <c r="R450">
        <v>5200000</v>
      </c>
      <c r="S450">
        <v>700000</v>
      </c>
      <c r="T450">
        <v>2014</v>
      </c>
      <c r="U450" t="s">
        <v>1015</v>
      </c>
      <c r="V450">
        <v>17</v>
      </c>
      <c r="W450">
        <v>28.1</v>
      </c>
      <c r="X450">
        <v>1366417754</v>
      </c>
      <c r="Y450">
        <v>5.36</v>
      </c>
      <c r="Z450">
        <v>471031528</v>
      </c>
      <c r="AA450">
        <v>20.593684</v>
      </c>
      <c r="AB450">
        <v>78.962879999999998</v>
      </c>
    </row>
    <row r="451" spans="1:28" x14ac:dyDescent="0.3">
      <c r="A451">
        <v>450</v>
      </c>
      <c r="B451" t="s">
        <v>832</v>
      </c>
      <c r="C451">
        <v>18700000</v>
      </c>
      <c r="D451">
        <v>12295637162</v>
      </c>
      <c r="E451" t="s">
        <v>988</v>
      </c>
      <c r="F451" t="s">
        <v>1168</v>
      </c>
      <c r="G451">
        <v>16</v>
      </c>
      <c r="H451" t="s">
        <v>1065</v>
      </c>
      <c r="I451" t="s">
        <v>1066</v>
      </c>
      <c r="J451" t="s">
        <v>977</v>
      </c>
      <c r="K451">
        <v>3188353</v>
      </c>
      <c r="L451">
        <v>4093</v>
      </c>
      <c r="M451">
        <v>5631</v>
      </c>
      <c r="N451">
        <v>102</v>
      </c>
      <c r="O451">
        <v>0.03</v>
      </c>
      <c r="P451">
        <v>0.41</v>
      </c>
      <c r="Q451">
        <v>0.31</v>
      </c>
      <c r="R451">
        <v>5</v>
      </c>
      <c r="S451">
        <v>1</v>
      </c>
      <c r="T451">
        <v>2005</v>
      </c>
      <c r="U451" t="s">
        <v>991</v>
      </c>
      <c r="V451">
        <v>26</v>
      </c>
      <c r="W451">
        <v>88.9</v>
      </c>
      <c r="X451">
        <v>47076781</v>
      </c>
      <c r="Y451">
        <v>13.96</v>
      </c>
      <c r="Z451">
        <v>37927409</v>
      </c>
      <c r="AA451">
        <v>40.463667000000001</v>
      </c>
      <c r="AB451">
        <v>-3.7492200000000002</v>
      </c>
    </row>
    <row r="452" spans="1:28" x14ac:dyDescent="0.3">
      <c r="A452">
        <v>451</v>
      </c>
      <c r="B452" t="s">
        <v>878</v>
      </c>
      <c r="C452">
        <v>18700000</v>
      </c>
      <c r="D452">
        <v>6148303268</v>
      </c>
      <c r="E452" t="s">
        <v>996</v>
      </c>
      <c r="F452" t="s">
        <v>1169</v>
      </c>
      <c r="G452">
        <v>2</v>
      </c>
      <c r="H452" t="s">
        <v>987</v>
      </c>
      <c r="I452" t="s">
        <v>987</v>
      </c>
      <c r="J452" t="s">
        <v>1002</v>
      </c>
      <c r="K452">
        <v>4053443</v>
      </c>
      <c r="L452" t="s">
        <v>987</v>
      </c>
      <c r="M452">
        <v>7729</v>
      </c>
      <c r="N452">
        <v>1</v>
      </c>
      <c r="O452">
        <v>0</v>
      </c>
      <c r="P452">
        <v>0</v>
      </c>
      <c r="Q452">
        <v>0</v>
      </c>
      <c r="R452">
        <v>0.05</v>
      </c>
      <c r="S452" t="s">
        <v>987</v>
      </c>
      <c r="T452">
        <v>2016</v>
      </c>
      <c r="U452" t="s">
        <v>1015</v>
      </c>
      <c r="V452">
        <v>7</v>
      </c>
      <c r="W452" t="s">
        <v>987</v>
      </c>
      <c r="X452" t="s">
        <v>987</v>
      </c>
      <c r="Y452" t="s">
        <v>987</v>
      </c>
      <c r="Z452" t="s">
        <v>987</v>
      </c>
      <c r="AA452" t="s">
        <v>987</v>
      </c>
      <c r="AB452" t="s">
        <v>987</v>
      </c>
    </row>
    <row r="453" spans="1:28" x14ac:dyDescent="0.3">
      <c r="A453">
        <v>452</v>
      </c>
      <c r="B453" t="s">
        <v>336</v>
      </c>
      <c r="C453">
        <v>18600000</v>
      </c>
      <c r="D453">
        <v>6047584292</v>
      </c>
      <c r="E453" t="s">
        <v>988</v>
      </c>
      <c r="F453" t="s">
        <v>336</v>
      </c>
      <c r="G453">
        <v>4487</v>
      </c>
      <c r="H453" t="s">
        <v>978</v>
      </c>
      <c r="I453" t="s">
        <v>979</v>
      </c>
      <c r="J453" t="s">
        <v>1044</v>
      </c>
      <c r="K453">
        <v>1033</v>
      </c>
      <c r="L453">
        <v>81</v>
      </c>
      <c r="M453">
        <v>24</v>
      </c>
      <c r="N453">
        <v>102431000</v>
      </c>
      <c r="O453">
        <v>25600</v>
      </c>
      <c r="P453">
        <v>409700</v>
      </c>
      <c r="Q453">
        <v>307300</v>
      </c>
      <c r="R453">
        <v>4900000</v>
      </c>
      <c r="S453">
        <v>200000</v>
      </c>
      <c r="T453">
        <v>2007</v>
      </c>
      <c r="U453" t="s">
        <v>1003</v>
      </c>
      <c r="V453">
        <v>31</v>
      </c>
      <c r="W453">
        <v>28.1</v>
      </c>
      <c r="X453">
        <v>1366417754</v>
      </c>
      <c r="Y453">
        <v>5.36</v>
      </c>
      <c r="Z453">
        <v>471031528</v>
      </c>
      <c r="AA453">
        <v>20.593684</v>
      </c>
      <c r="AB453">
        <v>78.962879999999998</v>
      </c>
    </row>
    <row r="454" spans="1:28" x14ac:dyDescent="0.3">
      <c r="A454">
        <v>453</v>
      </c>
      <c r="B454" t="s">
        <v>522</v>
      </c>
      <c r="C454">
        <v>18600000</v>
      </c>
      <c r="D454">
        <v>7008250496</v>
      </c>
      <c r="E454" t="s">
        <v>987</v>
      </c>
      <c r="F454" t="s">
        <v>522</v>
      </c>
      <c r="G454">
        <v>457</v>
      </c>
      <c r="H454" t="s">
        <v>984</v>
      </c>
      <c r="I454" t="s">
        <v>985</v>
      </c>
      <c r="J454" t="s">
        <v>988</v>
      </c>
      <c r="K454">
        <v>830</v>
      </c>
      <c r="L454">
        <v>118</v>
      </c>
      <c r="M454">
        <v>115</v>
      </c>
      <c r="N454">
        <v>43396000</v>
      </c>
      <c r="O454">
        <v>10800</v>
      </c>
      <c r="P454">
        <v>173600</v>
      </c>
      <c r="Q454">
        <v>130200</v>
      </c>
      <c r="R454">
        <v>2100000</v>
      </c>
      <c r="S454">
        <v>200000</v>
      </c>
      <c r="T454">
        <v>2019</v>
      </c>
      <c r="U454" t="s">
        <v>1008</v>
      </c>
      <c r="V454">
        <v>19</v>
      </c>
      <c r="W454">
        <v>88.2</v>
      </c>
      <c r="X454">
        <v>328239523</v>
      </c>
      <c r="Y454">
        <v>14.7</v>
      </c>
      <c r="Z454">
        <v>270663028</v>
      </c>
      <c r="AA454">
        <v>37.090240000000001</v>
      </c>
      <c r="AB454">
        <v>-95.712890999999999</v>
      </c>
    </row>
    <row r="455" spans="1:28" x14ac:dyDescent="0.3">
      <c r="A455">
        <v>454</v>
      </c>
      <c r="B455" t="s">
        <v>224</v>
      </c>
      <c r="C455">
        <v>18600000</v>
      </c>
      <c r="D455">
        <v>20196704276</v>
      </c>
      <c r="E455" t="s">
        <v>977</v>
      </c>
      <c r="F455" t="s">
        <v>224</v>
      </c>
      <c r="G455">
        <v>6287</v>
      </c>
      <c r="H455" t="s">
        <v>1048</v>
      </c>
      <c r="I455" t="s">
        <v>1049</v>
      </c>
      <c r="J455" t="s">
        <v>977</v>
      </c>
      <c r="K455">
        <v>121</v>
      </c>
      <c r="L455">
        <v>5</v>
      </c>
      <c r="M455">
        <v>101</v>
      </c>
      <c r="N455">
        <v>168597000</v>
      </c>
      <c r="O455">
        <v>42100</v>
      </c>
      <c r="P455">
        <v>674400</v>
      </c>
      <c r="Q455">
        <v>505800</v>
      </c>
      <c r="R455">
        <v>8100000</v>
      </c>
      <c r="S455">
        <v>100000</v>
      </c>
      <c r="T455">
        <v>2014</v>
      </c>
      <c r="U455" t="s">
        <v>1003</v>
      </c>
      <c r="V455">
        <v>15</v>
      </c>
      <c r="W455">
        <v>49.3</v>
      </c>
      <c r="X455">
        <v>69625582</v>
      </c>
      <c r="Y455">
        <v>0.75</v>
      </c>
      <c r="Z455">
        <v>35294600</v>
      </c>
      <c r="AA455">
        <v>15.870032</v>
      </c>
      <c r="AB455">
        <v>100.992541</v>
      </c>
    </row>
    <row r="456" spans="1:28" x14ac:dyDescent="0.3">
      <c r="A456">
        <v>455</v>
      </c>
      <c r="B456" t="s">
        <v>1170</v>
      </c>
      <c r="C456">
        <v>18600000</v>
      </c>
      <c r="D456">
        <v>8761255550</v>
      </c>
      <c r="E456" t="s">
        <v>996</v>
      </c>
      <c r="F456" t="s">
        <v>1171</v>
      </c>
      <c r="G456">
        <v>6289</v>
      </c>
      <c r="H456" t="s">
        <v>1071</v>
      </c>
      <c r="I456" t="s">
        <v>1072</v>
      </c>
      <c r="J456" t="s">
        <v>986</v>
      </c>
      <c r="K456">
        <v>566</v>
      </c>
      <c r="L456">
        <v>3</v>
      </c>
      <c r="M456">
        <v>31</v>
      </c>
      <c r="N456">
        <v>43007000</v>
      </c>
      <c r="O456">
        <v>10800</v>
      </c>
      <c r="P456">
        <v>172000</v>
      </c>
      <c r="Q456">
        <v>129000</v>
      </c>
      <c r="R456">
        <v>2100000</v>
      </c>
      <c r="S456">
        <v>500000</v>
      </c>
      <c r="T456">
        <v>2013</v>
      </c>
      <c r="U456" t="s">
        <v>1029</v>
      </c>
      <c r="V456">
        <v>29</v>
      </c>
      <c r="W456">
        <v>68</v>
      </c>
      <c r="X456">
        <v>34268528</v>
      </c>
      <c r="Y456">
        <v>5.93</v>
      </c>
      <c r="Z456">
        <v>28807838</v>
      </c>
      <c r="AA456">
        <v>23.885942</v>
      </c>
      <c r="AB456">
        <v>45.079161999999997</v>
      </c>
    </row>
    <row r="457" spans="1:28" x14ac:dyDescent="0.3">
      <c r="A457">
        <v>456</v>
      </c>
      <c r="B457" t="s">
        <v>926</v>
      </c>
      <c r="C457">
        <v>18500000</v>
      </c>
      <c r="D457">
        <v>2908120896</v>
      </c>
      <c r="E457" t="s">
        <v>977</v>
      </c>
      <c r="F457" t="s">
        <v>926</v>
      </c>
      <c r="G457">
        <v>1329</v>
      </c>
      <c r="H457" t="s">
        <v>1019</v>
      </c>
      <c r="I457" t="s">
        <v>1020</v>
      </c>
      <c r="J457" t="s">
        <v>977</v>
      </c>
      <c r="K457">
        <v>45213</v>
      </c>
      <c r="L457">
        <v>24</v>
      </c>
      <c r="M457">
        <v>102</v>
      </c>
      <c r="N457">
        <v>6148000000</v>
      </c>
      <c r="O457">
        <v>0</v>
      </c>
      <c r="P457">
        <v>0</v>
      </c>
      <c r="Q457">
        <v>0</v>
      </c>
      <c r="R457">
        <v>0</v>
      </c>
      <c r="S457">
        <v>100000</v>
      </c>
      <c r="T457">
        <v>2007</v>
      </c>
      <c r="U457" t="s">
        <v>991</v>
      </c>
      <c r="V457">
        <v>22</v>
      </c>
      <c r="W457">
        <v>51.3</v>
      </c>
      <c r="X457">
        <v>212559417</v>
      </c>
      <c r="Y457">
        <v>12.08</v>
      </c>
      <c r="Z457">
        <v>183241641</v>
      </c>
      <c r="AA457">
        <v>-14.235004</v>
      </c>
      <c r="AB457">
        <v>-51.925280000000001</v>
      </c>
    </row>
    <row r="458" spans="1:28" x14ac:dyDescent="0.3">
      <c r="A458">
        <v>457</v>
      </c>
      <c r="B458" t="s">
        <v>557</v>
      </c>
      <c r="C458">
        <v>18500000</v>
      </c>
      <c r="D458">
        <v>3457618361</v>
      </c>
      <c r="E458" t="s">
        <v>996</v>
      </c>
      <c r="F458" t="s">
        <v>557</v>
      </c>
      <c r="G458">
        <v>374</v>
      </c>
      <c r="H458" t="s">
        <v>1000</v>
      </c>
      <c r="I458" t="s">
        <v>1001</v>
      </c>
      <c r="J458" t="s">
        <v>986</v>
      </c>
      <c r="K458">
        <v>2356</v>
      </c>
      <c r="L458">
        <v>5</v>
      </c>
      <c r="M458">
        <v>32</v>
      </c>
      <c r="N458">
        <v>38282000</v>
      </c>
      <c r="O458">
        <v>9600</v>
      </c>
      <c r="P458">
        <v>153100</v>
      </c>
      <c r="Q458">
        <v>114800</v>
      </c>
      <c r="R458">
        <v>1800000</v>
      </c>
      <c r="S458">
        <v>100000</v>
      </c>
      <c r="T458">
        <v>2008</v>
      </c>
      <c r="U458" t="s">
        <v>999</v>
      </c>
      <c r="V458">
        <v>27</v>
      </c>
      <c r="W458">
        <v>81.900000000000006</v>
      </c>
      <c r="X458">
        <v>144373535</v>
      </c>
      <c r="Y458">
        <v>4.59</v>
      </c>
      <c r="Z458">
        <v>107683889</v>
      </c>
      <c r="AA458">
        <v>61.524009999999997</v>
      </c>
      <c r="AB458">
        <v>105.31875599999999</v>
      </c>
    </row>
    <row r="459" spans="1:28" x14ac:dyDescent="0.3">
      <c r="A459">
        <v>458</v>
      </c>
      <c r="B459" t="s">
        <v>774</v>
      </c>
      <c r="C459">
        <v>18500000</v>
      </c>
      <c r="D459">
        <v>4558380251</v>
      </c>
      <c r="E459" t="s">
        <v>994</v>
      </c>
      <c r="F459" t="s">
        <v>774</v>
      </c>
      <c r="G459">
        <v>712</v>
      </c>
      <c r="H459" t="s">
        <v>987</v>
      </c>
      <c r="I459" t="s">
        <v>987</v>
      </c>
      <c r="J459" t="s">
        <v>1002</v>
      </c>
      <c r="K459">
        <v>1572</v>
      </c>
      <c r="L459" t="s">
        <v>987</v>
      </c>
      <c r="M459">
        <v>25</v>
      </c>
      <c r="N459">
        <v>2835000</v>
      </c>
      <c r="O459">
        <v>709</v>
      </c>
      <c r="P459">
        <v>11300</v>
      </c>
      <c r="Q459">
        <v>8500</v>
      </c>
      <c r="R459">
        <v>136100</v>
      </c>
      <c r="S459" t="s">
        <v>987</v>
      </c>
      <c r="T459">
        <v>2016</v>
      </c>
      <c r="U459" t="s">
        <v>1003</v>
      </c>
      <c r="V459">
        <v>10</v>
      </c>
      <c r="W459" t="s">
        <v>987</v>
      </c>
      <c r="X459" t="s">
        <v>987</v>
      </c>
      <c r="Y459" t="s">
        <v>987</v>
      </c>
      <c r="Z459" t="s">
        <v>987</v>
      </c>
      <c r="AA459" t="s">
        <v>987</v>
      </c>
      <c r="AB459" t="s">
        <v>987</v>
      </c>
    </row>
    <row r="460" spans="1:28" x14ac:dyDescent="0.3">
      <c r="A460">
        <v>459</v>
      </c>
      <c r="B460" t="s">
        <v>502</v>
      </c>
      <c r="C460">
        <v>18500000</v>
      </c>
      <c r="D460">
        <v>8147575884</v>
      </c>
      <c r="E460" t="s">
        <v>994</v>
      </c>
      <c r="F460" t="s">
        <v>502</v>
      </c>
      <c r="G460">
        <v>493</v>
      </c>
      <c r="H460" t="s">
        <v>1000</v>
      </c>
      <c r="I460" t="s">
        <v>1001</v>
      </c>
      <c r="J460" t="s">
        <v>1002</v>
      </c>
      <c r="K460">
        <v>630</v>
      </c>
      <c r="L460">
        <v>5</v>
      </c>
      <c r="M460">
        <v>25</v>
      </c>
      <c r="N460">
        <v>48947000</v>
      </c>
      <c r="O460">
        <v>12200</v>
      </c>
      <c r="P460">
        <v>195800</v>
      </c>
      <c r="Q460">
        <v>146800</v>
      </c>
      <c r="R460">
        <v>2300000</v>
      </c>
      <c r="S460">
        <v>100000</v>
      </c>
      <c r="T460">
        <v>2016</v>
      </c>
      <c r="U460" t="s">
        <v>1003</v>
      </c>
      <c r="V460">
        <v>14</v>
      </c>
      <c r="W460">
        <v>81.900000000000006</v>
      </c>
      <c r="X460">
        <v>144373535</v>
      </c>
      <c r="Y460">
        <v>4.59</v>
      </c>
      <c r="Z460">
        <v>107683889</v>
      </c>
      <c r="AA460">
        <v>61.524009999999997</v>
      </c>
      <c r="AB460">
        <v>105.31875599999999</v>
      </c>
    </row>
    <row r="461" spans="1:28" x14ac:dyDescent="0.3">
      <c r="A461">
        <v>460</v>
      </c>
      <c r="B461" t="s">
        <v>185</v>
      </c>
      <c r="C461">
        <v>18500000</v>
      </c>
      <c r="D461">
        <v>4051072188</v>
      </c>
      <c r="E461" t="s">
        <v>994</v>
      </c>
      <c r="F461" t="s">
        <v>185</v>
      </c>
      <c r="G461">
        <v>679</v>
      </c>
      <c r="H461" t="s">
        <v>1081</v>
      </c>
      <c r="I461" t="s">
        <v>1082</v>
      </c>
      <c r="J461" t="s">
        <v>1002</v>
      </c>
      <c r="K461">
        <v>1868</v>
      </c>
      <c r="L461">
        <v>13</v>
      </c>
      <c r="M461">
        <v>25</v>
      </c>
      <c r="N461">
        <v>197369000</v>
      </c>
      <c r="O461">
        <v>49300</v>
      </c>
      <c r="P461">
        <v>789500</v>
      </c>
      <c r="Q461">
        <v>592100</v>
      </c>
      <c r="R461">
        <v>9500000</v>
      </c>
      <c r="S461">
        <v>1600000</v>
      </c>
      <c r="T461">
        <v>2014</v>
      </c>
      <c r="U461" t="s">
        <v>1003</v>
      </c>
      <c r="V461">
        <v>6</v>
      </c>
      <c r="W461">
        <v>36.299999999999997</v>
      </c>
      <c r="X461">
        <v>270203917</v>
      </c>
      <c r="Y461">
        <v>4.6900000000000004</v>
      </c>
      <c r="Z461">
        <v>151509724</v>
      </c>
      <c r="AA461">
        <v>-0.78927499999999995</v>
      </c>
      <c r="AB461">
        <v>113.92132700000001</v>
      </c>
    </row>
    <row r="462" spans="1:28" x14ac:dyDescent="0.3">
      <c r="A462">
        <v>461</v>
      </c>
      <c r="B462" t="s">
        <v>696</v>
      </c>
      <c r="C462">
        <v>18400000</v>
      </c>
      <c r="D462">
        <v>4120324310</v>
      </c>
      <c r="E462" t="s">
        <v>988</v>
      </c>
      <c r="F462" t="s">
        <v>696</v>
      </c>
      <c r="G462">
        <v>111</v>
      </c>
      <c r="H462" t="s">
        <v>984</v>
      </c>
      <c r="I462" t="s">
        <v>985</v>
      </c>
      <c r="J462" t="s">
        <v>988</v>
      </c>
      <c r="K462">
        <v>1825</v>
      </c>
      <c r="L462">
        <v>120</v>
      </c>
      <c r="M462">
        <v>116</v>
      </c>
      <c r="N462">
        <v>14430000</v>
      </c>
      <c r="O462">
        <v>3600</v>
      </c>
      <c r="P462">
        <v>57700</v>
      </c>
      <c r="Q462">
        <v>43300</v>
      </c>
      <c r="R462">
        <v>692600</v>
      </c>
      <c r="S462" t="s">
        <v>987</v>
      </c>
      <c r="T462">
        <v>2009</v>
      </c>
      <c r="U462" t="s">
        <v>1015</v>
      </c>
      <c r="V462">
        <v>21</v>
      </c>
      <c r="W462">
        <v>88.2</v>
      </c>
      <c r="X462">
        <v>328239523</v>
      </c>
      <c r="Y462">
        <v>14.7</v>
      </c>
      <c r="Z462">
        <v>270663028</v>
      </c>
      <c r="AA462">
        <v>37.090240000000001</v>
      </c>
      <c r="AB462">
        <v>-95.712890999999999</v>
      </c>
    </row>
    <row r="463" spans="1:28" x14ac:dyDescent="0.3">
      <c r="A463">
        <v>462</v>
      </c>
      <c r="B463" t="s">
        <v>719</v>
      </c>
      <c r="C463">
        <v>18400000</v>
      </c>
      <c r="D463">
        <v>7038827526</v>
      </c>
      <c r="E463" t="s">
        <v>1044</v>
      </c>
      <c r="F463" t="s">
        <v>719</v>
      </c>
      <c r="G463">
        <v>6943</v>
      </c>
      <c r="H463" t="s">
        <v>1065</v>
      </c>
      <c r="I463" t="s">
        <v>1066</v>
      </c>
      <c r="J463" t="s">
        <v>986</v>
      </c>
      <c r="K463">
        <v>825</v>
      </c>
      <c r="L463">
        <v>7</v>
      </c>
      <c r="M463">
        <v>33</v>
      </c>
      <c r="N463">
        <v>11004000</v>
      </c>
      <c r="O463">
        <v>2800</v>
      </c>
      <c r="P463">
        <v>44000</v>
      </c>
      <c r="Q463">
        <v>33000</v>
      </c>
      <c r="R463">
        <v>528200</v>
      </c>
      <c r="S463" t="s">
        <v>987</v>
      </c>
      <c r="T463">
        <v>2011</v>
      </c>
      <c r="U463" t="s">
        <v>1003</v>
      </c>
      <c r="V463">
        <v>26</v>
      </c>
      <c r="W463">
        <v>88.9</v>
      </c>
      <c r="X463">
        <v>47076781</v>
      </c>
      <c r="Y463">
        <v>13.96</v>
      </c>
      <c r="Z463">
        <v>37927409</v>
      </c>
      <c r="AA463">
        <v>40.463667000000001</v>
      </c>
      <c r="AB463">
        <v>-3.7492200000000002</v>
      </c>
    </row>
    <row r="464" spans="1:28" x14ac:dyDescent="0.3">
      <c r="A464">
        <v>463</v>
      </c>
      <c r="B464" t="s">
        <v>470</v>
      </c>
      <c r="C464">
        <v>18400000</v>
      </c>
      <c r="D464">
        <v>11544297793</v>
      </c>
      <c r="E464" t="s">
        <v>977</v>
      </c>
      <c r="F464" t="s">
        <v>470</v>
      </c>
      <c r="G464">
        <v>3159</v>
      </c>
      <c r="H464" t="s">
        <v>1048</v>
      </c>
      <c r="I464" t="s">
        <v>1049</v>
      </c>
      <c r="J464" t="s">
        <v>977</v>
      </c>
      <c r="K464">
        <v>346</v>
      </c>
      <c r="L464">
        <v>6</v>
      </c>
      <c r="M464">
        <v>103</v>
      </c>
      <c r="N464">
        <v>54133000</v>
      </c>
      <c r="O464">
        <v>13500</v>
      </c>
      <c r="P464">
        <v>216500</v>
      </c>
      <c r="Q464">
        <v>162400</v>
      </c>
      <c r="R464">
        <v>2600000</v>
      </c>
      <c r="S464">
        <v>100000</v>
      </c>
      <c r="T464">
        <v>2011</v>
      </c>
      <c r="U464" t="s">
        <v>980</v>
      </c>
      <c r="V464">
        <v>8</v>
      </c>
      <c r="W464">
        <v>49.3</v>
      </c>
      <c r="X464">
        <v>69625582</v>
      </c>
      <c r="Y464">
        <v>0.75</v>
      </c>
      <c r="Z464">
        <v>35294600</v>
      </c>
      <c r="AA464">
        <v>15.870032</v>
      </c>
      <c r="AB464">
        <v>100.992541</v>
      </c>
    </row>
    <row r="465" spans="1:28" x14ac:dyDescent="0.3">
      <c r="A465">
        <v>464</v>
      </c>
      <c r="B465" t="s">
        <v>928</v>
      </c>
      <c r="C465">
        <v>18400000</v>
      </c>
      <c r="D465">
        <v>11280732382</v>
      </c>
      <c r="E465" t="s">
        <v>994</v>
      </c>
      <c r="F465" t="s">
        <v>1172</v>
      </c>
      <c r="G465">
        <v>0</v>
      </c>
      <c r="H465" t="s">
        <v>987</v>
      </c>
      <c r="I465" t="s">
        <v>987</v>
      </c>
      <c r="J465" t="s">
        <v>987</v>
      </c>
      <c r="K465">
        <v>4057944</v>
      </c>
      <c r="L465" t="s">
        <v>987</v>
      </c>
      <c r="M465" t="s">
        <v>987</v>
      </c>
      <c r="N465" t="s">
        <v>987</v>
      </c>
      <c r="O465">
        <v>0</v>
      </c>
      <c r="P465">
        <v>0</v>
      </c>
      <c r="Q465">
        <v>0</v>
      </c>
      <c r="R465">
        <v>0</v>
      </c>
      <c r="S465">
        <v>2</v>
      </c>
      <c r="T465">
        <v>2007</v>
      </c>
      <c r="U465" t="s">
        <v>999</v>
      </c>
      <c r="V465">
        <v>25</v>
      </c>
      <c r="W465" t="s">
        <v>987</v>
      </c>
      <c r="X465" t="s">
        <v>987</v>
      </c>
      <c r="Y465" t="s">
        <v>987</v>
      </c>
      <c r="Z465" t="s">
        <v>987</v>
      </c>
      <c r="AA465" t="s">
        <v>987</v>
      </c>
      <c r="AB465" t="s">
        <v>987</v>
      </c>
    </row>
    <row r="466" spans="1:28" x14ac:dyDescent="0.3">
      <c r="A466">
        <v>465</v>
      </c>
      <c r="B466" t="s">
        <v>138</v>
      </c>
      <c r="C466">
        <v>18400000</v>
      </c>
      <c r="D466">
        <v>25367126292</v>
      </c>
      <c r="E466" t="s">
        <v>977</v>
      </c>
      <c r="F466" t="s">
        <v>138</v>
      </c>
      <c r="G466">
        <v>197</v>
      </c>
      <c r="H466" t="s">
        <v>984</v>
      </c>
      <c r="I466" t="s">
        <v>985</v>
      </c>
      <c r="J466" t="s">
        <v>977</v>
      </c>
      <c r="K466">
        <v>72</v>
      </c>
      <c r="L466">
        <v>120</v>
      </c>
      <c r="M466">
        <v>103</v>
      </c>
      <c r="N466">
        <v>267126000</v>
      </c>
      <c r="O466">
        <v>66800</v>
      </c>
      <c r="P466">
        <v>1100000</v>
      </c>
      <c r="Q466">
        <v>801400</v>
      </c>
      <c r="R466">
        <v>12800000</v>
      </c>
      <c r="S466" t="s">
        <v>987</v>
      </c>
      <c r="T466">
        <v>2009</v>
      </c>
      <c r="U466" t="s">
        <v>991</v>
      </c>
      <c r="V466">
        <v>2</v>
      </c>
      <c r="W466">
        <v>88.2</v>
      </c>
      <c r="X466">
        <v>328239523</v>
      </c>
      <c r="Y466">
        <v>14.7</v>
      </c>
      <c r="Z466">
        <v>270663028</v>
      </c>
      <c r="AA466">
        <v>37.090240000000001</v>
      </c>
      <c r="AB466">
        <v>-95.712890999999999</v>
      </c>
    </row>
    <row r="467" spans="1:28" x14ac:dyDescent="0.3">
      <c r="A467">
        <v>466</v>
      </c>
      <c r="B467" t="s">
        <v>677</v>
      </c>
      <c r="C467">
        <v>18300000</v>
      </c>
      <c r="D467">
        <v>1606834186</v>
      </c>
      <c r="E467" t="s">
        <v>994</v>
      </c>
      <c r="F467" t="s">
        <v>677</v>
      </c>
      <c r="G467">
        <v>786</v>
      </c>
      <c r="H467" t="s">
        <v>1081</v>
      </c>
      <c r="I467" t="s">
        <v>1082</v>
      </c>
      <c r="J467" t="s">
        <v>988</v>
      </c>
      <c r="K467">
        <v>6502</v>
      </c>
      <c r="L467">
        <v>14</v>
      </c>
      <c r="M467">
        <v>117</v>
      </c>
      <c r="N467">
        <v>17063000</v>
      </c>
      <c r="O467">
        <v>4300</v>
      </c>
      <c r="P467">
        <v>68300</v>
      </c>
      <c r="Q467">
        <v>51200</v>
      </c>
      <c r="R467">
        <v>819000</v>
      </c>
      <c r="S467" t="s">
        <v>987</v>
      </c>
      <c r="T467">
        <v>2017</v>
      </c>
      <c r="U467" t="s">
        <v>1015</v>
      </c>
      <c r="V467">
        <v>8</v>
      </c>
      <c r="W467">
        <v>36.299999999999997</v>
      </c>
      <c r="X467">
        <v>270203917</v>
      </c>
      <c r="Y467">
        <v>4.6900000000000004</v>
      </c>
      <c r="Z467">
        <v>151509724</v>
      </c>
      <c r="AA467">
        <v>-0.78927499999999995</v>
      </c>
      <c r="AB467">
        <v>113.92132700000001</v>
      </c>
    </row>
    <row r="468" spans="1:28" x14ac:dyDescent="0.3">
      <c r="A468">
        <v>467</v>
      </c>
      <c r="B468" t="s">
        <v>288</v>
      </c>
      <c r="C468">
        <v>18300000</v>
      </c>
      <c r="D468">
        <v>7760819588</v>
      </c>
      <c r="E468" t="s">
        <v>988</v>
      </c>
      <c r="F468" t="s">
        <v>288</v>
      </c>
      <c r="G468">
        <v>142</v>
      </c>
      <c r="H468" t="s">
        <v>984</v>
      </c>
      <c r="I468" t="s">
        <v>985</v>
      </c>
      <c r="J468" t="s">
        <v>988</v>
      </c>
      <c r="K468">
        <v>696</v>
      </c>
      <c r="L468">
        <v>121</v>
      </c>
      <c r="M468">
        <v>117</v>
      </c>
      <c r="N468">
        <v>127982000</v>
      </c>
      <c r="O468">
        <v>32000</v>
      </c>
      <c r="P468">
        <v>511900</v>
      </c>
      <c r="Q468">
        <v>383900</v>
      </c>
      <c r="R468">
        <v>6100000</v>
      </c>
      <c r="S468">
        <v>100000</v>
      </c>
      <c r="T468">
        <v>2009</v>
      </c>
      <c r="U468" t="s">
        <v>991</v>
      </c>
      <c r="V468">
        <v>15</v>
      </c>
      <c r="W468">
        <v>88.2</v>
      </c>
      <c r="X468">
        <v>328239523</v>
      </c>
      <c r="Y468">
        <v>14.7</v>
      </c>
      <c r="Z468">
        <v>270663028</v>
      </c>
      <c r="AA468">
        <v>37.090240000000001</v>
      </c>
      <c r="AB468">
        <v>-95.712890999999999</v>
      </c>
    </row>
    <row r="469" spans="1:28" x14ac:dyDescent="0.3">
      <c r="A469">
        <v>468</v>
      </c>
      <c r="B469" t="s">
        <v>265</v>
      </c>
      <c r="C469">
        <v>18300000</v>
      </c>
      <c r="D469">
        <v>1556003039</v>
      </c>
      <c r="E469" t="s">
        <v>996</v>
      </c>
      <c r="F469" t="s">
        <v>265</v>
      </c>
      <c r="G469">
        <v>1324</v>
      </c>
      <c r="H469" t="s">
        <v>984</v>
      </c>
      <c r="I469" t="s">
        <v>985</v>
      </c>
      <c r="J469" t="s">
        <v>986</v>
      </c>
      <c r="K469">
        <v>6734</v>
      </c>
      <c r="L469">
        <v>120</v>
      </c>
      <c r="M469">
        <v>33</v>
      </c>
      <c r="N469">
        <v>140261000</v>
      </c>
      <c r="O469">
        <v>35100</v>
      </c>
      <c r="P469">
        <v>561000</v>
      </c>
      <c r="Q469">
        <v>420800</v>
      </c>
      <c r="R469">
        <v>6700000</v>
      </c>
      <c r="S469">
        <v>800000</v>
      </c>
      <c r="T469">
        <v>2016</v>
      </c>
      <c r="U469" t="s">
        <v>980</v>
      </c>
      <c r="V469">
        <v>21</v>
      </c>
      <c r="W469">
        <v>88.2</v>
      </c>
      <c r="X469">
        <v>328239523</v>
      </c>
      <c r="Y469">
        <v>14.7</v>
      </c>
      <c r="Z469">
        <v>270663028</v>
      </c>
      <c r="AA469">
        <v>37.090240000000001</v>
      </c>
      <c r="AB469">
        <v>-95.712890999999999</v>
      </c>
    </row>
    <row r="470" spans="1:28" x14ac:dyDescent="0.3">
      <c r="A470">
        <v>469</v>
      </c>
      <c r="B470" t="s">
        <v>1173</v>
      </c>
      <c r="C470">
        <v>18300000</v>
      </c>
      <c r="D470">
        <v>8798044678</v>
      </c>
      <c r="E470" t="s">
        <v>988</v>
      </c>
      <c r="F470" t="s">
        <v>1174</v>
      </c>
      <c r="G470">
        <v>0</v>
      </c>
      <c r="H470" t="s">
        <v>987</v>
      </c>
      <c r="I470" t="s">
        <v>987</v>
      </c>
      <c r="J470" t="s">
        <v>987</v>
      </c>
      <c r="K470">
        <v>3612215</v>
      </c>
      <c r="L470">
        <v>3305</v>
      </c>
      <c r="M470" t="s">
        <v>987</v>
      </c>
      <c r="N470" t="s">
        <v>987</v>
      </c>
      <c r="O470">
        <v>0</v>
      </c>
      <c r="P470">
        <v>0</v>
      </c>
      <c r="Q470">
        <v>0</v>
      </c>
      <c r="R470">
        <v>0</v>
      </c>
      <c r="S470" t="s">
        <v>987</v>
      </c>
      <c r="T470" t="s">
        <v>987</v>
      </c>
      <c r="U470" t="s">
        <v>987</v>
      </c>
      <c r="V470" t="s">
        <v>987</v>
      </c>
      <c r="W470" t="s">
        <v>987</v>
      </c>
      <c r="X470" t="s">
        <v>987</v>
      </c>
      <c r="Y470" t="s">
        <v>987</v>
      </c>
      <c r="Z470" t="s">
        <v>987</v>
      </c>
      <c r="AA470" t="s">
        <v>987</v>
      </c>
      <c r="AB470" t="s">
        <v>987</v>
      </c>
    </row>
    <row r="471" spans="1:28" x14ac:dyDescent="0.3">
      <c r="A471">
        <v>470</v>
      </c>
      <c r="B471" t="s">
        <v>66</v>
      </c>
      <c r="C471">
        <v>18200000</v>
      </c>
      <c r="D471">
        <v>9937823152</v>
      </c>
      <c r="E471" t="s">
        <v>994</v>
      </c>
      <c r="F471" t="s">
        <v>66</v>
      </c>
      <c r="G471">
        <v>442</v>
      </c>
      <c r="H471" t="s">
        <v>987</v>
      </c>
      <c r="I471" t="s">
        <v>987</v>
      </c>
      <c r="J471" t="s">
        <v>1002</v>
      </c>
      <c r="K471">
        <v>452</v>
      </c>
      <c r="L471" t="s">
        <v>987</v>
      </c>
      <c r="M471">
        <v>27</v>
      </c>
      <c r="N471">
        <v>467848000</v>
      </c>
      <c r="O471">
        <v>117000</v>
      </c>
      <c r="P471">
        <v>1900000</v>
      </c>
      <c r="Q471">
        <v>1400000</v>
      </c>
      <c r="R471">
        <v>22500000</v>
      </c>
      <c r="S471">
        <v>1000000</v>
      </c>
      <c r="T471">
        <v>2019</v>
      </c>
      <c r="U471" t="s">
        <v>1003</v>
      </c>
      <c r="V471">
        <v>25</v>
      </c>
      <c r="W471" t="s">
        <v>987</v>
      </c>
      <c r="X471" t="s">
        <v>987</v>
      </c>
      <c r="Y471" t="s">
        <v>987</v>
      </c>
      <c r="Z471" t="s">
        <v>987</v>
      </c>
      <c r="AA471" t="s">
        <v>987</v>
      </c>
      <c r="AB471" t="s">
        <v>987</v>
      </c>
    </row>
    <row r="472" spans="1:28" x14ac:dyDescent="0.3">
      <c r="A472">
        <v>471</v>
      </c>
      <c r="B472" t="s">
        <v>668</v>
      </c>
      <c r="C472">
        <v>18200000</v>
      </c>
      <c r="D472">
        <v>3213324455</v>
      </c>
      <c r="E472" t="s">
        <v>994</v>
      </c>
      <c r="F472" t="s">
        <v>668</v>
      </c>
      <c r="G472">
        <v>6903</v>
      </c>
      <c r="H472" t="s">
        <v>1019</v>
      </c>
      <c r="I472" t="s">
        <v>1020</v>
      </c>
      <c r="J472" t="s">
        <v>1053</v>
      </c>
      <c r="K472">
        <v>2610</v>
      </c>
      <c r="L472">
        <v>25</v>
      </c>
      <c r="M472">
        <v>15</v>
      </c>
      <c r="N472">
        <v>18045000</v>
      </c>
      <c r="O472">
        <v>4500</v>
      </c>
      <c r="P472">
        <v>72200</v>
      </c>
      <c r="Q472">
        <v>54100</v>
      </c>
      <c r="R472">
        <v>866200</v>
      </c>
      <c r="S472" t="s">
        <v>987</v>
      </c>
      <c r="T472">
        <v>2017</v>
      </c>
      <c r="U472" t="s">
        <v>1008</v>
      </c>
      <c r="V472">
        <v>20</v>
      </c>
      <c r="W472">
        <v>51.3</v>
      </c>
      <c r="X472">
        <v>212559417</v>
      </c>
      <c r="Y472">
        <v>12.08</v>
      </c>
      <c r="Z472">
        <v>183241641</v>
      </c>
      <c r="AA472">
        <v>-14.235004</v>
      </c>
      <c r="AB472">
        <v>-51.925280000000001</v>
      </c>
    </row>
    <row r="473" spans="1:28" x14ac:dyDescent="0.3">
      <c r="A473">
        <v>472</v>
      </c>
      <c r="B473" t="s">
        <v>59</v>
      </c>
      <c r="C473">
        <v>18100000</v>
      </c>
      <c r="D473">
        <v>13378360425</v>
      </c>
      <c r="E473" t="s">
        <v>988</v>
      </c>
      <c r="F473" t="s">
        <v>59</v>
      </c>
      <c r="G473">
        <v>420</v>
      </c>
      <c r="H473" t="s">
        <v>984</v>
      </c>
      <c r="I473" t="s">
        <v>985</v>
      </c>
      <c r="J473" t="s">
        <v>988</v>
      </c>
      <c r="K473">
        <v>274</v>
      </c>
      <c r="L473">
        <v>122</v>
      </c>
      <c r="M473">
        <v>118</v>
      </c>
      <c r="N473">
        <v>497044000</v>
      </c>
      <c r="O473">
        <v>124300</v>
      </c>
      <c r="P473">
        <v>2000000</v>
      </c>
      <c r="Q473">
        <v>1500000</v>
      </c>
      <c r="R473">
        <v>23900000</v>
      </c>
      <c r="S473">
        <v>700000</v>
      </c>
      <c r="T473">
        <v>2012</v>
      </c>
      <c r="U473" t="s">
        <v>1025</v>
      </c>
      <c r="V473">
        <v>13</v>
      </c>
      <c r="W473">
        <v>88.2</v>
      </c>
      <c r="X473">
        <v>328239523</v>
      </c>
      <c r="Y473">
        <v>14.7</v>
      </c>
      <c r="Z473">
        <v>270663028</v>
      </c>
      <c r="AA473">
        <v>37.090240000000001</v>
      </c>
      <c r="AB473">
        <v>-95.712890999999999</v>
      </c>
    </row>
    <row r="474" spans="1:28" x14ac:dyDescent="0.3">
      <c r="A474">
        <v>473</v>
      </c>
      <c r="B474" t="s">
        <v>625</v>
      </c>
      <c r="C474">
        <v>18100000</v>
      </c>
      <c r="D474">
        <v>3306242674</v>
      </c>
      <c r="E474" t="s">
        <v>988</v>
      </c>
      <c r="F474" t="s">
        <v>625</v>
      </c>
      <c r="G474">
        <v>1037</v>
      </c>
      <c r="H474" t="s">
        <v>1081</v>
      </c>
      <c r="I474" t="s">
        <v>1082</v>
      </c>
      <c r="J474" t="s">
        <v>988</v>
      </c>
      <c r="K474">
        <v>2498</v>
      </c>
      <c r="L474">
        <v>15</v>
      </c>
      <c r="M474">
        <v>119</v>
      </c>
      <c r="N474">
        <v>27312000</v>
      </c>
      <c r="O474">
        <v>6800</v>
      </c>
      <c r="P474">
        <v>109200</v>
      </c>
      <c r="Q474">
        <v>81900</v>
      </c>
      <c r="R474">
        <v>1300000</v>
      </c>
      <c r="S474" t="s">
        <v>987</v>
      </c>
      <c r="T474">
        <v>2015</v>
      </c>
      <c r="U474" t="s">
        <v>980</v>
      </c>
      <c r="V474">
        <v>4</v>
      </c>
      <c r="W474">
        <v>36.299999999999997</v>
      </c>
      <c r="X474">
        <v>270203917</v>
      </c>
      <c r="Y474">
        <v>4.6900000000000004</v>
      </c>
      <c r="Z474">
        <v>151509724</v>
      </c>
      <c r="AA474">
        <v>-0.78927499999999995</v>
      </c>
      <c r="AB474">
        <v>113.92132700000001</v>
      </c>
    </row>
    <row r="475" spans="1:28" x14ac:dyDescent="0.3">
      <c r="A475">
        <v>474</v>
      </c>
      <c r="B475" t="s">
        <v>497</v>
      </c>
      <c r="C475">
        <v>18100000</v>
      </c>
      <c r="D475">
        <v>9983065083</v>
      </c>
      <c r="E475" t="s">
        <v>996</v>
      </c>
      <c r="F475" t="s">
        <v>497</v>
      </c>
      <c r="G475">
        <v>1521</v>
      </c>
      <c r="H475" t="s">
        <v>1134</v>
      </c>
      <c r="I475" t="s">
        <v>1135</v>
      </c>
      <c r="J475" t="s">
        <v>988</v>
      </c>
      <c r="K475">
        <v>443</v>
      </c>
      <c r="L475">
        <v>1</v>
      </c>
      <c r="M475">
        <v>119</v>
      </c>
      <c r="N475">
        <v>48099000</v>
      </c>
      <c r="O475">
        <v>12000</v>
      </c>
      <c r="P475">
        <v>192400</v>
      </c>
      <c r="Q475">
        <v>144300</v>
      </c>
      <c r="R475">
        <v>2300000</v>
      </c>
      <c r="S475">
        <v>100000</v>
      </c>
      <c r="T475">
        <v>2011</v>
      </c>
      <c r="U475" t="s">
        <v>1003</v>
      </c>
      <c r="V475">
        <v>9</v>
      </c>
      <c r="W475">
        <v>65.599999999999994</v>
      </c>
      <c r="X475">
        <v>67059887</v>
      </c>
      <c r="Y475">
        <v>8.43</v>
      </c>
      <c r="Z475">
        <v>54123364</v>
      </c>
      <c r="AA475">
        <v>46.227637999999999</v>
      </c>
      <c r="AB475">
        <v>2.213749</v>
      </c>
    </row>
    <row r="476" spans="1:28" x14ac:dyDescent="0.3">
      <c r="A476">
        <v>475</v>
      </c>
      <c r="B476" t="s">
        <v>205</v>
      </c>
      <c r="C476">
        <v>18100000</v>
      </c>
      <c r="D476">
        <v>14857290259</v>
      </c>
      <c r="E476" t="s">
        <v>990</v>
      </c>
      <c r="F476" t="s">
        <v>205</v>
      </c>
      <c r="G476">
        <v>707</v>
      </c>
      <c r="H476" t="s">
        <v>984</v>
      </c>
      <c r="I476" t="s">
        <v>985</v>
      </c>
      <c r="J476" t="s">
        <v>990</v>
      </c>
      <c r="K476">
        <v>224</v>
      </c>
      <c r="L476">
        <v>123</v>
      </c>
      <c r="M476">
        <v>26</v>
      </c>
      <c r="N476">
        <v>180412000</v>
      </c>
      <c r="O476">
        <v>45100</v>
      </c>
      <c r="P476">
        <v>721600</v>
      </c>
      <c r="Q476">
        <v>541200</v>
      </c>
      <c r="R476">
        <v>8700000</v>
      </c>
      <c r="S476">
        <v>300000</v>
      </c>
      <c r="T476">
        <v>2014</v>
      </c>
      <c r="U476" t="s">
        <v>1003</v>
      </c>
      <c r="V476">
        <v>27</v>
      </c>
      <c r="W476">
        <v>88.2</v>
      </c>
      <c r="X476">
        <v>328239523</v>
      </c>
      <c r="Y476">
        <v>14.7</v>
      </c>
      <c r="Z476">
        <v>270663028</v>
      </c>
      <c r="AA476">
        <v>37.090240000000001</v>
      </c>
      <c r="AB476">
        <v>-95.712890999999999</v>
      </c>
    </row>
    <row r="477" spans="1:28" x14ac:dyDescent="0.3">
      <c r="A477">
        <v>476</v>
      </c>
      <c r="B477" t="s">
        <v>439</v>
      </c>
      <c r="C477">
        <v>18100000</v>
      </c>
      <c r="D477">
        <v>10703830496</v>
      </c>
      <c r="E477" t="s">
        <v>977</v>
      </c>
      <c r="F477" t="s">
        <v>439</v>
      </c>
      <c r="G477">
        <v>131</v>
      </c>
      <c r="H477" t="s">
        <v>1006</v>
      </c>
      <c r="I477" t="s">
        <v>1007</v>
      </c>
      <c r="J477" t="s">
        <v>977</v>
      </c>
      <c r="K477">
        <v>393</v>
      </c>
      <c r="L477">
        <v>10</v>
      </c>
      <c r="M477">
        <v>104</v>
      </c>
      <c r="N477">
        <v>64989000</v>
      </c>
      <c r="O477">
        <v>16200</v>
      </c>
      <c r="P477">
        <v>260000</v>
      </c>
      <c r="Q477">
        <v>195000</v>
      </c>
      <c r="R477">
        <v>3100000</v>
      </c>
      <c r="S477" t="s">
        <v>987</v>
      </c>
      <c r="T477">
        <v>2010</v>
      </c>
      <c r="U477" t="s">
        <v>1025</v>
      </c>
      <c r="V477">
        <v>4</v>
      </c>
      <c r="W477">
        <v>94.3</v>
      </c>
      <c r="X477">
        <v>51709098</v>
      </c>
      <c r="Y477">
        <v>4.1500000000000004</v>
      </c>
      <c r="Z477">
        <v>42106719</v>
      </c>
      <c r="AA477">
        <v>35.907756999999997</v>
      </c>
      <c r="AB477">
        <v>127.76692199999999</v>
      </c>
    </row>
    <row r="478" spans="1:28" x14ac:dyDescent="0.3">
      <c r="A478">
        <v>477</v>
      </c>
      <c r="B478" t="s">
        <v>925</v>
      </c>
      <c r="C478">
        <v>18100000</v>
      </c>
      <c r="D478">
        <v>12249828886</v>
      </c>
      <c r="E478" t="s">
        <v>988</v>
      </c>
      <c r="F478" t="s">
        <v>925</v>
      </c>
      <c r="G478">
        <v>0</v>
      </c>
      <c r="H478" t="s">
        <v>987</v>
      </c>
      <c r="I478" t="s">
        <v>987</v>
      </c>
      <c r="J478" t="s">
        <v>987</v>
      </c>
      <c r="K478">
        <v>4057944</v>
      </c>
      <c r="L478" t="s">
        <v>987</v>
      </c>
      <c r="M478" t="s">
        <v>987</v>
      </c>
      <c r="N478" t="s">
        <v>987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2009</v>
      </c>
      <c r="U478" t="s">
        <v>1025</v>
      </c>
      <c r="V478">
        <v>24</v>
      </c>
      <c r="W478" t="s">
        <v>987</v>
      </c>
      <c r="X478" t="s">
        <v>987</v>
      </c>
      <c r="Y478" t="s">
        <v>987</v>
      </c>
      <c r="Z478" t="s">
        <v>987</v>
      </c>
      <c r="AA478" t="s">
        <v>987</v>
      </c>
      <c r="AB478" t="s">
        <v>987</v>
      </c>
    </row>
    <row r="479" spans="1:28" x14ac:dyDescent="0.3">
      <c r="A479">
        <v>478</v>
      </c>
      <c r="B479" t="s">
        <v>476</v>
      </c>
      <c r="C479">
        <v>18000000</v>
      </c>
      <c r="D479">
        <v>3980991248</v>
      </c>
      <c r="E479" t="s">
        <v>1011</v>
      </c>
      <c r="F479" t="s">
        <v>476</v>
      </c>
      <c r="G479">
        <v>2470</v>
      </c>
      <c r="H479" t="s">
        <v>1019</v>
      </c>
      <c r="I479" t="s">
        <v>1020</v>
      </c>
      <c r="J479" t="s">
        <v>1089</v>
      </c>
      <c r="K479">
        <v>1922</v>
      </c>
      <c r="L479">
        <v>26</v>
      </c>
      <c r="M479">
        <v>8</v>
      </c>
      <c r="N479">
        <v>54766000</v>
      </c>
      <c r="O479">
        <v>13700</v>
      </c>
      <c r="P479">
        <v>219100</v>
      </c>
      <c r="Q479">
        <v>164300</v>
      </c>
      <c r="R479">
        <v>2600000</v>
      </c>
      <c r="S479">
        <v>100000</v>
      </c>
      <c r="T479">
        <v>2006</v>
      </c>
      <c r="U479" t="s">
        <v>1015</v>
      </c>
      <c r="V479">
        <v>24</v>
      </c>
      <c r="W479">
        <v>51.3</v>
      </c>
      <c r="X479">
        <v>212559417</v>
      </c>
      <c r="Y479">
        <v>12.08</v>
      </c>
      <c r="Z479">
        <v>183241641</v>
      </c>
      <c r="AA479">
        <v>-14.235004</v>
      </c>
      <c r="AB479">
        <v>-51.925280000000001</v>
      </c>
    </row>
    <row r="480" spans="1:28" x14ac:dyDescent="0.3">
      <c r="A480">
        <v>479</v>
      </c>
      <c r="B480" t="s">
        <v>89</v>
      </c>
      <c r="C480">
        <v>18000000</v>
      </c>
      <c r="D480">
        <v>9601137077</v>
      </c>
      <c r="E480" t="s">
        <v>1004</v>
      </c>
      <c r="F480" t="s">
        <v>89</v>
      </c>
      <c r="G480">
        <v>650</v>
      </c>
      <c r="H480" t="s">
        <v>1114</v>
      </c>
      <c r="I480" t="s">
        <v>1115</v>
      </c>
      <c r="J480" t="s">
        <v>1004</v>
      </c>
      <c r="K480">
        <v>478</v>
      </c>
      <c r="L480">
        <v>5</v>
      </c>
      <c r="M480">
        <v>6</v>
      </c>
      <c r="N480">
        <v>391298000</v>
      </c>
      <c r="O480">
        <v>97800</v>
      </c>
      <c r="P480">
        <v>1600000</v>
      </c>
      <c r="Q480">
        <v>1200000</v>
      </c>
      <c r="R480">
        <v>18800000</v>
      </c>
      <c r="S480">
        <v>600000</v>
      </c>
      <c r="T480">
        <v>2009</v>
      </c>
      <c r="U480" t="s">
        <v>991</v>
      </c>
      <c r="V480">
        <v>9</v>
      </c>
      <c r="W480">
        <v>113.1</v>
      </c>
      <c r="X480">
        <v>25766605</v>
      </c>
      <c r="Y480">
        <v>5.27</v>
      </c>
      <c r="Z480">
        <v>21844756</v>
      </c>
      <c r="AA480">
        <v>-25.274398000000001</v>
      </c>
      <c r="AB480">
        <v>133.775136</v>
      </c>
    </row>
    <row r="481" spans="1:28" x14ac:dyDescent="0.3">
      <c r="A481">
        <v>480</v>
      </c>
      <c r="B481" t="s">
        <v>859</v>
      </c>
      <c r="C481">
        <v>18000000</v>
      </c>
      <c r="D481">
        <v>15412333005</v>
      </c>
      <c r="E481" t="s">
        <v>988</v>
      </c>
      <c r="F481" t="s">
        <v>1175</v>
      </c>
      <c r="G481">
        <v>45</v>
      </c>
      <c r="H481" t="s">
        <v>984</v>
      </c>
      <c r="I481" t="s">
        <v>985</v>
      </c>
      <c r="J481" t="s">
        <v>988</v>
      </c>
      <c r="K481">
        <v>4012108</v>
      </c>
      <c r="L481">
        <v>7627</v>
      </c>
      <c r="M481">
        <v>6667</v>
      </c>
      <c r="N481">
        <v>4</v>
      </c>
      <c r="O481">
        <v>0</v>
      </c>
      <c r="P481">
        <v>0.02</v>
      </c>
      <c r="Q481">
        <v>0.01</v>
      </c>
      <c r="R481">
        <v>0.19</v>
      </c>
      <c r="S481" t="s">
        <v>987</v>
      </c>
      <c r="T481">
        <v>2006</v>
      </c>
      <c r="U481" t="s">
        <v>1010</v>
      </c>
      <c r="V481">
        <v>4</v>
      </c>
      <c r="W481">
        <v>88.2</v>
      </c>
      <c r="X481">
        <v>328239523</v>
      </c>
      <c r="Y481">
        <v>14.7</v>
      </c>
      <c r="Z481">
        <v>270663028</v>
      </c>
      <c r="AA481">
        <v>37.090240000000001</v>
      </c>
      <c r="AB481">
        <v>-95.712890999999999</v>
      </c>
    </row>
    <row r="482" spans="1:28" x14ac:dyDescent="0.3">
      <c r="A482">
        <v>481</v>
      </c>
      <c r="B482" t="s">
        <v>315</v>
      </c>
      <c r="C482">
        <v>18000000</v>
      </c>
      <c r="D482">
        <v>10463166404</v>
      </c>
      <c r="E482" t="s">
        <v>1026</v>
      </c>
      <c r="F482" t="s">
        <v>315</v>
      </c>
      <c r="G482">
        <v>237</v>
      </c>
      <c r="H482" t="s">
        <v>984</v>
      </c>
      <c r="I482" t="s">
        <v>985</v>
      </c>
      <c r="J482" t="s">
        <v>977</v>
      </c>
      <c r="K482">
        <v>406</v>
      </c>
      <c r="L482">
        <v>124</v>
      </c>
      <c r="M482">
        <v>105</v>
      </c>
      <c r="N482">
        <v>110776000</v>
      </c>
      <c r="O482">
        <v>27700</v>
      </c>
      <c r="P482">
        <v>443100</v>
      </c>
      <c r="Q482">
        <v>332300</v>
      </c>
      <c r="R482">
        <v>5300000</v>
      </c>
      <c r="S482" t="s">
        <v>987</v>
      </c>
      <c r="T482">
        <v>2013</v>
      </c>
      <c r="U482" t="s">
        <v>980</v>
      </c>
      <c r="V482">
        <v>30</v>
      </c>
      <c r="W482">
        <v>88.2</v>
      </c>
      <c r="X482">
        <v>328239523</v>
      </c>
      <c r="Y482">
        <v>14.7</v>
      </c>
      <c r="Z482">
        <v>270663028</v>
      </c>
      <c r="AA482">
        <v>37.090240000000001</v>
      </c>
      <c r="AB482">
        <v>-95.712890999999999</v>
      </c>
    </row>
    <row r="483" spans="1:28" x14ac:dyDescent="0.3">
      <c r="A483">
        <v>482</v>
      </c>
      <c r="B483" t="s">
        <v>147</v>
      </c>
      <c r="C483">
        <v>18000000</v>
      </c>
      <c r="D483">
        <v>17921124985</v>
      </c>
      <c r="E483" t="s">
        <v>977</v>
      </c>
      <c r="F483" t="s">
        <v>147</v>
      </c>
      <c r="G483">
        <v>5692</v>
      </c>
      <c r="H483" t="s">
        <v>984</v>
      </c>
      <c r="I483" t="s">
        <v>985</v>
      </c>
      <c r="J483" t="s">
        <v>977</v>
      </c>
      <c r="K483">
        <v>148</v>
      </c>
      <c r="L483">
        <v>123</v>
      </c>
      <c r="M483">
        <v>104</v>
      </c>
      <c r="N483">
        <v>257597000</v>
      </c>
      <c r="O483">
        <v>64400</v>
      </c>
      <c r="P483">
        <v>1000000</v>
      </c>
      <c r="Q483">
        <v>772800</v>
      </c>
      <c r="R483">
        <v>12400000</v>
      </c>
      <c r="S483">
        <v>100000</v>
      </c>
      <c r="T483">
        <v>2014</v>
      </c>
      <c r="U483" t="s">
        <v>1015</v>
      </c>
      <c r="V483">
        <v>14</v>
      </c>
      <c r="W483">
        <v>88.2</v>
      </c>
      <c r="X483">
        <v>328239523</v>
      </c>
      <c r="Y483">
        <v>14.7</v>
      </c>
      <c r="Z483">
        <v>270663028</v>
      </c>
      <c r="AA483">
        <v>37.090240000000001</v>
      </c>
      <c r="AB483">
        <v>-95.712890999999999</v>
      </c>
    </row>
    <row r="484" spans="1:28" x14ac:dyDescent="0.3">
      <c r="A484">
        <v>483</v>
      </c>
      <c r="B484" t="s">
        <v>520</v>
      </c>
      <c r="C484">
        <v>18000000</v>
      </c>
      <c r="D484">
        <v>6404852037</v>
      </c>
      <c r="E484" t="s">
        <v>996</v>
      </c>
      <c r="F484" t="s">
        <v>520</v>
      </c>
      <c r="G484">
        <v>3566</v>
      </c>
      <c r="H484" t="s">
        <v>1065</v>
      </c>
      <c r="I484" t="s">
        <v>1066</v>
      </c>
      <c r="J484" t="s">
        <v>986</v>
      </c>
      <c r="K484">
        <v>950</v>
      </c>
      <c r="L484">
        <v>8</v>
      </c>
      <c r="M484">
        <v>34</v>
      </c>
      <c r="N484">
        <v>43830000</v>
      </c>
      <c r="O484">
        <v>11000</v>
      </c>
      <c r="P484">
        <v>175300</v>
      </c>
      <c r="Q484">
        <v>131500</v>
      </c>
      <c r="R484">
        <v>2100000</v>
      </c>
      <c r="S484" t="s">
        <v>987</v>
      </c>
      <c r="T484">
        <v>2012</v>
      </c>
      <c r="U484" t="s">
        <v>1003</v>
      </c>
      <c r="V484">
        <v>30</v>
      </c>
      <c r="W484">
        <v>88.9</v>
      </c>
      <c r="X484">
        <v>47076781</v>
      </c>
      <c r="Y484">
        <v>13.96</v>
      </c>
      <c r="Z484">
        <v>37927409</v>
      </c>
      <c r="AA484">
        <v>40.463667000000001</v>
      </c>
      <c r="AB484">
        <v>-3.7492200000000002</v>
      </c>
    </row>
    <row r="485" spans="1:28" x14ac:dyDescent="0.3">
      <c r="A485">
        <v>484</v>
      </c>
      <c r="B485" t="s">
        <v>11</v>
      </c>
      <c r="C485">
        <v>18000000</v>
      </c>
      <c r="D485">
        <v>8716982055</v>
      </c>
      <c r="E485" t="s">
        <v>982</v>
      </c>
      <c r="F485" t="s">
        <v>11</v>
      </c>
      <c r="G485">
        <v>748</v>
      </c>
      <c r="H485" t="s">
        <v>987</v>
      </c>
      <c r="I485" t="s">
        <v>987</v>
      </c>
      <c r="J485" t="s">
        <v>988</v>
      </c>
      <c r="K485">
        <v>539</v>
      </c>
      <c r="L485" t="s">
        <v>987</v>
      </c>
      <c r="M485">
        <v>115</v>
      </c>
      <c r="N485">
        <v>1375000000</v>
      </c>
      <c r="O485">
        <v>343800</v>
      </c>
      <c r="P485">
        <v>5500000</v>
      </c>
      <c r="Q485">
        <v>4100000</v>
      </c>
      <c r="R485">
        <v>66000000</v>
      </c>
      <c r="S485">
        <v>3400000</v>
      </c>
      <c r="T485">
        <v>2011</v>
      </c>
      <c r="U485" t="s">
        <v>980</v>
      </c>
      <c r="V485">
        <v>12</v>
      </c>
      <c r="W485" t="s">
        <v>987</v>
      </c>
      <c r="X485" t="s">
        <v>987</v>
      </c>
      <c r="Y485" t="s">
        <v>987</v>
      </c>
      <c r="Z485" t="s">
        <v>987</v>
      </c>
      <c r="AA485" t="s">
        <v>987</v>
      </c>
      <c r="AB485" t="s">
        <v>987</v>
      </c>
    </row>
    <row r="486" spans="1:28" x14ac:dyDescent="0.3">
      <c r="A486">
        <v>485</v>
      </c>
      <c r="B486" t="s">
        <v>740</v>
      </c>
      <c r="C486">
        <v>17900000</v>
      </c>
      <c r="D486">
        <v>7176572299</v>
      </c>
      <c r="E486" t="s">
        <v>994</v>
      </c>
      <c r="F486" t="s">
        <v>740</v>
      </c>
      <c r="G486">
        <v>536</v>
      </c>
      <c r="H486" t="s">
        <v>984</v>
      </c>
      <c r="I486" t="s">
        <v>985</v>
      </c>
      <c r="J486" t="s">
        <v>1002</v>
      </c>
      <c r="K486">
        <v>801</v>
      </c>
      <c r="L486">
        <v>125</v>
      </c>
      <c r="M486">
        <v>28</v>
      </c>
      <c r="N486">
        <v>8650000</v>
      </c>
      <c r="O486">
        <v>2200</v>
      </c>
      <c r="P486">
        <v>34600</v>
      </c>
      <c r="Q486">
        <v>26000</v>
      </c>
      <c r="R486">
        <v>415200</v>
      </c>
      <c r="S486">
        <v>100000</v>
      </c>
      <c r="T486">
        <v>2014</v>
      </c>
      <c r="U486" t="s">
        <v>1005</v>
      </c>
      <c r="V486">
        <v>19</v>
      </c>
      <c r="W486">
        <v>88.2</v>
      </c>
      <c r="X486">
        <v>328239523</v>
      </c>
      <c r="Y486">
        <v>14.7</v>
      </c>
      <c r="Z486">
        <v>270663028</v>
      </c>
      <c r="AA486">
        <v>37.090240000000001</v>
      </c>
      <c r="AB486">
        <v>-95.712890999999999</v>
      </c>
    </row>
    <row r="487" spans="1:28" x14ac:dyDescent="0.3">
      <c r="A487">
        <v>486</v>
      </c>
      <c r="B487" t="s">
        <v>486</v>
      </c>
      <c r="C487">
        <v>17900000</v>
      </c>
      <c r="D487">
        <v>3841205465</v>
      </c>
      <c r="E487" t="s">
        <v>994</v>
      </c>
      <c r="F487" t="s">
        <v>486</v>
      </c>
      <c r="G487">
        <v>982</v>
      </c>
      <c r="H487" t="s">
        <v>984</v>
      </c>
      <c r="I487" t="s">
        <v>985</v>
      </c>
      <c r="J487" t="s">
        <v>977</v>
      </c>
      <c r="K487">
        <v>2014</v>
      </c>
      <c r="L487">
        <v>125</v>
      </c>
      <c r="M487">
        <v>106</v>
      </c>
      <c r="N487">
        <v>51687000</v>
      </c>
      <c r="O487">
        <v>12900</v>
      </c>
      <c r="P487">
        <v>206700</v>
      </c>
      <c r="Q487">
        <v>155100</v>
      </c>
      <c r="R487">
        <v>2500000</v>
      </c>
      <c r="S487">
        <v>100000</v>
      </c>
      <c r="T487">
        <v>2015</v>
      </c>
      <c r="U487" t="s">
        <v>995</v>
      </c>
      <c r="V487">
        <v>19</v>
      </c>
      <c r="W487">
        <v>88.2</v>
      </c>
      <c r="X487">
        <v>328239523</v>
      </c>
      <c r="Y487">
        <v>14.7</v>
      </c>
      <c r="Z487">
        <v>270663028</v>
      </c>
      <c r="AA487">
        <v>37.090240000000001</v>
      </c>
      <c r="AB487">
        <v>-95.712890999999999</v>
      </c>
    </row>
    <row r="488" spans="1:28" x14ac:dyDescent="0.3">
      <c r="A488">
        <v>487</v>
      </c>
      <c r="B488" t="s">
        <v>609</v>
      </c>
      <c r="C488">
        <v>17900000</v>
      </c>
      <c r="D488">
        <v>5168721499</v>
      </c>
      <c r="E488" t="s">
        <v>988</v>
      </c>
      <c r="F488" t="s">
        <v>609</v>
      </c>
      <c r="G488">
        <v>1344</v>
      </c>
      <c r="H488" t="s">
        <v>1023</v>
      </c>
      <c r="I488" t="s">
        <v>1024</v>
      </c>
      <c r="J488" t="s">
        <v>986</v>
      </c>
      <c r="K488">
        <v>1294</v>
      </c>
      <c r="L488">
        <v>9</v>
      </c>
      <c r="M488">
        <v>35</v>
      </c>
      <c r="N488">
        <v>27545000</v>
      </c>
      <c r="O488">
        <v>6900</v>
      </c>
      <c r="P488">
        <v>110200</v>
      </c>
      <c r="Q488">
        <v>82600</v>
      </c>
      <c r="R488">
        <v>1300000</v>
      </c>
      <c r="S488">
        <v>100000</v>
      </c>
      <c r="T488">
        <v>2013</v>
      </c>
      <c r="U488" t="s">
        <v>999</v>
      </c>
      <c r="V488">
        <v>15</v>
      </c>
      <c r="W488">
        <v>90</v>
      </c>
      <c r="X488">
        <v>44938712</v>
      </c>
      <c r="Y488">
        <v>9.7899999999999991</v>
      </c>
      <c r="Z488">
        <v>41339571</v>
      </c>
      <c r="AA488">
        <v>-38.416097000000001</v>
      </c>
      <c r="AB488">
        <v>-63.616672000000001</v>
      </c>
    </row>
    <row r="489" spans="1:28" x14ac:dyDescent="0.3">
      <c r="A489">
        <v>488</v>
      </c>
      <c r="B489" t="s">
        <v>665</v>
      </c>
      <c r="C489">
        <v>17900000</v>
      </c>
      <c r="D489">
        <v>5244917119</v>
      </c>
      <c r="E489" t="s">
        <v>1044</v>
      </c>
      <c r="F489" t="s">
        <v>665</v>
      </c>
      <c r="G489">
        <v>185</v>
      </c>
      <c r="H489" t="s">
        <v>984</v>
      </c>
      <c r="I489" t="s">
        <v>985</v>
      </c>
      <c r="J489" t="s">
        <v>988</v>
      </c>
      <c r="K489">
        <v>1264</v>
      </c>
      <c r="L489">
        <v>125</v>
      </c>
      <c r="M489">
        <v>121</v>
      </c>
      <c r="N489">
        <v>18548000</v>
      </c>
      <c r="O489">
        <v>4600</v>
      </c>
      <c r="P489">
        <v>74200</v>
      </c>
      <c r="Q489">
        <v>55600</v>
      </c>
      <c r="R489">
        <v>890300</v>
      </c>
      <c r="S489" t="s">
        <v>987</v>
      </c>
      <c r="T489">
        <v>2015</v>
      </c>
      <c r="U489" t="s">
        <v>991</v>
      </c>
      <c r="V489">
        <v>19</v>
      </c>
      <c r="W489">
        <v>88.2</v>
      </c>
      <c r="X489">
        <v>328239523</v>
      </c>
      <c r="Y489">
        <v>14.7</v>
      </c>
      <c r="Z489">
        <v>270663028</v>
      </c>
      <c r="AA489">
        <v>37.090240000000001</v>
      </c>
      <c r="AB489">
        <v>-95.712890999999999</v>
      </c>
    </row>
    <row r="490" spans="1:28" x14ac:dyDescent="0.3">
      <c r="A490">
        <v>489</v>
      </c>
      <c r="B490" t="s">
        <v>603</v>
      </c>
      <c r="C490">
        <v>17900000</v>
      </c>
      <c r="D490">
        <v>6888074944</v>
      </c>
      <c r="E490" t="s">
        <v>977</v>
      </c>
      <c r="F490" t="s">
        <v>603</v>
      </c>
      <c r="G490">
        <v>314</v>
      </c>
      <c r="H490" t="s">
        <v>984</v>
      </c>
      <c r="I490" t="s">
        <v>985</v>
      </c>
      <c r="J490" t="s">
        <v>977</v>
      </c>
      <c r="K490">
        <v>858</v>
      </c>
      <c r="L490">
        <v>125</v>
      </c>
      <c r="M490">
        <v>106</v>
      </c>
      <c r="N490">
        <v>29182000</v>
      </c>
      <c r="O490">
        <v>7300</v>
      </c>
      <c r="P490">
        <v>116700</v>
      </c>
      <c r="Q490">
        <v>87500</v>
      </c>
      <c r="R490">
        <v>1400000</v>
      </c>
      <c r="S490" t="s">
        <v>987</v>
      </c>
      <c r="T490">
        <v>2008</v>
      </c>
      <c r="U490" t="s">
        <v>1003</v>
      </c>
      <c r="V490">
        <v>30</v>
      </c>
      <c r="W490">
        <v>88.2</v>
      </c>
      <c r="X490">
        <v>328239523</v>
      </c>
      <c r="Y490">
        <v>14.7</v>
      </c>
      <c r="Z490">
        <v>270663028</v>
      </c>
      <c r="AA490">
        <v>37.090240000000001</v>
      </c>
      <c r="AB490">
        <v>-95.712890999999999</v>
      </c>
    </row>
    <row r="491" spans="1:28" x14ac:dyDescent="0.3">
      <c r="A491">
        <v>490</v>
      </c>
      <c r="B491" t="s">
        <v>390</v>
      </c>
      <c r="C491">
        <v>17900000</v>
      </c>
      <c r="D491">
        <v>9867515979</v>
      </c>
      <c r="E491" t="s">
        <v>988</v>
      </c>
      <c r="F491" t="s">
        <v>390</v>
      </c>
      <c r="G491">
        <v>602</v>
      </c>
      <c r="H491" t="s">
        <v>1176</v>
      </c>
      <c r="I491" t="s">
        <v>1177</v>
      </c>
      <c r="J491" t="s">
        <v>988</v>
      </c>
      <c r="K491">
        <v>455</v>
      </c>
      <c r="L491">
        <v>1</v>
      </c>
      <c r="M491">
        <v>121</v>
      </c>
      <c r="N491">
        <v>84467000</v>
      </c>
      <c r="O491">
        <v>21100</v>
      </c>
      <c r="P491">
        <v>337900</v>
      </c>
      <c r="Q491">
        <v>253400</v>
      </c>
      <c r="R491">
        <v>4100000</v>
      </c>
      <c r="S491">
        <v>100000</v>
      </c>
      <c r="T491">
        <v>2019</v>
      </c>
      <c r="U491" t="s">
        <v>1029</v>
      </c>
      <c r="V491">
        <v>22</v>
      </c>
      <c r="W491">
        <v>28.5</v>
      </c>
      <c r="X491">
        <v>96462106</v>
      </c>
      <c r="Y491">
        <v>2.0099999999999998</v>
      </c>
      <c r="Z491">
        <v>35332140</v>
      </c>
      <c r="AA491">
        <v>14.058324000000001</v>
      </c>
      <c r="AB491">
        <v>108.277199</v>
      </c>
    </row>
    <row r="492" spans="1:28" x14ac:dyDescent="0.3">
      <c r="A492">
        <v>491</v>
      </c>
      <c r="B492" t="s">
        <v>71</v>
      </c>
      <c r="C492">
        <v>17900000</v>
      </c>
      <c r="D492">
        <v>9887116267</v>
      </c>
      <c r="E492" t="s">
        <v>977</v>
      </c>
      <c r="F492" t="s">
        <v>71</v>
      </c>
      <c r="G492">
        <v>830</v>
      </c>
      <c r="H492" t="s">
        <v>984</v>
      </c>
      <c r="I492" t="s">
        <v>985</v>
      </c>
      <c r="J492" t="s">
        <v>977</v>
      </c>
      <c r="K492">
        <v>446</v>
      </c>
      <c r="L492">
        <v>124</v>
      </c>
      <c r="M492">
        <v>105</v>
      </c>
      <c r="N492">
        <v>447891000</v>
      </c>
      <c r="O492">
        <v>112000</v>
      </c>
      <c r="P492">
        <v>1800000</v>
      </c>
      <c r="Q492">
        <v>1300000</v>
      </c>
      <c r="R492">
        <v>21500000</v>
      </c>
      <c r="S492">
        <v>400000</v>
      </c>
      <c r="T492">
        <v>2008</v>
      </c>
      <c r="U492" t="s">
        <v>1015</v>
      </c>
      <c r="V492">
        <v>21</v>
      </c>
      <c r="W492">
        <v>88.2</v>
      </c>
      <c r="X492">
        <v>328239523</v>
      </c>
      <c r="Y492">
        <v>14.7</v>
      </c>
      <c r="Z492">
        <v>270663028</v>
      </c>
      <c r="AA492">
        <v>37.090240000000001</v>
      </c>
      <c r="AB492">
        <v>-95.712890999999999</v>
      </c>
    </row>
    <row r="493" spans="1:28" x14ac:dyDescent="0.3">
      <c r="A493">
        <v>492</v>
      </c>
      <c r="B493" t="s">
        <v>337</v>
      </c>
      <c r="C493">
        <v>17900000</v>
      </c>
      <c r="D493">
        <v>16174530046</v>
      </c>
      <c r="E493" t="s">
        <v>992</v>
      </c>
      <c r="F493" t="s">
        <v>337</v>
      </c>
      <c r="G493">
        <v>1426</v>
      </c>
      <c r="H493" t="s">
        <v>984</v>
      </c>
      <c r="I493" t="s">
        <v>985</v>
      </c>
      <c r="J493" t="s">
        <v>990</v>
      </c>
      <c r="K493">
        <v>187</v>
      </c>
      <c r="L493">
        <v>125</v>
      </c>
      <c r="M493">
        <v>27</v>
      </c>
      <c r="N493">
        <v>102621000</v>
      </c>
      <c r="O493">
        <v>25700</v>
      </c>
      <c r="P493">
        <v>410500</v>
      </c>
      <c r="Q493">
        <v>307900</v>
      </c>
      <c r="R493">
        <v>4900000</v>
      </c>
      <c r="S493">
        <v>100000</v>
      </c>
      <c r="T493">
        <v>2009</v>
      </c>
      <c r="U493" t="s">
        <v>989</v>
      </c>
      <c r="V493">
        <v>3</v>
      </c>
      <c r="W493">
        <v>88.2</v>
      </c>
      <c r="X493">
        <v>328239523</v>
      </c>
      <c r="Y493">
        <v>14.7</v>
      </c>
      <c r="Z493">
        <v>270663028</v>
      </c>
      <c r="AA493">
        <v>37.090240000000001</v>
      </c>
      <c r="AB493">
        <v>-95.712890999999999</v>
      </c>
    </row>
    <row r="494" spans="1:28" x14ac:dyDescent="0.3">
      <c r="A494">
        <v>493</v>
      </c>
      <c r="B494" t="s">
        <v>856</v>
      </c>
      <c r="C494">
        <v>17900000</v>
      </c>
      <c r="D494">
        <v>6746269458</v>
      </c>
      <c r="E494" t="s">
        <v>994</v>
      </c>
      <c r="F494" t="s">
        <v>1178</v>
      </c>
      <c r="G494">
        <v>2</v>
      </c>
      <c r="H494" t="s">
        <v>987</v>
      </c>
      <c r="I494" t="s">
        <v>987</v>
      </c>
      <c r="J494" t="s">
        <v>1002</v>
      </c>
      <c r="K494">
        <v>4057766</v>
      </c>
      <c r="L494" t="s">
        <v>987</v>
      </c>
      <c r="M494">
        <v>7733</v>
      </c>
      <c r="N494">
        <v>4</v>
      </c>
      <c r="O494">
        <v>0</v>
      </c>
      <c r="P494">
        <v>0.02</v>
      </c>
      <c r="Q494">
        <v>0.01</v>
      </c>
      <c r="R494">
        <v>0.19</v>
      </c>
      <c r="S494" t="s">
        <v>987</v>
      </c>
      <c r="T494">
        <v>2020</v>
      </c>
      <c r="U494" t="s">
        <v>1015</v>
      </c>
      <c r="V494">
        <v>15</v>
      </c>
      <c r="W494" t="s">
        <v>987</v>
      </c>
      <c r="X494" t="s">
        <v>987</v>
      </c>
      <c r="Y494" t="s">
        <v>987</v>
      </c>
      <c r="Z494" t="s">
        <v>987</v>
      </c>
      <c r="AA494" t="s">
        <v>987</v>
      </c>
      <c r="AB494" t="s">
        <v>987</v>
      </c>
    </row>
    <row r="495" spans="1:28" x14ac:dyDescent="0.3">
      <c r="A495">
        <v>494</v>
      </c>
      <c r="B495" t="s">
        <v>73</v>
      </c>
      <c r="C495">
        <v>17800000</v>
      </c>
      <c r="D495">
        <v>11057945183</v>
      </c>
      <c r="E495" t="s">
        <v>994</v>
      </c>
      <c r="F495" t="s">
        <v>73</v>
      </c>
      <c r="G495">
        <v>772</v>
      </c>
      <c r="H495" t="s">
        <v>978</v>
      </c>
      <c r="I495" t="s">
        <v>979</v>
      </c>
      <c r="J495" t="s">
        <v>1002</v>
      </c>
      <c r="K495">
        <v>378</v>
      </c>
      <c r="L495">
        <v>83</v>
      </c>
      <c r="M495">
        <v>29</v>
      </c>
      <c r="N495">
        <v>431390000</v>
      </c>
      <c r="O495">
        <v>107800</v>
      </c>
      <c r="P495">
        <v>1700000</v>
      </c>
      <c r="Q495">
        <v>1300000</v>
      </c>
      <c r="R495">
        <v>20700000</v>
      </c>
      <c r="S495">
        <v>900000</v>
      </c>
      <c r="T495">
        <v>2021</v>
      </c>
      <c r="U495" t="s">
        <v>999</v>
      </c>
      <c r="V495">
        <v>23</v>
      </c>
      <c r="W495">
        <v>28.1</v>
      </c>
      <c r="X495">
        <v>1366417754</v>
      </c>
      <c r="Y495">
        <v>5.36</v>
      </c>
      <c r="Z495">
        <v>471031528</v>
      </c>
      <c r="AA495">
        <v>20.593684</v>
      </c>
      <c r="AB495">
        <v>78.962879999999998</v>
      </c>
    </row>
    <row r="496" spans="1:28" x14ac:dyDescent="0.3">
      <c r="A496">
        <v>495</v>
      </c>
      <c r="B496" t="s">
        <v>807</v>
      </c>
      <c r="C496">
        <v>17800000</v>
      </c>
      <c r="D496">
        <v>8588704539</v>
      </c>
      <c r="E496" t="s">
        <v>982</v>
      </c>
      <c r="F496" t="s">
        <v>1179</v>
      </c>
      <c r="G496">
        <v>26</v>
      </c>
      <c r="H496" t="s">
        <v>984</v>
      </c>
      <c r="I496" t="s">
        <v>985</v>
      </c>
      <c r="J496" t="s">
        <v>1002</v>
      </c>
      <c r="K496">
        <v>3976090</v>
      </c>
      <c r="L496">
        <v>5208</v>
      </c>
      <c r="M496">
        <v>4978</v>
      </c>
      <c r="N496">
        <v>20708</v>
      </c>
      <c r="O496">
        <v>5</v>
      </c>
      <c r="P496">
        <v>83</v>
      </c>
      <c r="Q496">
        <v>62</v>
      </c>
      <c r="R496">
        <v>994</v>
      </c>
      <c r="S496">
        <v>2960</v>
      </c>
      <c r="T496">
        <v>2021</v>
      </c>
      <c r="U496" t="s">
        <v>1029</v>
      </c>
      <c r="V496">
        <v>9</v>
      </c>
      <c r="W496">
        <v>88.2</v>
      </c>
      <c r="X496">
        <v>328239523</v>
      </c>
      <c r="Y496">
        <v>14.7</v>
      </c>
      <c r="Z496">
        <v>270663028</v>
      </c>
      <c r="AA496">
        <v>37.090240000000001</v>
      </c>
      <c r="AB496">
        <v>-95.712890999999999</v>
      </c>
    </row>
    <row r="497" spans="1:28" x14ac:dyDescent="0.3">
      <c r="A497">
        <v>496</v>
      </c>
      <c r="B497" t="s">
        <v>1180</v>
      </c>
      <c r="C497">
        <v>17700000</v>
      </c>
      <c r="D497">
        <v>19206701832</v>
      </c>
      <c r="E497" t="s">
        <v>987</v>
      </c>
      <c r="F497" t="s">
        <v>1180</v>
      </c>
      <c r="G497">
        <v>1646</v>
      </c>
      <c r="H497" t="s">
        <v>1006</v>
      </c>
      <c r="I497" t="s">
        <v>1007</v>
      </c>
      <c r="J497" t="s">
        <v>1002</v>
      </c>
      <c r="K497">
        <v>125</v>
      </c>
      <c r="L497">
        <v>9</v>
      </c>
      <c r="M497">
        <v>26</v>
      </c>
      <c r="N497">
        <v>3404000000</v>
      </c>
      <c r="O497">
        <v>850900</v>
      </c>
      <c r="P497">
        <v>13600000</v>
      </c>
      <c r="Q497">
        <v>10200000</v>
      </c>
      <c r="R497">
        <v>163400000</v>
      </c>
      <c r="S497">
        <v>3200000</v>
      </c>
      <c r="T497">
        <v>2017</v>
      </c>
      <c r="U497" t="s">
        <v>1029</v>
      </c>
      <c r="V497">
        <v>11</v>
      </c>
      <c r="W497">
        <v>94.3</v>
      </c>
      <c r="X497">
        <v>51709098</v>
      </c>
      <c r="Y497">
        <v>4.1500000000000004</v>
      </c>
      <c r="Z497">
        <v>42106719</v>
      </c>
      <c r="AA497">
        <v>35.907756999999997</v>
      </c>
      <c r="AB497">
        <v>127.76692199999999</v>
      </c>
    </row>
    <row r="498" spans="1:28" x14ac:dyDescent="0.3">
      <c r="A498">
        <v>497</v>
      </c>
      <c r="B498" t="s">
        <v>918</v>
      </c>
      <c r="C498">
        <v>17700000</v>
      </c>
      <c r="D498">
        <v>7387621644</v>
      </c>
      <c r="E498" t="s">
        <v>987</v>
      </c>
      <c r="F498" t="s">
        <v>918</v>
      </c>
      <c r="G498">
        <v>1888</v>
      </c>
      <c r="H498" t="s">
        <v>1006</v>
      </c>
      <c r="I498" t="s">
        <v>1007</v>
      </c>
      <c r="J498" t="s">
        <v>1002</v>
      </c>
      <c r="K498">
        <v>762</v>
      </c>
      <c r="L498">
        <v>11</v>
      </c>
      <c r="M498">
        <v>30</v>
      </c>
      <c r="N498">
        <v>102803000</v>
      </c>
      <c r="O498">
        <v>0</v>
      </c>
      <c r="P498">
        <v>0</v>
      </c>
      <c r="Q498">
        <v>0</v>
      </c>
      <c r="R498">
        <v>0</v>
      </c>
      <c r="S498" t="s">
        <v>987</v>
      </c>
      <c r="T498">
        <v>2012</v>
      </c>
      <c r="U498" t="s">
        <v>1029</v>
      </c>
      <c r="V498">
        <v>17</v>
      </c>
      <c r="W498">
        <v>94.3</v>
      </c>
      <c r="X498">
        <v>51709098</v>
      </c>
      <c r="Y498">
        <v>4.1500000000000004</v>
      </c>
      <c r="Z498">
        <v>42106719</v>
      </c>
      <c r="AA498">
        <v>35.907756999999997</v>
      </c>
      <c r="AB498">
        <v>127.76692199999999</v>
      </c>
    </row>
    <row r="499" spans="1:28" x14ac:dyDescent="0.3">
      <c r="A499">
        <v>498</v>
      </c>
      <c r="B499" t="s">
        <v>355</v>
      </c>
      <c r="C499">
        <v>17700000</v>
      </c>
      <c r="D499">
        <v>20115544708</v>
      </c>
      <c r="E499" t="s">
        <v>977</v>
      </c>
      <c r="F499" t="s">
        <v>355</v>
      </c>
      <c r="G499">
        <v>178</v>
      </c>
      <c r="H499" t="s">
        <v>984</v>
      </c>
      <c r="I499" t="s">
        <v>985</v>
      </c>
      <c r="J499" t="s">
        <v>977</v>
      </c>
      <c r="K499">
        <v>122</v>
      </c>
      <c r="L499">
        <v>127</v>
      </c>
      <c r="M499">
        <v>108</v>
      </c>
      <c r="N499">
        <v>97422000</v>
      </c>
      <c r="O499">
        <v>24400</v>
      </c>
      <c r="P499">
        <v>389700</v>
      </c>
      <c r="Q499">
        <v>292300</v>
      </c>
      <c r="R499">
        <v>4700000</v>
      </c>
      <c r="S499" t="s">
        <v>987</v>
      </c>
      <c r="T499">
        <v>2010</v>
      </c>
      <c r="U499" t="s">
        <v>1025</v>
      </c>
      <c r="V499">
        <v>21</v>
      </c>
      <c r="W499">
        <v>88.2</v>
      </c>
      <c r="X499">
        <v>328239523</v>
      </c>
      <c r="Y499">
        <v>14.7</v>
      </c>
      <c r="Z499">
        <v>270663028</v>
      </c>
      <c r="AA499">
        <v>37.090240000000001</v>
      </c>
      <c r="AB499">
        <v>-95.712890999999999</v>
      </c>
    </row>
    <row r="500" spans="1:28" x14ac:dyDescent="0.3">
      <c r="A500">
        <v>499</v>
      </c>
      <c r="B500" t="s">
        <v>103</v>
      </c>
      <c r="C500">
        <v>17700000</v>
      </c>
      <c r="D500">
        <v>7912733203</v>
      </c>
      <c r="E500" t="s">
        <v>994</v>
      </c>
      <c r="F500" t="s">
        <v>103</v>
      </c>
      <c r="G500">
        <v>512</v>
      </c>
      <c r="H500" t="s">
        <v>978</v>
      </c>
      <c r="I500" t="s">
        <v>979</v>
      </c>
      <c r="J500" t="s">
        <v>1002</v>
      </c>
      <c r="K500">
        <v>671</v>
      </c>
      <c r="L500">
        <v>84</v>
      </c>
      <c r="M500">
        <v>30</v>
      </c>
      <c r="N500">
        <v>346753000</v>
      </c>
      <c r="O500">
        <v>86700</v>
      </c>
      <c r="P500">
        <v>1400000</v>
      </c>
      <c r="Q500">
        <v>1000000</v>
      </c>
      <c r="R500">
        <v>16600000</v>
      </c>
      <c r="S500">
        <v>900000</v>
      </c>
      <c r="T500">
        <v>2018</v>
      </c>
      <c r="U500" t="s">
        <v>1015</v>
      </c>
      <c r="V500">
        <v>18</v>
      </c>
      <c r="W500">
        <v>28.1</v>
      </c>
      <c r="X500">
        <v>1366417754</v>
      </c>
      <c r="Y500">
        <v>5.36</v>
      </c>
      <c r="Z500">
        <v>471031528</v>
      </c>
      <c r="AA500">
        <v>20.593684</v>
      </c>
      <c r="AB500">
        <v>78.962879999999998</v>
      </c>
    </row>
    <row r="501" spans="1:28" x14ac:dyDescent="0.3">
      <c r="A501">
        <v>500</v>
      </c>
      <c r="B501" t="s">
        <v>500</v>
      </c>
      <c r="C501">
        <v>17700000</v>
      </c>
      <c r="D501">
        <v>3647267655</v>
      </c>
      <c r="E501" t="s">
        <v>994</v>
      </c>
      <c r="F501" t="s">
        <v>500</v>
      </c>
      <c r="G501">
        <v>739</v>
      </c>
      <c r="H501" t="s">
        <v>1081</v>
      </c>
      <c r="I501" t="s">
        <v>1082</v>
      </c>
      <c r="J501" t="s">
        <v>988</v>
      </c>
      <c r="K501">
        <v>2169</v>
      </c>
      <c r="L501">
        <v>17</v>
      </c>
      <c r="M501">
        <v>122</v>
      </c>
      <c r="N501">
        <v>48174000</v>
      </c>
      <c r="O501">
        <v>12000</v>
      </c>
      <c r="P501">
        <v>192700</v>
      </c>
      <c r="Q501">
        <v>144500</v>
      </c>
      <c r="R501">
        <v>2300000</v>
      </c>
      <c r="S501">
        <v>100000</v>
      </c>
      <c r="T501">
        <v>2016</v>
      </c>
      <c r="U501" t="s">
        <v>1025</v>
      </c>
      <c r="V501">
        <v>27</v>
      </c>
      <c r="W501">
        <v>36.299999999999997</v>
      </c>
      <c r="X501">
        <v>270203917</v>
      </c>
      <c r="Y501">
        <v>4.6900000000000004</v>
      </c>
      <c r="Z501">
        <v>151509724</v>
      </c>
      <c r="AA501">
        <v>-0.78927499999999995</v>
      </c>
      <c r="AB501">
        <v>113.92132700000001</v>
      </c>
    </row>
    <row r="502" spans="1:28" x14ac:dyDescent="0.3">
      <c r="A502">
        <v>501</v>
      </c>
      <c r="B502" t="s">
        <v>907</v>
      </c>
      <c r="C502">
        <v>17700000</v>
      </c>
      <c r="D502">
        <v>4196061192</v>
      </c>
      <c r="E502" t="s">
        <v>977</v>
      </c>
      <c r="F502" t="s">
        <v>907</v>
      </c>
      <c r="G502">
        <v>60</v>
      </c>
      <c r="H502" t="s">
        <v>987</v>
      </c>
      <c r="I502" t="s">
        <v>987</v>
      </c>
      <c r="J502" t="s">
        <v>977</v>
      </c>
      <c r="K502">
        <v>1785</v>
      </c>
      <c r="L502" t="s">
        <v>987</v>
      </c>
      <c r="M502">
        <v>108</v>
      </c>
      <c r="N502">
        <v>9243000</v>
      </c>
      <c r="O502">
        <v>0</v>
      </c>
      <c r="P502">
        <v>0</v>
      </c>
      <c r="Q502">
        <v>0</v>
      </c>
      <c r="R502">
        <v>0</v>
      </c>
      <c r="S502" t="s">
        <v>987</v>
      </c>
      <c r="T502">
        <v>2015</v>
      </c>
      <c r="U502" t="s">
        <v>1025</v>
      </c>
      <c r="V502">
        <v>15</v>
      </c>
      <c r="W502" t="s">
        <v>987</v>
      </c>
      <c r="X502" t="s">
        <v>987</v>
      </c>
      <c r="Y502" t="s">
        <v>987</v>
      </c>
      <c r="Z502" t="s">
        <v>987</v>
      </c>
      <c r="AA502" t="s">
        <v>987</v>
      </c>
      <c r="AB502" t="s">
        <v>987</v>
      </c>
    </row>
    <row r="503" spans="1:28" x14ac:dyDescent="0.3">
      <c r="A503">
        <v>502</v>
      </c>
      <c r="B503" t="s">
        <v>563</v>
      </c>
      <c r="C503">
        <v>17700000</v>
      </c>
      <c r="D503">
        <v>7739048000</v>
      </c>
      <c r="E503" t="s">
        <v>988</v>
      </c>
      <c r="F503" t="s">
        <v>563</v>
      </c>
      <c r="G503">
        <v>2240</v>
      </c>
      <c r="H503" t="s">
        <v>1019</v>
      </c>
      <c r="I503" t="s">
        <v>1020</v>
      </c>
      <c r="J503" t="s">
        <v>988</v>
      </c>
      <c r="K503">
        <v>705</v>
      </c>
      <c r="L503">
        <v>27</v>
      </c>
      <c r="M503">
        <v>123</v>
      </c>
      <c r="N503">
        <v>35337000</v>
      </c>
      <c r="O503">
        <v>8800</v>
      </c>
      <c r="P503">
        <v>141300</v>
      </c>
      <c r="Q503">
        <v>106000</v>
      </c>
      <c r="R503">
        <v>1700000</v>
      </c>
      <c r="S503" t="s">
        <v>987</v>
      </c>
      <c r="T503">
        <v>2012</v>
      </c>
      <c r="U503" t="s">
        <v>980</v>
      </c>
      <c r="V503">
        <v>12</v>
      </c>
      <c r="W503">
        <v>51.3</v>
      </c>
      <c r="X503">
        <v>212559417</v>
      </c>
      <c r="Y503">
        <v>12.08</v>
      </c>
      <c r="Z503">
        <v>183241641</v>
      </c>
      <c r="AA503">
        <v>-14.235004</v>
      </c>
      <c r="AB503">
        <v>-51.925280000000001</v>
      </c>
    </row>
    <row r="504" spans="1:28" x14ac:dyDescent="0.3">
      <c r="A504">
        <v>503</v>
      </c>
      <c r="B504" t="s">
        <v>93</v>
      </c>
      <c r="C504">
        <v>17700000</v>
      </c>
      <c r="D504">
        <v>8396875537</v>
      </c>
      <c r="E504" t="s">
        <v>1026</v>
      </c>
      <c r="F504" t="s">
        <v>1181</v>
      </c>
      <c r="G504">
        <v>211620</v>
      </c>
      <c r="H504" t="s">
        <v>1152</v>
      </c>
      <c r="I504" t="s">
        <v>1153</v>
      </c>
      <c r="J504" t="s">
        <v>1027</v>
      </c>
      <c r="K504">
        <v>880</v>
      </c>
      <c r="L504">
        <v>24</v>
      </c>
      <c r="M504">
        <v>112</v>
      </c>
      <c r="N504">
        <v>370779000</v>
      </c>
      <c r="O504">
        <v>92700</v>
      </c>
      <c r="P504">
        <v>1500000</v>
      </c>
      <c r="Q504">
        <v>1100000</v>
      </c>
      <c r="R504">
        <v>17800000</v>
      </c>
      <c r="S504">
        <v>230000</v>
      </c>
      <c r="T504">
        <v>2006</v>
      </c>
      <c r="U504" t="s">
        <v>989</v>
      </c>
      <c r="V504">
        <v>5</v>
      </c>
      <c r="W504">
        <v>82.7</v>
      </c>
      <c r="X504">
        <v>44385155</v>
      </c>
      <c r="Y504">
        <v>8.8800000000000008</v>
      </c>
      <c r="Z504">
        <v>30835699</v>
      </c>
      <c r="AA504">
        <v>48.379432999999999</v>
      </c>
      <c r="AB504">
        <v>31.165579999999999</v>
      </c>
    </row>
    <row r="505" spans="1:28" x14ac:dyDescent="0.3">
      <c r="A505">
        <v>504</v>
      </c>
      <c r="B505" t="s">
        <v>299</v>
      </c>
      <c r="C505">
        <v>17700000</v>
      </c>
      <c r="D505">
        <v>9059696049</v>
      </c>
      <c r="E505" t="s">
        <v>982</v>
      </c>
      <c r="F505" t="s">
        <v>299</v>
      </c>
      <c r="G505">
        <v>1716</v>
      </c>
      <c r="H505" t="s">
        <v>1182</v>
      </c>
      <c r="I505" t="s">
        <v>1183</v>
      </c>
      <c r="J505" t="s">
        <v>988</v>
      </c>
      <c r="K505">
        <v>531</v>
      </c>
      <c r="L505">
        <v>1</v>
      </c>
      <c r="M505">
        <v>123</v>
      </c>
      <c r="N505">
        <v>117727000</v>
      </c>
      <c r="O505">
        <v>29400</v>
      </c>
      <c r="P505">
        <v>470900</v>
      </c>
      <c r="Q505">
        <v>353200</v>
      </c>
      <c r="R505">
        <v>5700000</v>
      </c>
      <c r="S505">
        <v>200000</v>
      </c>
      <c r="T505">
        <v>2009</v>
      </c>
      <c r="U505" t="s">
        <v>1029</v>
      </c>
      <c r="V505">
        <v>9</v>
      </c>
      <c r="W505">
        <v>45.1</v>
      </c>
      <c r="X505">
        <v>32447385</v>
      </c>
      <c r="Y505">
        <v>3.32</v>
      </c>
      <c r="Z505">
        <v>24475766</v>
      </c>
      <c r="AA505">
        <v>4.2104840000000001</v>
      </c>
      <c r="AB505">
        <v>101.97576599999999</v>
      </c>
    </row>
    <row r="506" spans="1:28" x14ac:dyDescent="0.3">
      <c r="A506">
        <v>505</v>
      </c>
      <c r="B506" t="s">
        <v>43</v>
      </c>
      <c r="C506">
        <v>17700000</v>
      </c>
      <c r="D506">
        <v>17247584185</v>
      </c>
      <c r="E506" t="s">
        <v>982</v>
      </c>
      <c r="F506" t="s">
        <v>43</v>
      </c>
      <c r="G506">
        <v>1316</v>
      </c>
      <c r="H506" t="s">
        <v>1023</v>
      </c>
      <c r="I506" t="s">
        <v>1024</v>
      </c>
      <c r="J506" t="s">
        <v>977</v>
      </c>
      <c r="K506">
        <v>162</v>
      </c>
      <c r="L506">
        <v>10</v>
      </c>
      <c r="M506">
        <v>107</v>
      </c>
      <c r="N506">
        <v>640030000</v>
      </c>
      <c r="O506">
        <v>160000</v>
      </c>
      <c r="P506">
        <v>2600000</v>
      </c>
      <c r="Q506">
        <v>1900000</v>
      </c>
      <c r="R506">
        <v>30700000</v>
      </c>
      <c r="S506">
        <v>600000</v>
      </c>
      <c r="T506">
        <v>2013</v>
      </c>
      <c r="U506" t="s">
        <v>1025</v>
      </c>
      <c r="V506">
        <v>18</v>
      </c>
      <c r="W506">
        <v>90</v>
      </c>
      <c r="X506">
        <v>44938712</v>
      </c>
      <c r="Y506">
        <v>9.7899999999999991</v>
      </c>
      <c r="Z506">
        <v>41339571</v>
      </c>
      <c r="AA506">
        <v>-38.416097000000001</v>
      </c>
      <c r="AB506">
        <v>-63.616672000000001</v>
      </c>
    </row>
    <row r="507" spans="1:28" x14ac:dyDescent="0.3">
      <c r="A507">
        <v>506</v>
      </c>
      <c r="B507" t="s">
        <v>472</v>
      </c>
      <c r="C507">
        <v>17600000</v>
      </c>
      <c r="D507">
        <v>9269174070</v>
      </c>
      <c r="E507" t="s">
        <v>996</v>
      </c>
      <c r="F507" t="s">
        <v>472</v>
      </c>
      <c r="G507">
        <v>3151</v>
      </c>
      <c r="H507" t="s">
        <v>1048</v>
      </c>
      <c r="I507" t="s">
        <v>1049</v>
      </c>
      <c r="J507" t="s">
        <v>986</v>
      </c>
      <c r="K507">
        <v>511</v>
      </c>
      <c r="L507">
        <v>7</v>
      </c>
      <c r="M507">
        <v>36</v>
      </c>
      <c r="N507">
        <v>55127000</v>
      </c>
      <c r="O507">
        <v>13800</v>
      </c>
      <c r="P507">
        <v>220500</v>
      </c>
      <c r="Q507">
        <v>165400</v>
      </c>
      <c r="R507">
        <v>2600000</v>
      </c>
      <c r="S507" t="s">
        <v>987</v>
      </c>
      <c r="T507">
        <v>2014</v>
      </c>
      <c r="U507" t="s">
        <v>980</v>
      </c>
      <c r="V507">
        <v>12</v>
      </c>
      <c r="W507">
        <v>49.3</v>
      </c>
      <c r="X507">
        <v>69625582</v>
      </c>
      <c r="Y507">
        <v>0.75</v>
      </c>
      <c r="Z507">
        <v>35294600</v>
      </c>
      <c r="AA507">
        <v>15.870032</v>
      </c>
      <c r="AB507">
        <v>100.992541</v>
      </c>
    </row>
    <row r="508" spans="1:28" x14ac:dyDescent="0.3">
      <c r="A508">
        <v>507</v>
      </c>
      <c r="B508" t="s">
        <v>618</v>
      </c>
      <c r="C508">
        <v>17600000</v>
      </c>
      <c r="D508">
        <v>2274007523</v>
      </c>
      <c r="E508" t="s">
        <v>1044</v>
      </c>
      <c r="F508" t="s">
        <v>618</v>
      </c>
      <c r="G508">
        <v>233</v>
      </c>
      <c r="H508" t="s">
        <v>1058</v>
      </c>
      <c r="I508" t="s">
        <v>1059</v>
      </c>
      <c r="J508" t="s">
        <v>1044</v>
      </c>
      <c r="K508">
        <v>4139</v>
      </c>
      <c r="L508">
        <v>17</v>
      </c>
      <c r="M508">
        <v>25</v>
      </c>
      <c r="N508">
        <v>27445000</v>
      </c>
      <c r="O508">
        <v>6900</v>
      </c>
      <c r="P508">
        <v>109800</v>
      </c>
      <c r="Q508">
        <v>82300</v>
      </c>
      <c r="R508">
        <v>1300000</v>
      </c>
      <c r="S508">
        <v>100000</v>
      </c>
      <c r="T508">
        <v>2011</v>
      </c>
      <c r="U508" t="s">
        <v>1003</v>
      </c>
      <c r="V508">
        <v>5</v>
      </c>
      <c r="W508">
        <v>40.200000000000003</v>
      </c>
      <c r="X508">
        <v>126014024</v>
      </c>
      <c r="Y508">
        <v>3.42</v>
      </c>
      <c r="Z508">
        <v>102626859</v>
      </c>
      <c r="AA508">
        <v>23.634501</v>
      </c>
      <c r="AB508">
        <v>-102.552784</v>
      </c>
    </row>
    <row r="509" spans="1:28" x14ac:dyDescent="0.3">
      <c r="A509">
        <v>508</v>
      </c>
      <c r="B509" t="s">
        <v>1184</v>
      </c>
      <c r="C509">
        <v>17600000</v>
      </c>
      <c r="D509">
        <v>2977741577</v>
      </c>
      <c r="E509" t="s">
        <v>1011</v>
      </c>
      <c r="F509" t="s">
        <v>1184</v>
      </c>
      <c r="G509">
        <v>128</v>
      </c>
      <c r="H509" t="s">
        <v>1185</v>
      </c>
      <c r="I509" t="s">
        <v>1186</v>
      </c>
      <c r="J509" t="s">
        <v>1053</v>
      </c>
      <c r="K509">
        <v>2917</v>
      </c>
      <c r="L509">
        <v>1</v>
      </c>
      <c r="M509">
        <v>16</v>
      </c>
      <c r="N509">
        <v>22354000</v>
      </c>
      <c r="O509">
        <v>5600</v>
      </c>
      <c r="P509">
        <v>89400</v>
      </c>
      <c r="Q509">
        <v>67100</v>
      </c>
      <c r="R509">
        <v>1100000</v>
      </c>
      <c r="S509">
        <v>100000</v>
      </c>
      <c r="T509">
        <v>2017</v>
      </c>
      <c r="U509" t="s">
        <v>1010</v>
      </c>
      <c r="V509">
        <v>22</v>
      </c>
      <c r="W509">
        <v>50.6</v>
      </c>
      <c r="X509">
        <v>1397715000</v>
      </c>
      <c r="Y509">
        <v>4.32</v>
      </c>
      <c r="Z509">
        <v>842933962</v>
      </c>
      <c r="AA509">
        <v>35.861660000000001</v>
      </c>
      <c r="AB509">
        <v>104.195397</v>
      </c>
    </row>
    <row r="510" spans="1:28" x14ac:dyDescent="0.3">
      <c r="A510">
        <v>509</v>
      </c>
      <c r="B510" t="s">
        <v>1187</v>
      </c>
      <c r="C510">
        <v>17600000</v>
      </c>
      <c r="D510">
        <v>3752347262</v>
      </c>
      <c r="E510" t="s">
        <v>996</v>
      </c>
      <c r="F510" t="s">
        <v>1188</v>
      </c>
      <c r="G510">
        <v>0</v>
      </c>
      <c r="H510" t="s">
        <v>1114</v>
      </c>
      <c r="I510" t="s">
        <v>1115</v>
      </c>
      <c r="J510" t="s">
        <v>987</v>
      </c>
      <c r="K510">
        <v>3612215</v>
      </c>
      <c r="L510">
        <v>6095</v>
      </c>
      <c r="M510" t="s">
        <v>987</v>
      </c>
      <c r="N510" t="s">
        <v>987</v>
      </c>
      <c r="O510">
        <v>0</v>
      </c>
      <c r="P510">
        <v>0</v>
      </c>
      <c r="Q510">
        <v>0</v>
      </c>
      <c r="R510">
        <v>0</v>
      </c>
      <c r="S510" t="s">
        <v>987</v>
      </c>
      <c r="T510" t="s">
        <v>987</v>
      </c>
      <c r="U510" t="s">
        <v>987</v>
      </c>
      <c r="V510" t="s">
        <v>987</v>
      </c>
      <c r="W510">
        <v>113.1</v>
      </c>
      <c r="X510">
        <v>25766605</v>
      </c>
      <c r="Y510">
        <v>5.27</v>
      </c>
      <c r="Z510">
        <v>21844756</v>
      </c>
      <c r="AA510">
        <v>-25.274398000000001</v>
      </c>
      <c r="AB510">
        <v>133.775136</v>
      </c>
    </row>
    <row r="511" spans="1:28" x14ac:dyDescent="0.3">
      <c r="A511">
        <v>510</v>
      </c>
      <c r="B511" t="s">
        <v>343</v>
      </c>
      <c r="C511">
        <v>17600000</v>
      </c>
      <c r="D511">
        <v>6306204566</v>
      </c>
      <c r="E511" t="s">
        <v>996</v>
      </c>
      <c r="F511" t="s">
        <v>343</v>
      </c>
      <c r="G511">
        <v>4702</v>
      </c>
      <c r="H511" t="s">
        <v>1031</v>
      </c>
      <c r="I511" t="s">
        <v>1032</v>
      </c>
      <c r="J511" t="s">
        <v>986</v>
      </c>
      <c r="K511">
        <v>973</v>
      </c>
      <c r="L511">
        <v>3</v>
      </c>
      <c r="M511">
        <v>36</v>
      </c>
      <c r="N511">
        <v>100215000</v>
      </c>
      <c r="O511">
        <v>25100</v>
      </c>
      <c r="P511">
        <v>400900</v>
      </c>
      <c r="Q511">
        <v>300600</v>
      </c>
      <c r="R511">
        <v>4800000</v>
      </c>
      <c r="S511">
        <v>500000</v>
      </c>
      <c r="T511">
        <v>2014</v>
      </c>
      <c r="U511" t="s">
        <v>989</v>
      </c>
      <c r="V511">
        <v>1</v>
      </c>
      <c r="W511">
        <v>88.5</v>
      </c>
      <c r="X511">
        <v>18952038</v>
      </c>
      <c r="Y511">
        <v>7.09</v>
      </c>
      <c r="Z511">
        <v>16610135</v>
      </c>
      <c r="AA511">
        <v>-35.675147000000003</v>
      </c>
      <c r="AB511">
        <v>-71.542968999999999</v>
      </c>
    </row>
    <row r="512" spans="1:28" x14ac:dyDescent="0.3">
      <c r="A512">
        <v>511</v>
      </c>
      <c r="B512" t="s">
        <v>716</v>
      </c>
      <c r="C512">
        <v>17600000</v>
      </c>
      <c r="D512">
        <v>3802280098</v>
      </c>
      <c r="E512" t="s">
        <v>977</v>
      </c>
      <c r="F512" t="s">
        <v>716</v>
      </c>
      <c r="G512">
        <v>326</v>
      </c>
      <c r="H512" t="s">
        <v>1006</v>
      </c>
      <c r="I512" t="s">
        <v>1007</v>
      </c>
      <c r="J512" t="s">
        <v>977</v>
      </c>
      <c r="K512">
        <v>2056</v>
      </c>
      <c r="L512">
        <v>12</v>
      </c>
      <c r="M512">
        <v>109</v>
      </c>
      <c r="N512">
        <v>11099000</v>
      </c>
      <c r="O512">
        <v>2800</v>
      </c>
      <c r="P512">
        <v>44400</v>
      </c>
      <c r="Q512">
        <v>33300</v>
      </c>
      <c r="R512">
        <v>532700</v>
      </c>
      <c r="S512" t="s">
        <v>987</v>
      </c>
      <c r="T512">
        <v>2011</v>
      </c>
      <c r="U512" t="s">
        <v>1010</v>
      </c>
      <c r="V512">
        <v>22</v>
      </c>
      <c r="W512">
        <v>94.3</v>
      </c>
      <c r="X512">
        <v>51709098</v>
      </c>
      <c r="Y512">
        <v>4.1500000000000004</v>
      </c>
      <c r="Z512">
        <v>42106719</v>
      </c>
      <c r="AA512">
        <v>35.907756999999997</v>
      </c>
      <c r="AB512">
        <v>127.76692199999999</v>
      </c>
    </row>
    <row r="513" spans="1:28" x14ac:dyDescent="0.3">
      <c r="A513">
        <v>512</v>
      </c>
      <c r="B513" t="s">
        <v>656</v>
      </c>
      <c r="C513">
        <v>17500000</v>
      </c>
      <c r="D513">
        <v>2238134438</v>
      </c>
      <c r="E513" t="s">
        <v>988</v>
      </c>
      <c r="F513" t="s">
        <v>656</v>
      </c>
      <c r="G513">
        <v>709</v>
      </c>
      <c r="H513" t="s">
        <v>978</v>
      </c>
      <c r="I513" t="s">
        <v>979</v>
      </c>
      <c r="J513" t="s">
        <v>988</v>
      </c>
      <c r="K513">
        <v>4243</v>
      </c>
      <c r="L513">
        <v>86</v>
      </c>
      <c r="M513">
        <v>124</v>
      </c>
      <c r="N513">
        <v>21056000</v>
      </c>
      <c r="O513">
        <v>5300</v>
      </c>
      <c r="P513">
        <v>84200</v>
      </c>
      <c r="Q513">
        <v>63200</v>
      </c>
      <c r="R513">
        <v>1000000</v>
      </c>
      <c r="S513" t="s">
        <v>987</v>
      </c>
      <c r="T513">
        <v>2016</v>
      </c>
      <c r="U513" t="s">
        <v>1015</v>
      </c>
      <c r="V513">
        <v>24</v>
      </c>
      <c r="W513">
        <v>28.1</v>
      </c>
      <c r="X513">
        <v>1366417754</v>
      </c>
      <c r="Y513">
        <v>5.36</v>
      </c>
      <c r="Z513">
        <v>471031528</v>
      </c>
      <c r="AA513">
        <v>20.593684</v>
      </c>
      <c r="AB513">
        <v>78.962879999999998</v>
      </c>
    </row>
    <row r="514" spans="1:28" x14ac:dyDescent="0.3">
      <c r="A514">
        <v>513</v>
      </c>
      <c r="B514" t="s">
        <v>88</v>
      </c>
      <c r="C514">
        <v>17500000</v>
      </c>
      <c r="D514">
        <v>7263619576</v>
      </c>
      <c r="E514" t="s">
        <v>1026</v>
      </c>
      <c r="F514" t="s">
        <v>88</v>
      </c>
      <c r="G514">
        <v>182742</v>
      </c>
      <c r="H514" t="s">
        <v>978</v>
      </c>
      <c r="I514" t="s">
        <v>979</v>
      </c>
      <c r="J514" t="s">
        <v>1027</v>
      </c>
      <c r="K514">
        <v>770</v>
      </c>
      <c r="L514">
        <v>85</v>
      </c>
      <c r="M514">
        <v>10</v>
      </c>
      <c r="N514">
        <v>394106000</v>
      </c>
      <c r="O514">
        <v>98500</v>
      </c>
      <c r="P514">
        <v>1600000</v>
      </c>
      <c r="Q514">
        <v>1200000</v>
      </c>
      <c r="R514">
        <v>18900000</v>
      </c>
      <c r="S514">
        <v>700000</v>
      </c>
      <c r="T514">
        <v>2007</v>
      </c>
      <c r="U514" t="s">
        <v>1025</v>
      </c>
      <c r="V514">
        <v>25</v>
      </c>
      <c r="W514">
        <v>28.1</v>
      </c>
      <c r="X514">
        <v>1366417754</v>
      </c>
      <c r="Y514">
        <v>5.36</v>
      </c>
      <c r="Z514">
        <v>471031528</v>
      </c>
      <c r="AA514">
        <v>20.593684</v>
      </c>
      <c r="AB514">
        <v>78.962879999999998</v>
      </c>
    </row>
    <row r="515" spans="1:28" x14ac:dyDescent="0.3">
      <c r="A515">
        <v>514</v>
      </c>
      <c r="B515" t="s">
        <v>321</v>
      </c>
      <c r="C515">
        <v>17500000</v>
      </c>
      <c r="D515">
        <v>7612385622</v>
      </c>
      <c r="E515" t="s">
        <v>988</v>
      </c>
      <c r="F515" t="s">
        <v>321</v>
      </c>
      <c r="G515">
        <v>149</v>
      </c>
      <c r="H515" t="s">
        <v>978</v>
      </c>
      <c r="I515" t="s">
        <v>979</v>
      </c>
      <c r="J515" t="s">
        <v>988</v>
      </c>
      <c r="K515">
        <v>723</v>
      </c>
      <c r="L515">
        <v>86</v>
      </c>
      <c r="M515">
        <v>124</v>
      </c>
      <c r="N515">
        <v>109847000</v>
      </c>
      <c r="O515">
        <v>27500</v>
      </c>
      <c r="P515">
        <v>439400</v>
      </c>
      <c r="Q515">
        <v>329500</v>
      </c>
      <c r="R515">
        <v>5300000</v>
      </c>
      <c r="S515">
        <v>300000</v>
      </c>
      <c r="T515">
        <v>2017</v>
      </c>
      <c r="U515" t="s">
        <v>991</v>
      </c>
      <c r="V515">
        <v>27</v>
      </c>
      <c r="W515">
        <v>28.1</v>
      </c>
      <c r="X515">
        <v>1366417754</v>
      </c>
      <c r="Y515">
        <v>5.36</v>
      </c>
      <c r="Z515">
        <v>471031528</v>
      </c>
      <c r="AA515">
        <v>20.593684</v>
      </c>
      <c r="AB515">
        <v>78.962879999999998</v>
      </c>
    </row>
    <row r="516" spans="1:28" x14ac:dyDescent="0.3">
      <c r="A516">
        <v>515</v>
      </c>
      <c r="B516" t="s">
        <v>354</v>
      </c>
      <c r="C516">
        <v>17500000</v>
      </c>
      <c r="D516">
        <v>16107116549</v>
      </c>
      <c r="E516" t="s">
        <v>996</v>
      </c>
      <c r="F516" t="s">
        <v>354</v>
      </c>
      <c r="G516">
        <v>156215</v>
      </c>
      <c r="H516" t="s">
        <v>984</v>
      </c>
      <c r="I516" t="s">
        <v>985</v>
      </c>
      <c r="J516" t="s">
        <v>986</v>
      </c>
      <c r="K516">
        <v>189</v>
      </c>
      <c r="L516">
        <v>129</v>
      </c>
      <c r="M516">
        <v>37</v>
      </c>
      <c r="N516">
        <v>98342000</v>
      </c>
      <c r="O516">
        <v>24600</v>
      </c>
      <c r="P516">
        <v>393400</v>
      </c>
      <c r="Q516">
        <v>295000</v>
      </c>
      <c r="R516">
        <v>4700000</v>
      </c>
      <c r="S516" t="s">
        <v>987</v>
      </c>
      <c r="T516">
        <v>2006</v>
      </c>
      <c r="U516" t="s">
        <v>991</v>
      </c>
      <c r="V516">
        <v>19</v>
      </c>
      <c r="W516">
        <v>88.2</v>
      </c>
      <c r="X516">
        <v>328239523</v>
      </c>
      <c r="Y516">
        <v>14.7</v>
      </c>
      <c r="Z516">
        <v>270663028</v>
      </c>
      <c r="AA516">
        <v>37.090240000000001</v>
      </c>
      <c r="AB516">
        <v>-95.712890999999999</v>
      </c>
    </row>
    <row r="517" spans="1:28" x14ac:dyDescent="0.3">
      <c r="A517">
        <v>516</v>
      </c>
      <c r="B517" t="s">
        <v>72</v>
      </c>
      <c r="C517">
        <v>17400000</v>
      </c>
      <c r="D517">
        <v>17763586483</v>
      </c>
      <c r="E517" t="s">
        <v>996</v>
      </c>
      <c r="F517" t="s">
        <v>72</v>
      </c>
      <c r="G517">
        <v>4411</v>
      </c>
      <c r="H517" t="s">
        <v>984</v>
      </c>
      <c r="I517" t="s">
        <v>985</v>
      </c>
      <c r="J517" t="s">
        <v>986</v>
      </c>
      <c r="K517">
        <v>152</v>
      </c>
      <c r="L517">
        <v>129</v>
      </c>
      <c r="M517">
        <v>37</v>
      </c>
      <c r="N517">
        <v>439870000</v>
      </c>
      <c r="O517">
        <v>110000</v>
      </c>
      <c r="P517">
        <v>1800000</v>
      </c>
      <c r="Q517">
        <v>1300000</v>
      </c>
      <c r="R517">
        <v>21100000</v>
      </c>
      <c r="S517">
        <v>400000</v>
      </c>
      <c r="T517">
        <v>2012</v>
      </c>
      <c r="U517" t="s">
        <v>1010</v>
      </c>
      <c r="V517">
        <v>13</v>
      </c>
      <c r="W517">
        <v>88.2</v>
      </c>
      <c r="X517">
        <v>328239523</v>
      </c>
      <c r="Y517">
        <v>14.7</v>
      </c>
      <c r="Z517">
        <v>270663028</v>
      </c>
      <c r="AA517">
        <v>37.090240000000001</v>
      </c>
      <c r="AB517">
        <v>-95.712890999999999</v>
      </c>
    </row>
    <row r="518" spans="1:28" x14ac:dyDescent="0.3">
      <c r="A518">
        <v>517</v>
      </c>
      <c r="B518" t="s">
        <v>160</v>
      </c>
      <c r="C518">
        <v>17400000</v>
      </c>
      <c r="D518">
        <v>13043561912</v>
      </c>
      <c r="E518" t="s">
        <v>988</v>
      </c>
      <c r="F518" t="s">
        <v>160</v>
      </c>
      <c r="G518">
        <v>118448</v>
      </c>
      <c r="H518" t="s">
        <v>1048</v>
      </c>
      <c r="I518" t="s">
        <v>1049</v>
      </c>
      <c r="J518" t="s">
        <v>1027</v>
      </c>
      <c r="K518">
        <v>286</v>
      </c>
      <c r="L518">
        <v>8</v>
      </c>
      <c r="M518">
        <v>11</v>
      </c>
      <c r="N518">
        <v>235993000</v>
      </c>
      <c r="O518">
        <v>59000</v>
      </c>
      <c r="P518">
        <v>944000</v>
      </c>
      <c r="Q518">
        <v>708000</v>
      </c>
      <c r="R518">
        <v>11300000</v>
      </c>
      <c r="S518">
        <v>200000</v>
      </c>
      <c r="T518">
        <v>2014</v>
      </c>
      <c r="U518" t="s">
        <v>989</v>
      </c>
      <c r="V518">
        <v>5</v>
      </c>
      <c r="W518">
        <v>49.3</v>
      </c>
      <c r="X518">
        <v>69625582</v>
      </c>
      <c r="Y518">
        <v>0.75</v>
      </c>
      <c r="Z518">
        <v>35294600</v>
      </c>
      <c r="AA518">
        <v>15.870032</v>
      </c>
      <c r="AB518">
        <v>100.992541</v>
      </c>
    </row>
    <row r="519" spans="1:28" x14ac:dyDescent="0.3">
      <c r="A519">
        <v>518</v>
      </c>
      <c r="B519" t="s">
        <v>1189</v>
      </c>
      <c r="C519">
        <v>17400000</v>
      </c>
      <c r="D519">
        <v>11144195464</v>
      </c>
      <c r="E519" t="s">
        <v>977</v>
      </c>
      <c r="F519" t="s">
        <v>1189</v>
      </c>
      <c r="G519">
        <v>2133</v>
      </c>
      <c r="H519" t="s">
        <v>1190</v>
      </c>
      <c r="I519" t="s">
        <v>1191</v>
      </c>
      <c r="J519" t="s">
        <v>977</v>
      </c>
      <c r="K519">
        <v>371</v>
      </c>
      <c r="L519">
        <v>1</v>
      </c>
      <c r="M519">
        <v>110</v>
      </c>
      <c r="N519">
        <v>113003000</v>
      </c>
      <c r="O519">
        <v>28300</v>
      </c>
      <c r="P519">
        <v>452000</v>
      </c>
      <c r="Q519">
        <v>339000</v>
      </c>
      <c r="R519">
        <v>5400000</v>
      </c>
      <c r="S519" t="s">
        <v>987</v>
      </c>
      <c r="T519">
        <v>2013</v>
      </c>
      <c r="U519" t="s">
        <v>991</v>
      </c>
      <c r="V519">
        <v>27</v>
      </c>
      <c r="W519">
        <v>16.2</v>
      </c>
      <c r="X519">
        <v>39309783</v>
      </c>
      <c r="Y519">
        <v>12.82</v>
      </c>
      <c r="Z519">
        <v>27783368</v>
      </c>
      <c r="AA519">
        <v>33.223191</v>
      </c>
      <c r="AB519">
        <v>43.679290999999999</v>
      </c>
    </row>
    <row r="520" spans="1:28" x14ac:dyDescent="0.3">
      <c r="A520">
        <v>519</v>
      </c>
      <c r="B520" t="s">
        <v>75</v>
      </c>
      <c r="C520">
        <v>17400000</v>
      </c>
      <c r="D520">
        <v>16560557488</v>
      </c>
      <c r="E520" t="s">
        <v>994</v>
      </c>
      <c r="F520" t="s">
        <v>75</v>
      </c>
      <c r="G520">
        <v>2078</v>
      </c>
      <c r="H520" t="s">
        <v>987</v>
      </c>
      <c r="I520" t="s">
        <v>987</v>
      </c>
      <c r="J520" t="s">
        <v>1002</v>
      </c>
      <c r="K520">
        <v>173</v>
      </c>
      <c r="L520" t="s">
        <v>987</v>
      </c>
      <c r="M520">
        <v>31</v>
      </c>
      <c r="N520">
        <v>426389000</v>
      </c>
      <c r="O520">
        <v>106600</v>
      </c>
      <c r="P520">
        <v>1700000</v>
      </c>
      <c r="Q520">
        <v>1300000</v>
      </c>
      <c r="R520">
        <v>20500000</v>
      </c>
      <c r="S520">
        <v>400000</v>
      </c>
      <c r="T520">
        <v>2016</v>
      </c>
      <c r="U520" t="s">
        <v>1015</v>
      </c>
      <c r="V520">
        <v>8</v>
      </c>
      <c r="W520" t="s">
        <v>987</v>
      </c>
      <c r="X520" t="s">
        <v>987</v>
      </c>
      <c r="Y520" t="s">
        <v>987</v>
      </c>
      <c r="Z520" t="s">
        <v>987</v>
      </c>
      <c r="AA520" t="s">
        <v>987</v>
      </c>
      <c r="AB520" t="s">
        <v>987</v>
      </c>
    </row>
    <row r="521" spans="1:28" x14ac:dyDescent="0.3">
      <c r="A521">
        <v>520</v>
      </c>
      <c r="B521" t="s">
        <v>519</v>
      </c>
      <c r="C521">
        <v>17300000</v>
      </c>
      <c r="D521">
        <v>1026425106</v>
      </c>
      <c r="E521" t="s">
        <v>1088</v>
      </c>
      <c r="F521" t="s">
        <v>519</v>
      </c>
      <c r="G521">
        <v>180</v>
      </c>
      <c r="H521" t="s">
        <v>984</v>
      </c>
      <c r="I521" t="s">
        <v>985</v>
      </c>
      <c r="J521" t="s">
        <v>1089</v>
      </c>
      <c r="K521">
        <v>11274</v>
      </c>
      <c r="L521">
        <v>130</v>
      </c>
      <c r="M521">
        <v>9</v>
      </c>
      <c r="N521">
        <v>46484000</v>
      </c>
      <c r="O521">
        <v>11600</v>
      </c>
      <c r="P521">
        <v>185900</v>
      </c>
      <c r="Q521">
        <v>139500</v>
      </c>
      <c r="R521">
        <v>2200000</v>
      </c>
      <c r="S521">
        <v>100000</v>
      </c>
      <c r="T521">
        <v>2005</v>
      </c>
      <c r="U521" t="s">
        <v>1008</v>
      </c>
      <c r="V521">
        <v>22</v>
      </c>
      <c r="W521">
        <v>88.2</v>
      </c>
      <c r="X521">
        <v>328239523</v>
      </c>
      <c r="Y521">
        <v>14.7</v>
      </c>
      <c r="Z521">
        <v>270663028</v>
      </c>
      <c r="AA521">
        <v>37.090240000000001</v>
      </c>
      <c r="AB521">
        <v>-95.712890999999999</v>
      </c>
    </row>
    <row r="522" spans="1:28" x14ac:dyDescent="0.3">
      <c r="A522">
        <v>521</v>
      </c>
      <c r="B522" t="s">
        <v>789</v>
      </c>
      <c r="C522">
        <v>17300000</v>
      </c>
      <c r="D522">
        <v>902225615</v>
      </c>
      <c r="E522" t="s">
        <v>982</v>
      </c>
      <c r="F522" t="s">
        <v>789</v>
      </c>
      <c r="G522">
        <v>287</v>
      </c>
      <c r="H522" t="s">
        <v>978</v>
      </c>
      <c r="I522" t="s">
        <v>979</v>
      </c>
      <c r="J522" t="s">
        <v>988</v>
      </c>
      <c r="K522">
        <v>13315</v>
      </c>
      <c r="L522">
        <v>87</v>
      </c>
      <c r="M522">
        <v>125</v>
      </c>
      <c r="N522">
        <v>837850</v>
      </c>
      <c r="O522">
        <v>209</v>
      </c>
      <c r="P522">
        <v>3400</v>
      </c>
      <c r="Q522">
        <v>2500</v>
      </c>
      <c r="R522">
        <v>40200</v>
      </c>
      <c r="S522" t="s">
        <v>987</v>
      </c>
      <c r="T522">
        <v>2016</v>
      </c>
      <c r="U522" t="s">
        <v>991</v>
      </c>
      <c r="V522">
        <v>5</v>
      </c>
      <c r="W522">
        <v>28.1</v>
      </c>
      <c r="X522">
        <v>1366417754</v>
      </c>
      <c r="Y522">
        <v>5.36</v>
      </c>
      <c r="Z522">
        <v>471031528</v>
      </c>
      <c r="AA522">
        <v>20.593684</v>
      </c>
      <c r="AB522">
        <v>78.962879999999998</v>
      </c>
    </row>
    <row r="523" spans="1:28" x14ac:dyDescent="0.3">
      <c r="A523">
        <v>522</v>
      </c>
      <c r="B523" t="s">
        <v>107</v>
      </c>
      <c r="C523">
        <v>17300000</v>
      </c>
      <c r="D523">
        <v>11371738047</v>
      </c>
      <c r="E523" t="s">
        <v>988</v>
      </c>
      <c r="F523" t="s">
        <v>107</v>
      </c>
      <c r="G523">
        <v>4778</v>
      </c>
      <c r="H523" t="s">
        <v>978</v>
      </c>
      <c r="I523" t="s">
        <v>979</v>
      </c>
      <c r="J523" t="s">
        <v>988</v>
      </c>
      <c r="K523">
        <v>356</v>
      </c>
      <c r="L523">
        <v>87</v>
      </c>
      <c r="M523">
        <v>125</v>
      </c>
      <c r="N523">
        <v>331944000</v>
      </c>
      <c r="O523">
        <v>83000</v>
      </c>
      <c r="P523">
        <v>1300000</v>
      </c>
      <c r="Q523">
        <v>995800</v>
      </c>
      <c r="R523">
        <v>15900000</v>
      </c>
      <c r="S523">
        <v>300000</v>
      </c>
      <c r="T523">
        <v>2014</v>
      </c>
      <c r="U523" t="s">
        <v>1010</v>
      </c>
      <c r="V523">
        <v>4</v>
      </c>
      <c r="W523">
        <v>28.1</v>
      </c>
      <c r="X523">
        <v>1366417754</v>
      </c>
      <c r="Y523">
        <v>5.36</v>
      </c>
      <c r="Z523">
        <v>471031528</v>
      </c>
      <c r="AA523">
        <v>20.593684</v>
      </c>
      <c r="AB523">
        <v>78.962879999999998</v>
      </c>
    </row>
    <row r="524" spans="1:28" x14ac:dyDescent="0.3">
      <c r="A524">
        <v>523</v>
      </c>
      <c r="B524" t="s">
        <v>687</v>
      </c>
      <c r="C524">
        <v>17300000</v>
      </c>
      <c r="D524">
        <v>3684816159</v>
      </c>
      <c r="E524" t="s">
        <v>1011</v>
      </c>
      <c r="F524" t="s">
        <v>687</v>
      </c>
      <c r="G524">
        <v>582</v>
      </c>
      <c r="H524" t="s">
        <v>1114</v>
      </c>
      <c r="I524" t="s">
        <v>1115</v>
      </c>
      <c r="J524" t="s">
        <v>1053</v>
      </c>
      <c r="K524">
        <v>2146</v>
      </c>
      <c r="L524">
        <v>6</v>
      </c>
      <c r="M524">
        <v>17</v>
      </c>
      <c r="N524">
        <v>15525000</v>
      </c>
      <c r="O524">
        <v>3900</v>
      </c>
      <c r="P524">
        <v>62100</v>
      </c>
      <c r="Q524">
        <v>46600</v>
      </c>
      <c r="R524">
        <v>745200</v>
      </c>
      <c r="S524" t="s">
        <v>987</v>
      </c>
      <c r="T524">
        <v>2011</v>
      </c>
      <c r="U524" t="s">
        <v>1005</v>
      </c>
      <c r="V524">
        <v>8</v>
      </c>
      <c r="W524">
        <v>113.1</v>
      </c>
      <c r="X524">
        <v>25766605</v>
      </c>
      <c r="Y524">
        <v>5.27</v>
      </c>
      <c r="Z524">
        <v>21844756</v>
      </c>
      <c r="AA524">
        <v>-25.274398000000001</v>
      </c>
      <c r="AB524">
        <v>133.775136</v>
      </c>
    </row>
    <row r="525" spans="1:28" x14ac:dyDescent="0.3">
      <c r="A525">
        <v>524</v>
      </c>
      <c r="B525" t="s">
        <v>690</v>
      </c>
      <c r="C525">
        <v>17200000</v>
      </c>
      <c r="D525">
        <v>14573155899</v>
      </c>
      <c r="E525" t="s">
        <v>996</v>
      </c>
      <c r="F525" t="s">
        <v>690</v>
      </c>
      <c r="G525">
        <v>4685</v>
      </c>
      <c r="H525" t="s">
        <v>987</v>
      </c>
      <c r="I525" t="s">
        <v>987</v>
      </c>
      <c r="J525" t="s">
        <v>986</v>
      </c>
      <c r="K525">
        <v>240</v>
      </c>
      <c r="L525" t="s">
        <v>987</v>
      </c>
      <c r="M525">
        <v>38</v>
      </c>
      <c r="N525">
        <v>15296000</v>
      </c>
      <c r="O525">
        <v>3800</v>
      </c>
      <c r="P525">
        <v>61200</v>
      </c>
      <c r="Q525">
        <v>45900</v>
      </c>
      <c r="R525">
        <v>734200</v>
      </c>
      <c r="S525">
        <v>100000</v>
      </c>
      <c r="T525">
        <v>2012</v>
      </c>
      <c r="U525" t="s">
        <v>999</v>
      </c>
      <c r="V525">
        <v>17</v>
      </c>
      <c r="W525" t="s">
        <v>987</v>
      </c>
      <c r="X525" t="s">
        <v>987</v>
      </c>
      <c r="Y525" t="s">
        <v>987</v>
      </c>
      <c r="Z525" t="s">
        <v>987</v>
      </c>
      <c r="AA525" t="s">
        <v>987</v>
      </c>
      <c r="AB525" t="s">
        <v>987</v>
      </c>
    </row>
    <row r="526" spans="1:28" x14ac:dyDescent="0.3">
      <c r="A526">
        <v>525</v>
      </c>
      <c r="B526" t="s">
        <v>485</v>
      </c>
      <c r="C526">
        <v>17200000</v>
      </c>
      <c r="D526">
        <v>3606912471</v>
      </c>
      <c r="E526" t="s">
        <v>1088</v>
      </c>
      <c r="F526" t="s">
        <v>485</v>
      </c>
      <c r="G526">
        <v>1567</v>
      </c>
      <c r="H526" t="s">
        <v>984</v>
      </c>
      <c r="I526" t="s">
        <v>985</v>
      </c>
      <c r="J526" t="s">
        <v>1089</v>
      </c>
      <c r="K526">
        <v>2196</v>
      </c>
      <c r="L526">
        <v>131</v>
      </c>
      <c r="M526">
        <v>10</v>
      </c>
      <c r="N526">
        <v>52325000</v>
      </c>
      <c r="O526">
        <v>13100</v>
      </c>
      <c r="P526">
        <v>209300</v>
      </c>
      <c r="Q526">
        <v>157000</v>
      </c>
      <c r="R526">
        <v>2500000</v>
      </c>
      <c r="S526">
        <v>100000</v>
      </c>
      <c r="T526">
        <v>2008</v>
      </c>
      <c r="U526" t="s">
        <v>980</v>
      </c>
      <c r="V526">
        <v>21</v>
      </c>
      <c r="W526">
        <v>88.2</v>
      </c>
      <c r="X526">
        <v>328239523</v>
      </c>
      <c r="Y526">
        <v>14.7</v>
      </c>
      <c r="Z526">
        <v>270663028</v>
      </c>
      <c r="AA526">
        <v>37.090240000000001</v>
      </c>
      <c r="AB526">
        <v>-95.712890999999999</v>
      </c>
    </row>
    <row r="527" spans="1:28" x14ac:dyDescent="0.3">
      <c r="A527">
        <v>526</v>
      </c>
      <c r="B527" t="s">
        <v>421</v>
      </c>
      <c r="C527">
        <v>17200000</v>
      </c>
      <c r="D527">
        <v>7337212581</v>
      </c>
      <c r="E527" t="s">
        <v>977</v>
      </c>
      <c r="F527" t="s">
        <v>421</v>
      </c>
      <c r="G527">
        <v>138</v>
      </c>
      <c r="H527" t="s">
        <v>1019</v>
      </c>
      <c r="I527" t="s">
        <v>1020</v>
      </c>
      <c r="J527" t="s">
        <v>977</v>
      </c>
      <c r="K527">
        <v>769</v>
      </c>
      <c r="L527">
        <v>28</v>
      </c>
      <c r="M527">
        <v>111</v>
      </c>
      <c r="N527">
        <v>72684000</v>
      </c>
      <c r="O527">
        <v>18200</v>
      </c>
      <c r="P527">
        <v>290700</v>
      </c>
      <c r="Q527">
        <v>218100</v>
      </c>
      <c r="R527">
        <v>3500000</v>
      </c>
      <c r="S527" t="s">
        <v>987</v>
      </c>
      <c r="T527">
        <v>2011</v>
      </c>
      <c r="U527" t="s">
        <v>1029</v>
      </c>
      <c r="V527">
        <v>2</v>
      </c>
      <c r="W527">
        <v>51.3</v>
      </c>
      <c r="X527">
        <v>212559417</v>
      </c>
      <c r="Y527">
        <v>12.08</v>
      </c>
      <c r="Z527">
        <v>183241641</v>
      </c>
      <c r="AA527">
        <v>-14.235004</v>
      </c>
      <c r="AB527">
        <v>-51.925280000000001</v>
      </c>
    </row>
    <row r="528" spans="1:28" x14ac:dyDescent="0.3">
      <c r="A528">
        <v>527</v>
      </c>
      <c r="B528" t="s">
        <v>840</v>
      </c>
      <c r="C528">
        <v>17200000</v>
      </c>
      <c r="D528">
        <v>8903647480</v>
      </c>
      <c r="E528" t="s">
        <v>990</v>
      </c>
      <c r="F528" t="s">
        <v>1192</v>
      </c>
      <c r="G528">
        <v>83</v>
      </c>
      <c r="H528" t="s">
        <v>1114</v>
      </c>
      <c r="I528" t="s">
        <v>1115</v>
      </c>
      <c r="J528" t="s">
        <v>1002</v>
      </c>
      <c r="K528">
        <v>4031958</v>
      </c>
      <c r="L528">
        <v>3450</v>
      </c>
      <c r="M528">
        <v>7408</v>
      </c>
      <c r="N528">
        <v>25</v>
      </c>
      <c r="O528">
        <v>0.01</v>
      </c>
      <c r="P528">
        <v>0.1</v>
      </c>
      <c r="Q528">
        <v>0.08</v>
      </c>
      <c r="R528">
        <v>1</v>
      </c>
      <c r="S528" t="s">
        <v>987</v>
      </c>
      <c r="T528">
        <v>2014</v>
      </c>
      <c r="U528" t="s">
        <v>991</v>
      </c>
      <c r="V528">
        <v>11</v>
      </c>
      <c r="W528">
        <v>113.1</v>
      </c>
      <c r="X528">
        <v>25766605</v>
      </c>
      <c r="Y528">
        <v>5.27</v>
      </c>
      <c r="Z528">
        <v>21844756</v>
      </c>
      <c r="AA528">
        <v>-25.274398000000001</v>
      </c>
      <c r="AB528">
        <v>133.775136</v>
      </c>
    </row>
    <row r="529" spans="1:28" x14ac:dyDescent="0.3">
      <c r="A529">
        <v>528</v>
      </c>
      <c r="B529" t="s">
        <v>397</v>
      </c>
      <c r="C529">
        <v>17200000</v>
      </c>
      <c r="D529">
        <v>11445492404</v>
      </c>
      <c r="E529" t="s">
        <v>990</v>
      </c>
      <c r="F529" t="s">
        <v>397</v>
      </c>
      <c r="G529">
        <v>1007</v>
      </c>
      <c r="H529" t="s">
        <v>1023</v>
      </c>
      <c r="I529" t="s">
        <v>1024</v>
      </c>
      <c r="J529" t="s">
        <v>990</v>
      </c>
      <c r="K529">
        <v>353</v>
      </c>
      <c r="L529">
        <v>11</v>
      </c>
      <c r="M529">
        <v>28</v>
      </c>
      <c r="N529">
        <v>83709000</v>
      </c>
      <c r="O529">
        <v>20900</v>
      </c>
      <c r="P529">
        <v>334800</v>
      </c>
      <c r="Q529">
        <v>251100</v>
      </c>
      <c r="R529">
        <v>4000000</v>
      </c>
      <c r="S529">
        <v>100000</v>
      </c>
      <c r="T529">
        <v>2015</v>
      </c>
      <c r="U529" t="s">
        <v>980</v>
      </c>
      <c r="V529">
        <v>3</v>
      </c>
      <c r="W529">
        <v>90</v>
      </c>
      <c r="X529">
        <v>44938712</v>
      </c>
      <c r="Y529">
        <v>9.7899999999999991</v>
      </c>
      <c r="Z529">
        <v>41339571</v>
      </c>
      <c r="AA529">
        <v>-38.416097000000001</v>
      </c>
      <c r="AB529">
        <v>-63.616672000000001</v>
      </c>
    </row>
    <row r="530" spans="1:28" x14ac:dyDescent="0.3">
      <c r="A530">
        <v>529</v>
      </c>
      <c r="B530" t="s">
        <v>688</v>
      </c>
      <c r="C530">
        <v>17200000</v>
      </c>
      <c r="D530">
        <v>5024088947</v>
      </c>
      <c r="E530" t="s">
        <v>996</v>
      </c>
      <c r="F530" t="s">
        <v>688</v>
      </c>
      <c r="G530">
        <v>7550</v>
      </c>
      <c r="H530" t="s">
        <v>1065</v>
      </c>
      <c r="I530" t="s">
        <v>1066</v>
      </c>
      <c r="J530" t="s">
        <v>986</v>
      </c>
      <c r="K530">
        <v>1359</v>
      </c>
      <c r="L530">
        <v>9</v>
      </c>
      <c r="M530">
        <v>38</v>
      </c>
      <c r="N530">
        <v>15405000</v>
      </c>
      <c r="O530">
        <v>3900</v>
      </c>
      <c r="P530">
        <v>61600</v>
      </c>
      <c r="Q530">
        <v>46200</v>
      </c>
      <c r="R530">
        <v>739500</v>
      </c>
      <c r="S530" t="s">
        <v>987</v>
      </c>
      <c r="T530">
        <v>2009</v>
      </c>
      <c r="U530" t="s">
        <v>1010</v>
      </c>
      <c r="V530">
        <v>9</v>
      </c>
      <c r="W530">
        <v>88.9</v>
      </c>
      <c r="X530">
        <v>47076781</v>
      </c>
      <c r="Y530">
        <v>13.96</v>
      </c>
      <c r="Z530">
        <v>37927409</v>
      </c>
      <c r="AA530">
        <v>40.463667000000001</v>
      </c>
      <c r="AB530">
        <v>-3.7492200000000002</v>
      </c>
    </row>
    <row r="531" spans="1:28" x14ac:dyDescent="0.3">
      <c r="A531">
        <v>530</v>
      </c>
      <c r="B531" t="s">
        <v>554</v>
      </c>
      <c r="C531">
        <v>17100000</v>
      </c>
      <c r="D531">
        <v>4448334716</v>
      </c>
      <c r="E531" t="s">
        <v>1044</v>
      </c>
      <c r="F531" t="s">
        <v>554</v>
      </c>
      <c r="G531">
        <v>498</v>
      </c>
      <c r="H531" t="s">
        <v>1000</v>
      </c>
      <c r="I531" t="s">
        <v>1001</v>
      </c>
      <c r="J531" t="s">
        <v>988</v>
      </c>
      <c r="K531">
        <v>1624</v>
      </c>
      <c r="L531">
        <v>6</v>
      </c>
      <c r="M531">
        <v>126</v>
      </c>
      <c r="N531">
        <v>37164000</v>
      </c>
      <c r="O531">
        <v>9300</v>
      </c>
      <c r="P531">
        <v>148700</v>
      </c>
      <c r="Q531">
        <v>111500</v>
      </c>
      <c r="R531">
        <v>1800000</v>
      </c>
      <c r="S531">
        <v>100000</v>
      </c>
      <c r="T531">
        <v>2012</v>
      </c>
      <c r="U531" t="s">
        <v>1008</v>
      </c>
      <c r="V531">
        <v>4</v>
      </c>
      <c r="W531">
        <v>81.900000000000006</v>
      </c>
      <c r="X531">
        <v>144373535</v>
      </c>
      <c r="Y531">
        <v>4.59</v>
      </c>
      <c r="Z531">
        <v>107683889</v>
      </c>
      <c r="AA531">
        <v>61.524009999999997</v>
      </c>
      <c r="AB531">
        <v>105.31875599999999</v>
      </c>
    </row>
    <row r="532" spans="1:28" x14ac:dyDescent="0.3">
      <c r="A532">
        <v>531</v>
      </c>
      <c r="B532" t="s">
        <v>508</v>
      </c>
      <c r="C532">
        <v>17100000</v>
      </c>
      <c r="D532">
        <v>9710962528</v>
      </c>
      <c r="E532" t="s">
        <v>988</v>
      </c>
      <c r="F532" t="s">
        <v>508</v>
      </c>
      <c r="G532">
        <v>148225</v>
      </c>
      <c r="H532" t="s">
        <v>1081</v>
      </c>
      <c r="I532" t="s">
        <v>1082</v>
      </c>
      <c r="J532" t="s">
        <v>988</v>
      </c>
      <c r="K532">
        <v>472</v>
      </c>
      <c r="L532">
        <v>18</v>
      </c>
      <c r="M532">
        <v>127</v>
      </c>
      <c r="N532">
        <v>45811000</v>
      </c>
      <c r="O532">
        <v>11500</v>
      </c>
      <c r="P532">
        <v>183200</v>
      </c>
      <c r="Q532">
        <v>137400</v>
      </c>
      <c r="R532">
        <v>2200000</v>
      </c>
      <c r="S532">
        <v>100000</v>
      </c>
      <c r="T532">
        <v>2014</v>
      </c>
      <c r="U532" t="s">
        <v>991</v>
      </c>
      <c r="V532">
        <v>2</v>
      </c>
      <c r="W532">
        <v>36.299999999999997</v>
      </c>
      <c r="X532">
        <v>270203917</v>
      </c>
      <c r="Y532">
        <v>4.6900000000000004</v>
      </c>
      <c r="Z532">
        <v>151509724</v>
      </c>
      <c r="AA532">
        <v>-0.78927499999999995</v>
      </c>
      <c r="AB532">
        <v>113.92132700000001</v>
      </c>
    </row>
    <row r="533" spans="1:28" x14ac:dyDescent="0.3">
      <c r="A533">
        <v>532</v>
      </c>
      <c r="B533" t="s">
        <v>780</v>
      </c>
      <c r="C533">
        <v>17100000</v>
      </c>
      <c r="D533">
        <v>2173106162</v>
      </c>
      <c r="E533" t="s">
        <v>1044</v>
      </c>
      <c r="F533" t="s">
        <v>780</v>
      </c>
      <c r="G533">
        <v>142</v>
      </c>
      <c r="H533" t="s">
        <v>984</v>
      </c>
      <c r="I533" t="s">
        <v>985</v>
      </c>
      <c r="J533" t="s">
        <v>988</v>
      </c>
      <c r="K533">
        <v>4443</v>
      </c>
      <c r="L533">
        <v>132</v>
      </c>
      <c r="M533">
        <v>127</v>
      </c>
      <c r="N533">
        <v>1761000</v>
      </c>
      <c r="O533">
        <v>440</v>
      </c>
      <c r="P533">
        <v>7000</v>
      </c>
      <c r="Q533">
        <v>5300</v>
      </c>
      <c r="R533">
        <v>84500</v>
      </c>
      <c r="S533" t="s">
        <v>987</v>
      </c>
      <c r="T533">
        <v>2013</v>
      </c>
      <c r="U533" t="s">
        <v>991</v>
      </c>
      <c r="V533">
        <v>2</v>
      </c>
      <c r="W533">
        <v>88.2</v>
      </c>
      <c r="X533">
        <v>328239523</v>
      </c>
      <c r="Y533">
        <v>14.7</v>
      </c>
      <c r="Z533">
        <v>270663028</v>
      </c>
      <c r="AA533">
        <v>37.090240000000001</v>
      </c>
      <c r="AB533">
        <v>-95.712890999999999</v>
      </c>
    </row>
    <row r="534" spans="1:28" x14ac:dyDescent="0.3">
      <c r="A534">
        <v>533</v>
      </c>
      <c r="B534" t="s">
        <v>363</v>
      </c>
      <c r="C534">
        <v>17000000</v>
      </c>
      <c r="D534">
        <v>10847948832</v>
      </c>
      <c r="E534" t="s">
        <v>977</v>
      </c>
      <c r="F534" t="s">
        <v>363</v>
      </c>
      <c r="G534">
        <v>1015</v>
      </c>
      <c r="H534" t="s">
        <v>1013</v>
      </c>
      <c r="I534" t="s">
        <v>1014</v>
      </c>
      <c r="J534" t="s">
        <v>977</v>
      </c>
      <c r="K534">
        <v>385</v>
      </c>
      <c r="L534">
        <v>21</v>
      </c>
      <c r="M534">
        <v>112</v>
      </c>
      <c r="N534">
        <v>93768000</v>
      </c>
      <c r="O534">
        <v>23400</v>
      </c>
      <c r="P534">
        <v>375100</v>
      </c>
      <c r="Q534">
        <v>281300</v>
      </c>
      <c r="R534">
        <v>4500000</v>
      </c>
      <c r="S534">
        <v>100000</v>
      </c>
      <c r="T534">
        <v>2008</v>
      </c>
      <c r="U534" t="s">
        <v>1015</v>
      </c>
      <c r="V534">
        <v>7</v>
      </c>
      <c r="W534">
        <v>60</v>
      </c>
      <c r="X534">
        <v>66834405</v>
      </c>
      <c r="Y534">
        <v>3.85</v>
      </c>
      <c r="Z534">
        <v>55908316</v>
      </c>
      <c r="AA534">
        <v>55.378050999999999</v>
      </c>
      <c r="AB534">
        <v>-3.4359730000000002</v>
      </c>
    </row>
    <row r="535" spans="1:28" x14ac:dyDescent="0.3">
      <c r="A535">
        <v>534</v>
      </c>
      <c r="B535" t="s">
        <v>744</v>
      </c>
      <c r="C535">
        <v>17000000</v>
      </c>
      <c r="D535">
        <v>1001465469</v>
      </c>
      <c r="E535" t="s">
        <v>1044</v>
      </c>
      <c r="F535" t="s">
        <v>744</v>
      </c>
      <c r="G535">
        <v>1407</v>
      </c>
      <c r="H535" t="s">
        <v>978</v>
      </c>
      <c r="I535" t="s">
        <v>979</v>
      </c>
      <c r="J535" t="s">
        <v>988</v>
      </c>
      <c r="K535">
        <v>11662</v>
      </c>
      <c r="L535">
        <v>89</v>
      </c>
      <c r="M535">
        <v>128</v>
      </c>
      <c r="N535">
        <v>7626000</v>
      </c>
      <c r="O535">
        <v>1900</v>
      </c>
      <c r="P535">
        <v>30500</v>
      </c>
      <c r="Q535">
        <v>22900</v>
      </c>
      <c r="R535">
        <v>366100</v>
      </c>
      <c r="S535">
        <v>100000</v>
      </c>
      <c r="T535">
        <v>2013</v>
      </c>
      <c r="U535" t="s">
        <v>980</v>
      </c>
      <c r="V535">
        <v>14</v>
      </c>
      <c r="W535">
        <v>28.1</v>
      </c>
      <c r="X535">
        <v>1366417754</v>
      </c>
      <c r="Y535">
        <v>5.36</v>
      </c>
      <c r="Z535">
        <v>471031528</v>
      </c>
      <c r="AA535">
        <v>20.593684</v>
      </c>
      <c r="AB535">
        <v>78.962879999999998</v>
      </c>
    </row>
    <row r="536" spans="1:28" x14ac:dyDescent="0.3">
      <c r="A536">
        <v>535</v>
      </c>
      <c r="B536" t="s">
        <v>931</v>
      </c>
      <c r="C536">
        <v>17000000</v>
      </c>
      <c r="D536">
        <v>8229883114</v>
      </c>
      <c r="E536" t="s">
        <v>988</v>
      </c>
      <c r="F536" t="s">
        <v>1193</v>
      </c>
      <c r="G536">
        <v>1</v>
      </c>
      <c r="H536" t="s">
        <v>987</v>
      </c>
      <c r="I536" t="s">
        <v>987</v>
      </c>
      <c r="J536" t="s">
        <v>1002</v>
      </c>
      <c r="K536">
        <v>4057752</v>
      </c>
      <c r="L536" t="s">
        <v>987</v>
      </c>
      <c r="M536">
        <v>7732</v>
      </c>
      <c r="N536" t="s">
        <v>987</v>
      </c>
      <c r="O536">
        <v>0</v>
      </c>
      <c r="P536">
        <v>0</v>
      </c>
      <c r="Q536">
        <v>0</v>
      </c>
      <c r="R536">
        <v>0</v>
      </c>
      <c r="S536" t="s">
        <v>987</v>
      </c>
      <c r="T536">
        <v>2008</v>
      </c>
      <c r="U536" t="s">
        <v>1010</v>
      </c>
      <c r="V536">
        <v>21</v>
      </c>
      <c r="W536" t="s">
        <v>987</v>
      </c>
      <c r="X536" t="s">
        <v>987</v>
      </c>
      <c r="Y536" t="s">
        <v>987</v>
      </c>
      <c r="Z536" t="s">
        <v>987</v>
      </c>
      <c r="AA536" t="s">
        <v>987</v>
      </c>
      <c r="AB536" t="s">
        <v>987</v>
      </c>
    </row>
    <row r="537" spans="1:28" x14ac:dyDescent="0.3">
      <c r="A537">
        <v>536</v>
      </c>
      <c r="B537" t="s">
        <v>493</v>
      </c>
      <c r="C537">
        <v>17000000</v>
      </c>
      <c r="D537">
        <v>14543594822</v>
      </c>
      <c r="E537" t="s">
        <v>977</v>
      </c>
      <c r="F537" t="s">
        <v>493</v>
      </c>
      <c r="G537">
        <v>97</v>
      </c>
      <c r="H537" t="s">
        <v>984</v>
      </c>
      <c r="I537" t="s">
        <v>985</v>
      </c>
      <c r="J537" t="s">
        <v>977</v>
      </c>
      <c r="K537">
        <v>241</v>
      </c>
      <c r="L537">
        <v>133</v>
      </c>
      <c r="M537">
        <v>112</v>
      </c>
      <c r="N537">
        <v>49817000</v>
      </c>
      <c r="O537">
        <v>12500</v>
      </c>
      <c r="P537">
        <v>199300</v>
      </c>
      <c r="Q537">
        <v>149500</v>
      </c>
      <c r="R537">
        <v>2400000</v>
      </c>
      <c r="S537" t="s">
        <v>987</v>
      </c>
      <c r="T537">
        <v>2009</v>
      </c>
      <c r="U537" t="s">
        <v>995</v>
      </c>
      <c r="V537">
        <v>12</v>
      </c>
      <c r="W537">
        <v>88.2</v>
      </c>
      <c r="X537">
        <v>328239523</v>
      </c>
      <c r="Y537">
        <v>14.7</v>
      </c>
      <c r="Z537">
        <v>270663028</v>
      </c>
      <c r="AA537">
        <v>37.090240000000001</v>
      </c>
      <c r="AB537">
        <v>-95.712890999999999</v>
      </c>
    </row>
    <row r="538" spans="1:28" x14ac:dyDescent="0.3">
      <c r="A538">
        <v>537</v>
      </c>
      <c r="B538" t="s">
        <v>417</v>
      </c>
      <c r="C538">
        <v>16900000</v>
      </c>
      <c r="D538">
        <v>8684010451</v>
      </c>
      <c r="E538" t="s">
        <v>977</v>
      </c>
      <c r="F538" t="s">
        <v>417</v>
      </c>
      <c r="G538">
        <v>2235</v>
      </c>
      <c r="H538" t="s">
        <v>978</v>
      </c>
      <c r="I538" t="s">
        <v>979</v>
      </c>
      <c r="J538" t="s">
        <v>977</v>
      </c>
      <c r="K538">
        <v>574</v>
      </c>
      <c r="L538">
        <v>90</v>
      </c>
      <c r="M538">
        <v>113</v>
      </c>
      <c r="N538">
        <v>72911000</v>
      </c>
      <c r="O538">
        <v>18200</v>
      </c>
      <c r="P538">
        <v>291600</v>
      </c>
      <c r="Q538">
        <v>218700</v>
      </c>
      <c r="R538">
        <v>3500000</v>
      </c>
      <c r="S538">
        <v>200000</v>
      </c>
      <c r="T538">
        <v>2011</v>
      </c>
      <c r="U538" t="s">
        <v>1010</v>
      </c>
      <c r="V538">
        <v>26</v>
      </c>
      <c r="W538">
        <v>28.1</v>
      </c>
      <c r="X538">
        <v>1366417754</v>
      </c>
      <c r="Y538">
        <v>5.36</v>
      </c>
      <c r="Z538">
        <v>471031528</v>
      </c>
      <c r="AA538">
        <v>20.593684</v>
      </c>
      <c r="AB538">
        <v>78.962879999999998</v>
      </c>
    </row>
    <row r="539" spans="1:28" x14ac:dyDescent="0.3">
      <c r="A539">
        <v>538</v>
      </c>
      <c r="B539" t="s">
        <v>720</v>
      </c>
      <c r="C539">
        <v>16900000</v>
      </c>
      <c r="D539">
        <v>9111000228</v>
      </c>
      <c r="E539" t="s">
        <v>996</v>
      </c>
      <c r="F539" t="s">
        <v>720</v>
      </c>
      <c r="G539">
        <v>1910</v>
      </c>
      <c r="H539" t="s">
        <v>984</v>
      </c>
      <c r="I539" t="s">
        <v>985</v>
      </c>
      <c r="J539" t="s">
        <v>988</v>
      </c>
      <c r="K539">
        <v>527</v>
      </c>
      <c r="L539">
        <v>134</v>
      </c>
      <c r="M539">
        <v>129</v>
      </c>
      <c r="N539">
        <v>10889000</v>
      </c>
      <c r="O539">
        <v>2700</v>
      </c>
      <c r="P539">
        <v>43600</v>
      </c>
      <c r="Q539">
        <v>32700</v>
      </c>
      <c r="R539">
        <v>522600</v>
      </c>
      <c r="S539" t="s">
        <v>987</v>
      </c>
      <c r="T539">
        <v>2006</v>
      </c>
      <c r="U539" t="s">
        <v>1015</v>
      </c>
      <c r="V539">
        <v>18</v>
      </c>
      <c r="W539">
        <v>88.2</v>
      </c>
      <c r="X539">
        <v>328239523</v>
      </c>
      <c r="Y539">
        <v>14.7</v>
      </c>
      <c r="Z539">
        <v>270663028</v>
      </c>
      <c r="AA539">
        <v>37.090240000000001</v>
      </c>
      <c r="AB539">
        <v>-95.712890999999999</v>
      </c>
    </row>
    <row r="540" spans="1:28" x14ac:dyDescent="0.3">
      <c r="A540">
        <v>539</v>
      </c>
      <c r="B540" t="s">
        <v>781</v>
      </c>
      <c r="C540">
        <v>16900000</v>
      </c>
      <c r="D540">
        <v>3827906874</v>
      </c>
      <c r="E540" t="s">
        <v>988</v>
      </c>
      <c r="F540" t="s">
        <v>781</v>
      </c>
      <c r="G540">
        <v>366</v>
      </c>
      <c r="H540" t="s">
        <v>984</v>
      </c>
      <c r="I540" t="s">
        <v>985</v>
      </c>
      <c r="J540" t="s">
        <v>988</v>
      </c>
      <c r="K540">
        <v>2039</v>
      </c>
      <c r="L540">
        <v>134</v>
      </c>
      <c r="M540">
        <v>129</v>
      </c>
      <c r="N540">
        <v>1635000</v>
      </c>
      <c r="O540">
        <v>409</v>
      </c>
      <c r="P540">
        <v>6500</v>
      </c>
      <c r="Q540">
        <v>4900</v>
      </c>
      <c r="R540">
        <v>78500</v>
      </c>
      <c r="S540" t="s">
        <v>987</v>
      </c>
      <c r="T540">
        <v>2013</v>
      </c>
      <c r="U540" t="s">
        <v>980</v>
      </c>
      <c r="V540">
        <v>19</v>
      </c>
      <c r="W540">
        <v>88.2</v>
      </c>
      <c r="X540">
        <v>328239523</v>
      </c>
      <c r="Y540">
        <v>14.7</v>
      </c>
      <c r="Z540">
        <v>270663028</v>
      </c>
      <c r="AA540">
        <v>37.090240000000001</v>
      </c>
      <c r="AB540">
        <v>-95.712890999999999</v>
      </c>
    </row>
    <row r="541" spans="1:28" x14ac:dyDescent="0.3">
      <c r="A541">
        <v>540</v>
      </c>
      <c r="B541" t="s">
        <v>562</v>
      </c>
      <c r="C541">
        <v>16900000</v>
      </c>
      <c r="D541">
        <v>4609753237</v>
      </c>
      <c r="E541" t="s">
        <v>988</v>
      </c>
      <c r="F541" t="s">
        <v>562</v>
      </c>
      <c r="G541">
        <v>3900</v>
      </c>
      <c r="H541" t="s">
        <v>984</v>
      </c>
      <c r="I541" t="s">
        <v>985</v>
      </c>
      <c r="J541" t="s">
        <v>988</v>
      </c>
      <c r="K541">
        <v>1543</v>
      </c>
      <c r="L541">
        <v>134</v>
      </c>
      <c r="M541">
        <v>129</v>
      </c>
      <c r="N541">
        <v>36357000</v>
      </c>
      <c r="O541">
        <v>9100</v>
      </c>
      <c r="P541">
        <v>145400</v>
      </c>
      <c r="Q541">
        <v>109100</v>
      </c>
      <c r="R541">
        <v>1700000</v>
      </c>
      <c r="S541">
        <v>100000</v>
      </c>
      <c r="T541">
        <v>2005</v>
      </c>
      <c r="U541" t="s">
        <v>1005</v>
      </c>
      <c r="V541">
        <v>16</v>
      </c>
      <c r="W541">
        <v>88.2</v>
      </c>
      <c r="X541">
        <v>328239523</v>
      </c>
      <c r="Y541">
        <v>14.7</v>
      </c>
      <c r="Z541">
        <v>270663028</v>
      </c>
      <c r="AA541">
        <v>37.090240000000001</v>
      </c>
      <c r="AB541">
        <v>-95.712890999999999</v>
      </c>
    </row>
    <row r="542" spans="1:28" x14ac:dyDescent="0.3">
      <c r="A542">
        <v>541</v>
      </c>
      <c r="B542" t="s">
        <v>378</v>
      </c>
      <c r="C542">
        <v>16900000</v>
      </c>
      <c r="D542">
        <v>9270331567</v>
      </c>
      <c r="E542" t="s">
        <v>1044</v>
      </c>
      <c r="F542" t="s">
        <v>378</v>
      </c>
      <c r="G542">
        <v>441</v>
      </c>
      <c r="H542" t="s">
        <v>978</v>
      </c>
      <c r="I542" t="s">
        <v>979</v>
      </c>
      <c r="J542" t="s">
        <v>1002</v>
      </c>
      <c r="K542">
        <v>510</v>
      </c>
      <c r="L542">
        <v>90</v>
      </c>
      <c r="M542">
        <v>34</v>
      </c>
      <c r="N542">
        <v>89782000</v>
      </c>
      <c r="O542">
        <v>22400</v>
      </c>
      <c r="P542">
        <v>359100</v>
      </c>
      <c r="Q542">
        <v>269300</v>
      </c>
      <c r="R542">
        <v>4300000</v>
      </c>
      <c r="S542" t="s">
        <v>987</v>
      </c>
      <c r="T542">
        <v>2017</v>
      </c>
      <c r="U542" t="s">
        <v>995</v>
      </c>
      <c r="V542">
        <v>8</v>
      </c>
      <c r="W542">
        <v>28.1</v>
      </c>
      <c r="X542">
        <v>1366417754</v>
      </c>
      <c r="Y542">
        <v>5.36</v>
      </c>
      <c r="Z542">
        <v>471031528</v>
      </c>
      <c r="AA542">
        <v>20.593684</v>
      </c>
      <c r="AB542">
        <v>78.962879999999998</v>
      </c>
    </row>
    <row r="543" spans="1:28" x14ac:dyDescent="0.3">
      <c r="A543">
        <v>542</v>
      </c>
      <c r="B543" t="s">
        <v>133</v>
      </c>
      <c r="C543">
        <v>16900000</v>
      </c>
      <c r="D543">
        <v>9544277833</v>
      </c>
      <c r="E543" t="s">
        <v>994</v>
      </c>
      <c r="F543" t="s">
        <v>133</v>
      </c>
      <c r="G543">
        <v>2337</v>
      </c>
      <c r="H543" t="s">
        <v>984</v>
      </c>
      <c r="I543" t="s">
        <v>985</v>
      </c>
      <c r="J543" t="s">
        <v>988</v>
      </c>
      <c r="K543">
        <v>488</v>
      </c>
      <c r="L543">
        <v>134</v>
      </c>
      <c r="M543">
        <v>129</v>
      </c>
      <c r="N543">
        <v>275264000</v>
      </c>
      <c r="O543">
        <v>68800</v>
      </c>
      <c r="P543">
        <v>1100000</v>
      </c>
      <c r="Q543">
        <v>825800</v>
      </c>
      <c r="R543">
        <v>13200000</v>
      </c>
      <c r="S543">
        <v>700000</v>
      </c>
      <c r="T543">
        <v>2016</v>
      </c>
      <c r="U543" t="s">
        <v>1005</v>
      </c>
      <c r="V543">
        <v>31</v>
      </c>
      <c r="W543">
        <v>88.2</v>
      </c>
      <c r="X543">
        <v>328239523</v>
      </c>
      <c r="Y543">
        <v>14.7</v>
      </c>
      <c r="Z543">
        <v>270663028</v>
      </c>
      <c r="AA543">
        <v>37.090240000000001</v>
      </c>
      <c r="AB543">
        <v>-95.712890999999999</v>
      </c>
    </row>
    <row r="544" spans="1:28" x14ac:dyDescent="0.3">
      <c r="A544">
        <v>543</v>
      </c>
      <c r="B544" t="s">
        <v>250</v>
      </c>
      <c r="C544">
        <v>16900000</v>
      </c>
      <c r="D544">
        <v>3523578665</v>
      </c>
      <c r="E544" t="s">
        <v>1067</v>
      </c>
      <c r="F544" t="s">
        <v>250</v>
      </c>
      <c r="G544">
        <v>4891</v>
      </c>
      <c r="H544" t="s">
        <v>1019</v>
      </c>
      <c r="I544" t="s">
        <v>1020</v>
      </c>
      <c r="J544" t="s">
        <v>1068</v>
      </c>
      <c r="K544">
        <v>2307</v>
      </c>
      <c r="L544">
        <v>29</v>
      </c>
      <c r="M544">
        <v>2</v>
      </c>
      <c r="N544">
        <v>149543000</v>
      </c>
      <c r="O544">
        <v>37400</v>
      </c>
      <c r="P544">
        <v>598200</v>
      </c>
      <c r="Q544">
        <v>448600</v>
      </c>
      <c r="R544">
        <v>7200000</v>
      </c>
      <c r="S544">
        <v>400000</v>
      </c>
      <c r="T544">
        <v>2016</v>
      </c>
      <c r="U544" t="s">
        <v>999</v>
      </c>
      <c r="V544">
        <v>10</v>
      </c>
      <c r="W544">
        <v>51.3</v>
      </c>
      <c r="X544">
        <v>212559417</v>
      </c>
      <c r="Y544">
        <v>12.08</v>
      </c>
      <c r="Z544">
        <v>183241641</v>
      </c>
      <c r="AA544">
        <v>-14.235004</v>
      </c>
      <c r="AB544">
        <v>-51.925280000000001</v>
      </c>
    </row>
    <row r="545" spans="1:28" x14ac:dyDescent="0.3">
      <c r="A545">
        <v>544</v>
      </c>
      <c r="B545" t="s">
        <v>941</v>
      </c>
      <c r="C545">
        <v>16800000</v>
      </c>
      <c r="D545">
        <v>2315962318</v>
      </c>
      <c r="E545" t="s">
        <v>988</v>
      </c>
      <c r="F545" t="s">
        <v>1194</v>
      </c>
      <c r="G545">
        <v>1</v>
      </c>
      <c r="H545" t="s">
        <v>987</v>
      </c>
      <c r="I545" t="s">
        <v>987</v>
      </c>
      <c r="J545" t="s">
        <v>977</v>
      </c>
      <c r="K545">
        <v>4056488</v>
      </c>
      <c r="L545" t="s">
        <v>987</v>
      </c>
      <c r="M545">
        <v>5767</v>
      </c>
      <c r="N545" t="s">
        <v>987</v>
      </c>
      <c r="O545">
        <v>0</v>
      </c>
      <c r="P545">
        <v>0</v>
      </c>
      <c r="Q545">
        <v>0</v>
      </c>
      <c r="R545">
        <v>0</v>
      </c>
      <c r="S545" t="s">
        <v>987</v>
      </c>
      <c r="T545">
        <v>2016</v>
      </c>
      <c r="U545" t="s">
        <v>999</v>
      </c>
      <c r="V545">
        <v>30</v>
      </c>
      <c r="W545" t="s">
        <v>987</v>
      </c>
      <c r="X545" t="s">
        <v>987</v>
      </c>
      <c r="Y545" t="s">
        <v>987</v>
      </c>
      <c r="Z545" t="s">
        <v>987</v>
      </c>
      <c r="AA545" t="s">
        <v>987</v>
      </c>
      <c r="AB545" t="s">
        <v>987</v>
      </c>
    </row>
    <row r="546" spans="1:28" x14ac:dyDescent="0.3">
      <c r="A546">
        <v>545</v>
      </c>
      <c r="B546" t="s">
        <v>930</v>
      </c>
      <c r="C546">
        <v>16800000</v>
      </c>
      <c r="D546">
        <v>6518418501</v>
      </c>
      <c r="E546" t="s">
        <v>988</v>
      </c>
      <c r="F546" t="s">
        <v>930</v>
      </c>
      <c r="G546">
        <v>0</v>
      </c>
      <c r="H546" t="s">
        <v>987</v>
      </c>
      <c r="I546" t="s">
        <v>987</v>
      </c>
      <c r="J546" t="s">
        <v>987</v>
      </c>
      <c r="K546">
        <v>4057944</v>
      </c>
      <c r="L546" t="s">
        <v>987</v>
      </c>
      <c r="M546" t="s">
        <v>987</v>
      </c>
      <c r="N546" t="s">
        <v>987</v>
      </c>
      <c r="O546">
        <v>0</v>
      </c>
      <c r="P546">
        <v>0</v>
      </c>
      <c r="Q546">
        <v>0</v>
      </c>
      <c r="R546">
        <v>0</v>
      </c>
      <c r="S546" t="s">
        <v>987</v>
      </c>
      <c r="T546">
        <v>2018</v>
      </c>
      <c r="U546" t="s">
        <v>1029</v>
      </c>
      <c r="V546">
        <v>11</v>
      </c>
      <c r="W546" t="s">
        <v>987</v>
      </c>
      <c r="X546" t="s">
        <v>987</v>
      </c>
      <c r="Y546" t="s">
        <v>987</v>
      </c>
      <c r="Z546" t="s">
        <v>987</v>
      </c>
      <c r="AA546" t="s">
        <v>987</v>
      </c>
      <c r="AB546" t="s">
        <v>987</v>
      </c>
    </row>
    <row r="547" spans="1:28" x14ac:dyDescent="0.3">
      <c r="A547">
        <v>546</v>
      </c>
      <c r="B547" t="s">
        <v>877</v>
      </c>
      <c r="C547">
        <v>16800000</v>
      </c>
      <c r="D547">
        <v>7206462713</v>
      </c>
      <c r="E547" t="s">
        <v>994</v>
      </c>
      <c r="F547" t="s">
        <v>877</v>
      </c>
      <c r="G547">
        <v>41</v>
      </c>
      <c r="H547" t="s">
        <v>987</v>
      </c>
      <c r="I547" t="s">
        <v>987</v>
      </c>
      <c r="J547" t="s">
        <v>1002</v>
      </c>
      <c r="K547">
        <v>4038822</v>
      </c>
      <c r="L547" t="s">
        <v>987</v>
      </c>
      <c r="M547">
        <v>7611</v>
      </c>
      <c r="N547">
        <v>1</v>
      </c>
      <c r="O547">
        <v>0</v>
      </c>
      <c r="P547">
        <v>0</v>
      </c>
      <c r="Q547">
        <v>0</v>
      </c>
      <c r="R547">
        <v>0.05</v>
      </c>
      <c r="S547">
        <v>1</v>
      </c>
      <c r="T547">
        <v>2021</v>
      </c>
      <c r="U547" t="s">
        <v>991</v>
      </c>
      <c r="V547">
        <v>24</v>
      </c>
      <c r="W547" t="s">
        <v>987</v>
      </c>
      <c r="X547" t="s">
        <v>987</v>
      </c>
      <c r="Y547" t="s">
        <v>987</v>
      </c>
      <c r="Z547" t="s">
        <v>987</v>
      </c>
      <c r="AA547" t="s">
        <v>987</v>
      </c>
      <c r="AB547" t="s">
        <v>987</v>
      </c>
    </row>
    <row r="548" spans="1:28" x14ac:dyDescent="0.3">
      <c r="A548">
        <v>547</v>
      </c>
      <c r="B548" t="s">
        <v>529</v>
      </c>
      <c r="C548">
        <v>16800000</v>
      </c>
      <c r="D548">
        <v>7195314800</v>
      </c>
      <c r="E548" t="s">
        <v>988</v>
      </c>
      <c r="F548" t="s">
        <v>529</v>
      </c>
      <c r="G548">
        <v>502</v>
      </c>
      <c r="H548" t="s">
        <v>1081</v>
      </c>
      <c r="I548" t="s">
        <v>1082</v>
      </c>
      <c r="J548" t="s">
        <v>988</v>
      </c>
      <c r="K548">
        <v>795</v>
      </c>
      <c r="L548">
        <v>19</v>
      </c>
      <c r="M548">
        <v>130</v>
      </c>
      <c r="N548">
        <v>42836000</v>
      </c>
      <c r="O548">
        <v>10700</v>
      </c>
      <c r="P548">
        <v>171300</v>
      </c>
      <c r="Q548">
        <v>128500</v>
      </c>
      <c r="R548">
        <v>2100000</v>
      </c>
      <c r="S548">
        <v>100000</v>
      </c>
      <c r="T548">
        <v>2019</v>
      </c>
      <c r="U548" t="s">
        <v>1029</v>
      </c>
      <c r="V548">
        <v>22</v>
      </c>
      <c r="W548">
        <v>36.299999999999997</v>
      </c>
      <c r="X548">
        <v>270203917</v>
      </c>
      <c r="Y548">
        <v>4.6900000000000004</v>
      </c>
      <c r="Z548">
        <v>151509724</v>
      </c>
      <c r="AA548">
        <v>-0.78927499999999995</v>
      </c>
      <c r="AB548">
        <v>113.92132700000001</v>
      </c>
    </row>
    <row r="549" spans="1:28" x14ac:dyDescent="0.3">
      <c r="A549">
        <v>548</v>
      </c>
      <c r="B549" t="s">
        <v>534</v>
      </c>
      <c r="C549">
        <v>16800000</v>
      </c>
      <c r="D549">
        <v>3693798804</v>
      </c>
      <c r="E549" t="s">
        <v>982</v>
      </c>
      <c r="F549" t="s">
        <v>534</v>
      </c>
      <c r="G549">
        <v>1491</v>
      </c>
      <c r="H549" t="s">
        <v>1019</v>
      </c>
      <c r="I549" t="s">
        <v>1020</v>
      </c>
      <c r="J549" t="s">
        <v>988</v>
      </c>
      <c r="K549">
        <v>2129</v>
      </c>
      <c r="L549">
        <v>30</v>
      </c>
      <c r="M549">
        <v>130</v>
      </c>
      <c r="N549">
        <v>44121000</v>
      </c>
      <c r="O549">
        <v>11000</v>
      </c>
      <c r="P549">
        <v>176500</v>
      </c>
      <c r="Q549">
        <v>132400</v>
      </c>
      <c r="R549">
        <v>2100000</v>
      </c>
      <c r="S549">
        <v>100000</v>
      </c>
      <c r="T549">
        <v>2013</v>
      </c>
      <c r="U549" t="s">
        <v>999</v>
      </c>
      <c r="V549">
        <v>2</v>
      </c>
      <c r="W549">
        <v>51.3</v>
      </c>
      <c r="X549">
        <v>212559417</v>
      </c>
      <c r="Y549">
        <v>12.08</v>
      </c>
      <c r="Z549">
        <v>183241641</v>
      </c>
      <c r="AA549">
        <v>-14.235004</v>
      </c>
      <c r="AB549">
        <v>-51.925280000000001</v>
      </c>
    </row>
    <row r="550" spans="1:28" x14ac:dyDescent="0.3">
      <c r="A550">
        <v>549</v>
      </c>
      <c r="B550" t="s">
        <v>850</v>
      </c>
      <c r="C550">
        <v>16700000</v>
      </c>
      <c r="D550">
        <v>10393037902</v>
      </c>
      <c r="E550" t="s">
        <v>988</v>
      </c>
      <c r="F550" t="s">
        <v>1195</v>
      </c>
      <c r="G550">
        <v>3</v>
      </c>
      <c r="H550" t="s">
        <v>987</v>
      </c>
      <c r="I550" t="s">
        <v>987</v>
      </c>
      <c r="J550" t="s">
        <v>987</v>
      </c>
      <c r="K550">
        <v>4057674</v>
      </c>
      <c r="L550" t="s">
        <v>987</v>
      </c>
      <c r="M550" t="s">
        <v>987</v>
      </c>
      <c r="N550">
        <v>7</v>
      </c>
      <c r="O550">
        <v>0</v>
      </c>
      <c r="P550">
        <v>0.03</v>
      </c>
      <c r="Q550">
        <v>0.02</v>
      </c>
      <c r="R550">
        <v>0.34</v>
      </c>
      <c r="S550">
        <v>10</v>
      </c>
      <c r="T550">
        <v>2022</v>
      </c>
      <c r="U550" t="s">
        <v>995</v>
      </c>
      <c r="V550">
        <v>14</v>
      </c>
      <c r="W550" t="s">
        <v>987</v>
      </c>
      <c r="X550" t="s">
        <v>987</v>
      </c>
      <c r="Y550" t="s">
        <v>987</v>
      </c>
      <c r="Z550" t="s">
        <v>987</v>
      </c>
      <c r="AA550" t="s">
        <v>987</v>
      </c>
      <c r="AB550" t="s">
        <v>987</v>
      </c>
    </row>
    <row r="551" spans="1:28" x14ac:dyDescent="0.3">
      <c r="A551">
        <v>550</v>
      </c>
      <c r="B551" t="s">
        <v>334</v>
      </c>
      <c r="C551">
        <v>16700000</v>
      </c>
      <c r="D551">
        <v>7102965621</v>
      </c>
      <c r="E551" t="s">
        <v>996</v>
      </c>
      <c r="F551" t="s">
        <v>334</v>
      </c>
      <c r="G551">
        <v>1693</v>
      </c>
      <c r="H551" t="s">
        <v>984</v>
      </c>
      <c r="I551" t="s">
        <v>985</v>
      </c>
      <c r="J551" t="s">
        <v>986</v>
      </c>
      <c r="K551">
        <v>814</v>
      </c>
      <c r="L551">
        <v>135</v>
      </c>
      <c r="M551">
        <v>39</v>
      </c>
      <c r="N551">
        <v>105114000</v>
      </c>
      <c r="O551">
        <v>26300</v>
      </c>
      <c r="P551">
        <v>420500</v>
      </c>
      <c r="Q551">
        <v>315300</v>
      </c>
      <c r="R551">
        <v>5000000</v>
      </c>
      <c r="S551">
        <v>200000</v>
      </c>
      <c r="T551">
        <v>2009</v>
      </c>
      <c r="U551" t="s">
        <v>999</v>
      </c>
      <c r="V551">
        <v>27</v>
      </c>
      <c r="W551">
        <v>88.2</v>
      </c>
      <c r="X551">
        <v>328239523</v>
      </c>
      <c r="Y551">
        <v>14.7</v>
      </c>
      <c r="Z551">
        <v>270663028</v>
      </c>
      <c r="AA551">
        <v>37.090240000000001</v>
      </c>
      <c r="AB551">
        <v>-95.712890999999999</v>
      </c>
    </row>
    <row r="552" spans="1:28" x14ac:dyDescent="0.3">
      <c r="A552">
        <v>551</v>
      </c>
      <c r="B552" t="s">
        <v>511</v>
      </c>
      <c r="C552">
        <v>16700000</v>
      </c>
      <c r="D552">
        <v>8826138204</v>
      </c>
      <c r="E552" t="s">
        <v>988</v>
      </c>
      <c r="F552" t="s">
        <v>511</v>
      </c>
      <c r="G552">
        <v>920</v>
      </c>
      <c r="H552" t="s">
        <v>984</v>
      </c>
      <c r="I552" t="s">
        <v>985</v>
      </c>
      <c r="J552" t="s">
        <v>988</v>
      </c>
      <c r="K552">
        <v>559</v>
      </c>
      <c r="L552">
        <v>135</v>
      </c>
      <c r="M552">
        <v>130</v>
      </c>
      <c r="N552">
        <v>45698000</v>
      </c>
      <c r="O552">
        <v>11400</v>
      </c>
      <c r="P552">
        <v>182800</v>
      </c>
      <c r="Q552">
        <v>137100</v>
      </c>
      <c r="R552">
        <v>2200000</v>
      </c>
      <c r="S552">
        <v>100000</v>
      </c>
      <c r="T552">
        <v>2012</v>
      </c>
      <c r="U552" t="s">
        <v>1015</v>
      </c>
      <c r="V552">
        <v>6</v>
      </c>
      <c r="W552">
        <v>88.2</v>
      </c>
      <c r="X552">
        <v>328239523</v>
      </c>
      <c r="Y552">
        <v>14.7</v>
      </c>
      <c r="Z552">
        <v>270663028</v>
      </c>
      <c r="AA552">
        <v>37.090240000000001</v>
      </c>
      <c r="AB552">
        <v>-95.712890999999999</v>
      </c>
    </row>
    <row r="553" spans="1:28" x14ac:dyDescent="0.3">
      <c r="A553">
        <v>552</v>
      </c>
      <c r="B553" t="s">
        <v>802</v>
      </c>
      <c r="C553">
        <v>16700000</v>
      </c>
      <c r="D553">
        <v>7979736581</v>
      </c>
      <c r="E553" t="s">
        <v>977</v>
      </c>
      <c r="F553" t="s">
        <v>802</v>
      </c>
      <c r="G553">
        <v>13</v>
      </c>
      <c r="H553" t="s">
        <v>984</v>
      </c>
      <c r="I553" t="s">
        <v>985</v>
      </c>
      <c r="J553" t="s">
        <v>977</v>
      </c>
      <c r="K553">
        <v>564542</v>
      </c>
      <c r="L553">
        <v>1920</v>
      </c>
      <c r="M553">
        <v>1751</v>
      </c>
      <c r="N553">
        <v>37623</v>
      </c>
      <c r="O553">
        <v>9</v>
      </c>
      <c r="P553">
        <v>150</v>
      </c>
      <c r="Q553">
        <v>113</v>
      </c>
      <c r="R553">
        <v>1800</v>
      </c>
      <c r="S553" t="s">
        <v>987</v>
      </c>
      <c r="T553">
        <v>2010</v>
      </c>
      <c r="U553" t="s">
        <v>991</v>
      </c>
      <c r="V553">
        <v>1</v>
      </c>
      <c r="W553">
        <v>88.2</v>
      </c>
      <c r="X553">
        <v>328239523</v>
      </c>
      <c r="Y553">
        <v>14.7</v>
      </c>
      <c r="Z553">
        <v>270663028</v>
      </c>
      <c r="AA553">
        <v>37.090240000000001</v>
      </c>
      <c r="AB553">
        <v>-95.712890999999999</v>
      </c>
    </row>
    <row r="554" spans="1:28" x14ac:dyDescent="0.3">
      <c r="A554">
        <v>553</v>
      </c>
      <c r="B554" t="s">
        <v>682</v>
      </c>
      <c r="C554">
        <v>16700000</v>
      </c>
      <c r="D554">
        <v>5089284369</v>
      </c>
      <c r="E554" t="s">
        <v>994</v>
      </c>
      <c r="F554" t="s">
        <v>682</v>
      </c>
      <c r="G554">
        <v>8741</v>
      </c>
      <c r="H554" t="s">
        <v>1058</v>
      </c>
      <c r="I554" t="s">
        <v>1059</v>
      </c>
      <c r="J554" t="s">
        <v>1002</v>
      </c>
      <c r="K554">
        <v>1337</v>
      </c>
      <c r="L554">
        <v>19</v>
      </c>
      <c r="M554">
        <v>35</v>
      </c>
      <c r="N554">
        <v>16139000</v>
      </c>
      <c r="O554">
        <v>4000</v>
      </c>
      <c r="P554">
        <v>64600</v>
      </c>
      <c r="Q554">
        <v>48400</v>
      </c>
      <c r="R554">
        <v>774700</v>
      </c>
      <c r="S554" t="s">
        <v>987</v>
      </c>
      <c r="T554">
        <v>2014</v>
      </c>
      <c r="U554" t="s">
        <v>1010</v>
      </c>
      <c r="V554">
        <v>28</v>
      </c>
      <c r="W554">
        <v>40.200000000000003</v>
      </c>
      <c r="X554">
        <v>126014024</v>
      </c>
      <c r="Y554">
        <v>3.42</v>
      </c>
      <c r="Z554">
        <v>102626859</v>
      </c>
      <c r="AA554">
        <v>23.634501</v>
      </c>
      <c r="AB554">
        <v>-102.552784</v>
      </c>
    </row>
    <row r="555" spans="1:28" x14ac:dyDescent="0.3">
      <c r="A555">
        <v>554</v>
      </c>
      <c r="B555" t="s">
        <v>692</v>
      </c>
      <c r="C555">
        <v>16600000</v>
      </c>
      <c r="D555">
        <v>1318442641</v>
      </c>
      <c r="E555" t="s">
        <v>987</v>
      </c>
      <c r="F555" t="s">
        <v>692</v>
      </c>
      <c r="G555">
        <v>180</v>
      </c>
      <c r="H555" t="s">
        <v>1045</v>
      </c>
      <c r="I555" t="s">
        <v>1046</v>
      </c>
      <c r="J555" t="s">
        <v>1002</v>
      </c>
      <c r="K555">
        <v>8338</v>
      </c>
      <c r="L555">
        <v>5</v>
      </c>
      <c r="M555">
        <v>36</v>
      </c>
      <c r="N555">
        <v>15079000</v>
      </c>
      <c r="O555">
        <v>3800</v>
      </c>
      <c r="P555">
        <v>60300</v>
      </c>
      <c r="Q555">
        <v>45200</v>
      </c>
      <c r="R555">
        <v>723800</v>
      </c>
      <c r="S555">
        <v>100000</v>
      </c>
      <c r="T555">
        <v>2018</v>
      </c>
      <c r="U555" t="s">
        <v>1008</v>
      </c>
      <c r="V555">
        <v>1</v>
      </c>
      <c r="W555">
        <v>35.5</v>
      </c>
      <c r="X555">
        <v>108116615</v>
      </c>
      <c r="Y555">
        <v>2.15</v>
      </c>
      <c r="Z555">
        <v>50975903</v>
      </c>
      <c r="AA555">
        <v>12.879721</v>
      </c>
      <c r="AB555">
        <v>121.774017</v>
      </c>
    </row>
    <row r="556" spans="1:28" x14ac:dyDescent="0.3">
      <c r="A556">
        <v>555</v>
      </c>
      <c r="B556" t="s">
        <v>894</v>
      </c>
      <c r="C556">
        <v>16600000</v>
      </c>
      <c r="D556">
        <v>2798273962</v>
      </c>
      <c r="E556" t="s">
        <v>988</v>
      </c>
      <c r="F556" t="s">
        <v>1196</v>
      </c>
      <c r="G556">
        <v>0</v>
      </c>
      <c r="H556" t="s">
        <v>1058</v>
      </c>
      <c r="I556" t="s">
        <v>1059</v>
      </c>
      <c r="J556" t="s">
        <v>986</v>
      </c>
      <c r="K556">
        <v>4057944</v>
      </c>
      <c r="L556">
        <v>4248</v>
      </c>
      <c r="M556">
        <v>7462</v>
      </c>
      <c r="N556" t="s">
        <v>987</v>
      </c>
      <c r="O556">
        <v>0</v>
      </c>
      <c r="P556">
        <v>0</v>
      </c>
      <c r="Q556">
        <v>0</v>
      </c>
      <c r="R556">
        <v>0</v>
      </c>
      <c r="S556" t="s">
        <v>987</v>
      </c>
      <c r="T556">
        <v>2010</v>
      </c>
      <c r="U556" t="s">
        <v>1005</v>
      </c>
      <c r="V556">
        <v>7</v>
      </c>
      <c r="W556">
        <v>40.200000000000003</v>
      </c>
      <c r="X556">
        <v>126014024</v>
      </c>
      <c r="Y556">
        <v>3.42</v>
      </c>
      <c r="Z556">
        <v>102626859</v>
      </c>
      <c r="AA556">
        <v>23.634501</v>
      </c>
      <c r="AB556">
        <v>-102.552784</v>
      </c>
    </row>
    <row r="557" spans="1:28" x14ac:dyDescent="0.3">
      <c r="A557">
        <v>556</v>
      </c>
      <c r="B557" t="s">
        <v>799</v>
      </c>
      <c r="C557">
        <v>16600000</v>
      </c>
      <c r="D557">
        <v>3696973456</v>
      </c>
      <c r="E557" t="s">
        <v>1011</v>
      </c>
      <c r="F557" t="s">
        <v>1197</v>
      </c>
      <c r="G557">
        <v>216</v>
      </c>
      <c r="H557" t="s">
        <v>1065</v>
      </c>
      <c r="I557" t="s">
        <v>1066</v>
      </c>
      <c r="J557" t="s">
        <v>987</v>
      </c>
      <c r="K557">
        <v>3108857</v>
      </c>
      <c r="L557">
        <v>2753</v>
      </c>
      <c r="M557" t="s">
        <v>987</v>
      </c>
      <c r="N557">
        <v>65470</v>
      </c>
      <c r="O557">
        <v>16</v>
      </c>
      <c r="P557">
        <v>262</v>
      </c>
      <c r="Q557">
        <v>196</v>
      </c>
      <c r="R557">
        <v>3100</v>
      </c>
      <c r="S557" t="s">
        <v>987</v>
      </c>
      <c r="T557">
        <v>2017</v>
      </c>
      <c r="U557" t="s">
        <v>999</v>
      </c>
      <c r="V557">
        <v>2</v>
      </c>
      <c r="W557">
        <v>88.9</v>
      </c>
      <c r="X557">
        <v>47076781</v>
      </c>
      <c r="Y557">
        <v>13.96</v>
      </c>
      <c r="Z557">
        <v>37927409</v>
      </c>
      <c r="AA557">
        <v>40.463667000000001</v>
      </c>
      <c r="AB557">
        <v>-3.7492200000000002</v>
      </c>
    </row>
    <row r="558" spans="1:28" x14ac:dyDescent="0.3">
      <c r="A558">
        <v>557</v>
      </c>
      <c r="B558" t="s">
        <v>458</v>
      </c>
      <c r="C558">
        <v>16600000</v>
      </c>
      <c r="D558">
        <v>7435180827</v>
      </c>
      <c r="E558" t="s">
        <v>1026</v>
      </c>
      <c r="F558" t="s">
        <v>458</v>
      </c>
      <c r="G558">
        <v>112261</v>
      </c>
      <c r="H558" t="s">
        <v>978</v>
      </c>
      <c r="I558" t="s">
        <v>979</v>
      </c>
      <c r="J558" t="s">
        <v>1027</v>
      </c>
      <c r="K558">
        <v>749</v>
      </c>
      <c r="L558">
        <v>91</v>
      </c>
      <c r="M558">
        <v>12</v>
      </c>
      <c r="N558">
        <v>59201000</v>
      </c>
      <c r="O558">
        <v>14800</v>
      </c>
      <c r="P558">
        <v>236800</v>
      </c>
      <c r="Q558">
        <v>177600</v>
      </c>
      <c r="R558">
        <v>2800000</v>
      </c>
      <c r="S558">
        <v>100000</v>
      </c>
      <c r="T558">
        <v>2013</v>
      </c>
      <c r="U558" t="s">
        <v>1025</v>
      </c>
      <c r="V558">
        <v>22</v>
      </c>
      <c r="W558">
        <v>28.1</v>
      </c>
      <c r="X558">
        <v>1366417754</v>
      </c>
      <c r="Y558">
        <v>5.36</v>
      </c>
      <c r="Z558">
        <v>471031528</v>
      </c>
      <c r="AA558">
        <v>20.593684</v>
      </c>
      <c r="AB558">
        <v>78.962879999999998</v>
      </c>
    </row>
    <row r="559" spans="1:28" x14ac:dyDescent="0.3">
      <c r="A559">
        <v>558</v>
      </c>
      <c r="B559" t="s">
        <v>241</v>
      </c>
      <c r="C559">
        <v>16600000</v>
      </c>
      <c r="D559">
        <v>9439857193</v>
      </c>
      <c r="E559" t="s">
        <v>988</v>
      </c>
      <c r="F559" t="s">
        <v>241</v>
      </c>
      <c r="G559">
        <v>20102</v>
      </c>
      <c r="H559" t="s">
        <v>978</v>
      </c>
      <c r="I559" t="s">
        <v>979</v>
      </c>
      <c r="J559" t="s">
        <v>988</v>
      </c>
      <c r="K559">
        <v>497</v>
      </c>
      <c r="L559">
        <v>91</v>
      </c>
      <c r="M559">
        <v>132</v>
      </c>
      <c r="N559">
        <v>154049000</v>
      </c>
      <c r="O559">
        <v>38500</v>
      </c>
      <c r="P559">
        <v>616200</v>
      </c>
      <c r="Q559">
        <v>462100</v>
      </c>
      <c r="R559">
        <v>7400000</v>
      </c>
      <c r="S559">
        <v>200000</v>
      </c>
      <c r="T559">
        <v>2011</v>
      </c>
      <c r="U559" t="s">
        <v>991</v>
      </c>
      <c r="V559">
        <v>29</v>
      </c>
      <c r="W559">
        <v>28.1</v>
      </c>
      <c r="X559">
        <v>1366417754</v>
      </c>
      <c r="Y559">
        <v>5.36</v>
      </c>
      <c r="Z559">
        <v>471031528</v>
      </c>
      <c r="AA559">
        <v>20.593684</v>
      </c>
      <c r="AB559">
        <v>78.962879999999998</v>
      </c>
    </row>
    <row r="560" spans="1:28" x14ac:dyDescent="0.3">
      <c r="A560">
        <v>559</v>
      </c>
      <c r="B560" t="s">
        <v>376</v>
      </c>
      <c r="C560">
        <v>16600000</v>
      </c>
      <c r="D560">
        <v>11946217860</v>
      </c>
      <c r="E560" t="s">
        <v>977</v>
      </c>
      <c r="F560" t="s">
        <v>376</v>
      </c>
      <c r="G560">
        <v>8976</v>
      </c>
      <c r="H560" t="s">
        <v>978</v>
      </c>
      <c r="I560" t="s">
        <v>979</v>
      </c>
      <c r="J560" t="s">
        <v>977</v>
      </c>
      <c r="K560">
        <v>326</v>
      </c>
      <c r="L560">
        <v>91</v>
      </c>
      <c r="M560">
        <v>115</v>
      </c>
      <c r="N560">
        <v>89012000</v>
      </c>
      <c r="O560">
        <v>22300</v>
      </c>
      <c r="P560">
        <v>356000</v>
      </c>
      <c r="Q560">
        <v>267000</v>
      </c>
      <c r="R560">
        <v>4300000</v>
      </c>
      <c r="S560">
        <v>100000</v>
      </c>
      <c r="T560">
        <v>2011</v>
      </c>
      <c r="U560" t="s">
        <v>1029</v>
      </c>
      <c r="V560">
        <v>21</v>
      </c>
      <c r="W560">
        <v>28.1</v>
      </c>
      <c r="X560">
        <v>1366417754</v>
      </c>
      <c r="Y560">
        <v>5.36</v>
      </c>
      <c r="Z560">
        <v>471031528</v>
      </c>
      <c r="AA560">
        <v>20.593684</v>
      </c>
      <c r="AB560">
        <v>78.962879999999998</v>
      </c>
    </row>
    <row r="561" spans="1:28" x14ac:dyDescent="0.3">
      <c r="A561">
        <v>560</v>
      </c>
      <c r="B561" t="s">
        <v>44</v>
      </c>
      <c r="C561">
        <v>16600000</v>
      </c>
      <c r="D561">
        <v>15278668857</v>
      </c>
      <c r="E561" t="s">
        <v>988</v>
      </c>
      <c r="F561" t="s">
        <v>44</v>
      </c>
      <c r="G561">
        <v>2200</v>
      </c>
      <c r="H561" t="s">
        <v>1130</v>
      </c>
      <c r="I561" t="s">
        <v>1131</v>
      </c>
      <c r="J561" t="s">
        <v>988</v>
      </c>
      <c r="K561">
        <v>213</v>
      </c>
      <c r="L561">
        <v>4</v>
      </c>
      <c r="M561">
        <v>131</v>
      </c>
      <c r="N561">
        <v>617257000</v>
      </c>
      <c r="O561">
        <v>154300</v>
      </c>
      <c r="P561">
        <v>2500000</v>
      </c>
      <c r="Q561">
        <v>1900000</v>
      </c>
      <c r="R561">
        <v>29600000</v>
      </c>
      <c r="S561">
        <v>900000</v>
      </c>
      <c r="T561">
        <v>2021</v>
      </c>
      <c r="U561" t="s">
        <v>995</v>
      </c>
      <c r="V561">
        <v>6</v>
      </c>
      <c r="W561">
        <v>70.2</v>
      </c>
      <c r="X561">
        <v>83132799</v>
      </c>
      <c r="Y561">
        <v>3.04</v>
      </c>
      <c r="Z561">
        <v>64324835</v>
      </c>
      <c r="AA561">
        <v>51.165691000000002</v>
      </c>
      <c r="AB561">
        <v>10.451525999999999</v>
      </c>
    </row>
    <row r="562" spans="1:28" x14ac:dyDescent="0.3">
      <c r="A562">
        <v>561</v>
      </c>
      <c r="B562" t="s">
        <v>184</v>
      </c>
      <c r="C562">
        <v>16600000</v>
      </c>
      <c r="D562">
        <v>5819508534</v>
      </c>
      <c r="E562" t="s">
        <v>988</v>
      </c>
      <c r="F562" t="s">
        <v>184</v>
      </c>
      <c r="G562">
        <v>413</v>
      </c>
      <c r="H562" t="s">
        <v>984</v>
      </c>
      <c r="I562" t="s">
        <v>985</v>
      </c>
      <c r="J562" t="s">
        <v>988</v>
      </c>
      <c r="K562">
        <v>1088</v>
      </c>
      <c r="L562">
        <v>136</v>
      </c>
      <c r="M562">
        <v>132</v>
      </c>
      <c r="N562">
        <v>199033000</v>
      </c>
      <c r="O562">
        <v>49800</v>
      </c>
      <c r="P562">
        <v>796100</v>
      </c>
      <c r="Q562">
        <v>597100</v>
      </c>
      <c r="R562">
        <v>9600000</v>
      </c>
      <c r="S562">
        <v>300000</v>
      </c>
      <c r="T562">
        <v>2006</v>
      </c>
      <c r="U562" t="s">
        <v>1005</v>
      </c>
      <c r="V562">
        <v>21</v>
      </c>
      <c r="W562">
        <v>88.2</v>
      </c>
      <c r="X562">
        <v>328239523</v>
      </c>
      <c r="Y562">
        <v>14.7</v>
      </c>
      <c r="Z562">
        <v>270663028</v>
      </c>
      <c r="AA562">
        <v>37.090240000000001</v>
      </c>
      <c r="AB562">
        <v>-95.712890999999999</v>
      </c>
    </row>
    <row r="563" spans="1:28" x14ac:dyDescent="0.3">
      <c r="A563">
        <v>562</v>
      </c>
      <c r="B563" t="s">
        <v>1198</v>
      </c>
      <c r="C563">
        <v>16500000</v>
      </c>
      <c r="D563">
        <v>2440934034</v>
      </c>
      <c r="E563" t="s">
        <v>988</v>
      </c>
      <c r="F563" t="s">
        <v>1198</v>
      </c>
      <c r="G563">
        <v>421</v>
      </c>
      <c r="H563" t="s">
        <v>984</v>
      </c>
      <c r="I563" t="s">
        <v>985</v>
      </c>
      <c r="J563" t="s">
        <v>988</v>
      </c>
      <c r="K563">
        <v>3778</v>
      </c>
      <c r="L563">
        <v>137</v>
      </c>
      <c r="M563">
        <v>133</v>
      </c>
      <c r="N563">
        <v>21953000</v>
      </c>
      <c r="O563">
        <v>5500</v>
      </c>
      <c r="P563">
        <v>87800</v>
      </c>
      <c r="Q563">
        <v>65900</v>
      </c>
      <c r="R563">
        <v>1100000</v>
      </c>
      <c r="S563">
        <v>200000</v>
      </c>
      <c r="T563">
        <v>2014</v>
      </c>
      <c r="U563" t="s">
        <v>980</v>
      </c>
      <c r="V563">
        <v>9</v>
      </c>
      <c r="W563">
        <v>88.2</v>
      </c>
      <c r="X563">
        <v>328239523</v>
      </c>
      <c r="Y563">
        <v>14.7</v>
      </c>
      <c r="Z563">
        <v>270663028</v>
      </c>
      <c r="AA563">
        <v>37.090240000000001</v>
      </c>
      <c r="AB563">
        <v>-95.712890999999999</v>
      </c>
    </row>
    <row r="564" spans="1:28" x14ac:dyDescent="0.3">
      <c r="A564">
        <v>563</v>
      </c>
      <c r="B564" t="s">
        <v>312</v>
      </c>
      <c r="C564">
        <v>16500000</v>
      </c>
      <c r="D564">
        <v>3037260680</v>
      </c>
      <c r="E564" t="s">
        <v>1044</v>
      </c>
      <c r="F564" t="s">
        <v>312</v>
      </c>
      <c r="G564">
        <v>438</v>
      </c>
      <c r="H564" t="s">
        <v>984</v>
      </c>
      <c r="I564" t="s">
        <v>985</v>
      </c>
      <c r="J564" t="s">
        <v>988</v>
      </c>
      <c r="K564">
        <v>2766</v>
      </c>
      <c r="L564">
        <v>137</v>
      </c>
      <c r="M564">
        <v>133</v>
      </c>
      <c r="N564">
        <v>112986000</v>
      </c>
      <c r="O564">
        <v>28200</v>
      </c>
      <c r="P564">
        <v>451900</v>
      </c>
      <c r="Q564">
        <v>339000</v>
      </c>
      <c r="R564">
        <v>5400000</v>
      </c>
      <c r="S564">
        <v>100000</v>
      </c>
      <c r="T564">
        <v>2011</v>
      </c>
      <c r="U564" t="s">
        <v>1015</v>
      </c>
      <c r="V564">
        <v>5</v>
      </c>
      <c r="W564">
        <v>88.2</v>
      </c>
      <c r="X564">
        <v>328239523</v>
      </c>
      <c r="Y564">
        <v>14.7</v>
      </c>
      <c r="Z564">
        <v>270663028</v>
      </c>
      <c r="AA564">
        <v>37.090240000000001</v>
      </c>
      <c r="AB564">
        <v>-95.712890999999999</v>
      </c>
    </row>
    <row r="565" spans="1:28" x14ac:dyDescent="0.3">
      <c r="A565">
        <v>564</v>
      </c>
      <c r="B565" t="s">
        <v>281</v>
      </c>
      <c r="C565">
        <v>16500000</v>
      </c>
      <c r="D565">
        <v>7043235131</v>
      </c>
      <c r="E565" t="s">
        <v>1026</v>
      </c>
      <c r="F565" t="s">
        <v>281</v>
      </c>
      <c r="G565">
        <v>21243</v>
      </c>
      <c r="H565" t="s">
        <v>978</v>
      </c>
      <c r="I565" t="s">
        <v>979</v>
      </c>
      <c r="J565" t="s">
        <v>1027</v>
      </c>
      <c r="K565">
        <v>821</v>
      </c>
      <c r="L565">
        <v>92</v>
      </c>
      <c r="M565">
        <v>13</v>
      </c>
      <c r="N565">
        <v>131202000</v>
      </c>
      <c r="O565">
        <v>32800</v>
      </c>
      <c r="P565">
        <v>524800</v>
      </c>
      <c r="Q565">
        <v>393600</v>
      </c>
      <c r="R565">
        <v>6300000</v>
      </c>
      <c r="S565">
        <v>300000</v>
      </c>
      <c r="T565">
        <v>2009</v>
      </c>
      <c r="U565" t="s">
        <v>991</v>
      </c>
      <c r="V565">
        <v>22</v>
      </c>
      <c r="W565">
        <v>28.1</v>
      </c>
      <c r="X565">
        <v>1366417754</v>
      </c>
      <c r="Y565">
        <v>5.36</v>
      </c>
      <c r="Z565">
        <v>471031528</v>
      </c>
      <c r="AA565">
        <v>20.593684</v>
      </c>
      <c r="AB565">
        <v>78.962879999999998</v>
      </c>
    </row>
    <row r="566" spans="1:28" x14ac:dyDescent="0.3">
      <c r="A566">
        <v>565</v>
      </c>
      <c r="B566" t="s">
        <v>640</v>
      </c>
      <c r="C566">
        <v>16500000</v>
      </c>
      <c r="D566">
        <v>7406207930</v>
      </c>
      <c r="E566" t="s">
        <v>988</v>
      </c>
      <c r="F566" t="s">
        <v>640</v>
      </c>
      <c r="G566">
        <v>735</v>
      </c>
      <c r="H566" t="s">
        <v>984</v>
      </c>
      <c r="I566" t="s">
        <v>985</v>
      </c>
      <c r="J566" t="s">
        <v>988</v>
      </c>
      <c r="K566">
        <v>757</v>
      </c>
      <c r="L566">
        <v>137</v>
      </c>
      <c r="M566">
        <v>133</v>
      </c>
      <c r="N566">
        <v>24378000</v>
      </c>
      <c r="O566">
        <v>6100</v>
      </c>
      <c r="P566">
        <v>97500</v>
      </c>
      <c r="Q566">
        <v>73100</v>
      </c>
      <c r="R566">
        <v>1200000</v>
      </c>
      <c r="S566" t="s">
        <v>987</v>
      </c>
      <c r="T566">
        <v>2016</v>
      </c>
      <c r="U566" t="s">
        <v>995</v>
      </c>
      <c r="V566">
        <v>31</v>
      </c>
      <c r="W566">
        <v>88.2</v>
      </c>
      <c r="X566">
        <v>328239523</v>
      </c>
      <c r="Y566">
        <v>14.7</v>
      </c>
      <c r="Z566">
        <v>270663028</v>
      </c>
      <c r="AA566">
        <v>37.090240000000001</v>
      </c>
      <c r="AB566">
        <v>-95.712890999999999</v>
      </c>
    </row>
    <row r="567" spans="1:28" x14ac:dyDescent="0.3">
      <c r="A567">
        <v>566</v>
      </c>
      <c r="B567" t="s">
        <v>669</v>
      </c>
      <c r="C567">
        <v>16400000</v>
      </c>
      <c r="D567">
        <v>3955426159</v>
      </c>
      <c r="E567" t="s">
        <v>1011</v>
      </c>
      <c r="F567" t="s">
        <v>669</v>
      </c>
      <c r="G567">
        <v>1091</v>
      </c>
      <c r="H567" t="s">
        <v>984</v>
      </c>
      <c r="I567" t="s">
        <v>985</v>
      </c>
      <c r="J567" t="s">
        <v>988</v>
      </c>
      <c r="K567">
        <v>1938</v>
      </c>
      <c r="L567">
        <v>138</v>
      </c>
      <c r="M567">
        <v>134</v>
      </c>
      <c r="N567">
        <v>18028000</v>
      </c>
      <c r="O567">
        <v>4500</v>
      </c>
      <c r="P567">
        <v>72100</v>
      </c>
      <c r="Q567">
        <v>54100</v>
      </c>
      <c r="R567">
        <v>865300</v>
      </c>
      <c r="S567" t="s">
        <v>987</v>
      </c>
      <c r="T567">
        <v>2011</v>
      </c>
      <c r="U567" t="s">
        <v>991</v>
      </c>
      <c r="V567">
        <v>27</v>
      </c>
      <c r="W567">
        <v>88.2</v>
      </c>
      <c r="X567">
        <v>328239523</v>
      </c>
      <c r="Y567">
        <v>14.7</v>
      </c>
      <c r="Z567">
        <v>270663028</v>
      </c>
      <c r="AA567">
        <v>37.090240000000001</v>
      </c>
      <c r="AB567">
        <v>-95.712890999999999</v>
      </c>
    </row>
    <row r="568" spans="1:28" x14ac:dyDescent="0.3">
      <c r="A568">
        <v>567</v>
      </c>
      <c r="B568" t="s">
        <v>736</v>
      </c>
      <c r="C568">
        <v>16400000</v>
      </c>
      <c r="D568">
        <v>4434679706</v>
      </c>
      <c r="E568" t="s">
        <v>1044</v>
      </c>
      <c r="F568" t="s">
        <v>736</v>
      </c>
      <c r="G568">
        <v>428</v>
      </c>
      <c r="H568" t="s">
        <v>1048</v>
      </c>
      <c r="I568" t="s">
        <v>1049</v>
      </c>
      <c r="J568" t="s">
        <v>988</v>
      </c>
      <c r="K568">
        <v>1636</v>
      </c>
      <c r="L568">
        <v>9</v>
      </c>
      <c r="M568">
        <v>134</v>
      </c>
      <c r="N568">
        <v>9341000</v>
      </c>
      <c r="O568">
        <v>2300</v>
      </c>
      <c r="P568">
        <v>37400</v>
      </c>
      <c r="Q568">
        <v>28000</v>
      </c>
      <c r="R568">
        <v>448400</v>
      </c>
      <c r="S568" t="s">
        <v>987</v>
      </c>
      <c r="T568">
        <v>2011</v>
      </c>
      <c r="U568" t="s">
        <v>1003</v>
      </c>
      <c r="V568">
        <v>24</v>
      </c>
      <c r="W568">
        <v>49.3</v>
      </c>
      <c r="X568">
        <v>69625582</v>
      </c>
      <c r="Y568">
        <v>0.75</v>
      </c>
      <c r="Z568">
        <v>35294600</v>
      </c>
      <c r="AA568">
        <v>15.870032</v>
      </c>
      <c r="AB568">
        <v>100.992541</v>
      </c>
    </row>
    <row r="569" spans="1:28" x14ac:dyDescent="0.3">
      <c r="A569">
        <v>568</v>
      </c>
      <c r="B569" t="s">
        <v>274</v>
      </c>
      <c r="C569">
        <v>16400000</v>
      </c>
      <c r="D569">
        <v>7135820721</v>
      </c>
      <c r="E569" t="s">
        <v>1004</v>
      </c>
      <c r="F569" t="s">
        <v>274</v>
      </c>
      <c r="G569">
        <v>14662</v>
      </c>
      <c r="H569" t="s">
        <v>984</v>
      </c>
      <c r="I569" t="s">
        <v>985</v>
      </c>
      <c r="J569" t="s">
        <v>1004</v>
      </c>
      <c r="K569">
        <v>806</v>
      </c>
      <c r="L569">
        <v>138</v>
      </c>
      <c r="M569">
        <v>7</v>
      </c>
      <c r="N569">
        <v>133208000</v>
      </c>
      <c r="O569">
        <v>33300</v>
      </c>
      <c r="P569">
        <v>532800</v>
      </c>
      <c r="Q569">
        <v>399600</v>
      </c>
      <c r="R569">
        <v>6400000</v>
      </c>
      <c r="S569">
        <v>100000</v>
      </c>
      <c r="T569">
        <v>2006</v>
      </c>
      <c r="U569" t="s">
        <v>980</v>
      </c>
      <c r="V569">
        <v>4</v>
      </c>
      <c r="W569">
        <v>88.2</v>
      </c>
      <c r="X569">
        <v>328239523</v>
      </c>
      <c r="Y569">
        <v>14.7</v>
      </c>
      <c r="Z569">
        <v>270663028</v>
      </c>
      <c r="AA569">
        <v>37.090240000000001</v>
      </c>
      <c r="AB569">
        <v>-95.712890999999999</v>
      </c>
    </row>
    <row r="570" spans="1:28" x14ac:dyDescent="0.3">
      <c r="A570">
        <v>569</v>
      </c>
      <c r="B570" t="s">
        <v>385</v>
      </c>
      <c r="C570">
        <v>16400000</v>
      </c>
      <c r="D570">
        <v>9463244435</v>
      </c>
      <c r="E570" t="s">
        <v>988</v>
      </c>
      <c r="F570" t="s">
        <v>385</v>
      </c>
      <c r="G570">
        <v>56203</v>
      </c>
      <c r="H570" t="s">
        <v>1048</v>
      </c>
      <c r="I570" t="s">
        <v>1049</v>
      </c>
      <c r="J570" t="s">
        <v>988</v>
      </c>
      <c r="K570">
        <v>496</v>
      </c>
      <c r="L570">
        <v>9</v>
      </c>
      <c r="M570">
        <v>134</v>
      </c>
      <c r="N570">
        <v>87757000</v>
      </c>
      <c r="O570">
        <v>21900</v>
      </c>
      <c r="P570">
        <v>351000</v>
      </c>
      <c r="Q570">
        <v>263300</v>
      </c>
      <c r="R570">
        <v>4200000</v>
      </c>
      <c r="S570">
        <v>100000</v>
      </c>
      <c r="T570">
        <v>2010</v>
      </c>
      <c r="U570" t="s">
        <v>995</v>
      </c>
      <c r="V570">
        <v>17</v>
      </c>
      <c r="W570">
        <v>49.3</v>
      </c>
      <c r="X570">
        <v>69625582</v>
      </c>
      <c r="Y570">
        <v>0.75</v>
      </c>
      <c r="Z570">
        <v>35294600</v>
      </c>
      <c r="AA570">
        <v>15.870032</v>
      </c>
      <c r="AB570">
        <v>100.992541</v>
      </c>
    </row>
    <row r="571" spans="1:28" x14ac:dyDescent="0.3">
      <c r="A571">
        <v>570</v>
      </c>
      <c r="B571" t="s">
        <v>899</v>
      </c>
      <c r="C571">
        <v>16400000</v>
      </c>
      <c r="D571">
        <v>13478392540</v>
      </c>
      <c r="E571" t="s">
        <v>988</v>
      </c>
      <c r="F571" t="s">
        <v>899</v>
      </c>
      <c r="G571">
        <v>1</v>
      </c>
      <c r="H571" t="s">
        <v>987</v>
      </c>
      <c r="I571" t="s">
        <v>987</v>
      </c>
      <c r="J571" t="s">
        <v>1002</v>
      </c>
      <c r="K571">
        <v>4057943</v>
      </c>
      <c r="L571" t="s">
        <v>987</v>
      </c>
      <c r="M571">
        <v>7724</v>
      </c>
      <c r="N571" t="s">
        <v>987</v>
      </c>
      <c r="O571">
        <v>0</v>
      </c>
      <c r="P571">
        <v>0</v>
      </c>
      <c r="Q571">
        <v>0</v>
      </c>
      <c r="R571">
        <v>0</v>
      </c>
      <c r="S571" t="s">
        <v>987</v>
      </c>
      <c r="T571">
        <v>2020</v>
      </c>
      <c r="U571" t="s">
        <v>1025</v>
      </c>
      <c r="V571">
        <v>19</v>
      </c>
      <c r="W571" t="s">
        <v>987</v>
      </c>
      <c r="X571" t="s">
        <v>987</v>
      </c>
      <c r="Y571" t="s">
        <v>987</v>
      </c>
      <c r="Z571" t="s">
        <v>987</v>
      </c>
      <c r="AA571" t="s">
        <v>987</v>
      </c>
      <c r="AB571" t="s">
        <v>987</v>
      </c>
    </row>
    <row r="572" spans="1:28" x14ac:dyDescent="0.3">
      <c r="A572">
        <v>571</v>
      </c>
      <c r="B572" t="s">
        <v>876</v>
      </c>
      <c r="C572">
        <v>16400000</v>
      </c>
      <c r="D572">
        <v>14431830557</v>
      </c>
      <c r="E572" t="s">
        <v>988</v>
      </c>
      <c r="F572" t="s">
        <v>876</v>
      </c>
      <c r="G572">
        <v>1</v>
      </c>
      <c r="H572" t="s">
        <v>987</v>
      </c>
      <c r="I572" t="s">
        <v>987</v>
      </c>
      <c r="J572" t="s">
        <v>988</v>
      </c>
      <c r="K572">
        <v>4057780</v>
      </c>
      <c r="L572" t="s">
        <v>987</v>
      </c>
      <c r="M572">
        <v>6788</v>
      </c>
      <c r="N572">
        <v>1</v>
      </c>
      <c r="O572">
        <v>0</v>
      </c>
      <c r="P572">
        <v>0</v>
      </c>
      <c r="Q572">
        <v>0</v>
      </c>
      <c r="R572">
        <v>0.05</v>
      </c>
      <c r="S572" t="s">
        <v>987</v>
      </c>
      <c r="T572">
        <v>2015</v>
      </c>
      <c r="U572" t="s">
        <v>1029</v>
      </c>
      <c r="V572">
        <v>23</v>
      </c>
      <c r="W572" t="s">
        <v>987</v>
      </c>
      <c r="X572" t="s">
        <v>987</v>
      </c>
      <c r="Y572" t="s">
        <v>987</v>
      </c>
      <c r="Z572" t="s">
        <v>987</v>
      </c>
      <c r="AA572" t="s">
        <v>987</v>
      </c>
      <c r="AB572" t="s">
        <v>987</v>
      </c>
    </row>
    <row r="573" spans="1:28" x14ac:dyDescent="0.3">
      <c r="A573">
        <v>572</v>
      </c>
      <c r="B573" t="s">
        <v>206</v>
      </c>
      <c r="C573">
        <v>16400000</v>
      </c>
      <c r="D573">
        <v>12844432341</v>
      </c>
      <c r="E573" t="s">
        <v>988</v>
      </c>
      <c r="F573" t="s">
        <v>206</v>
      </c>
      <c r="G573">
        <v>23952</v>
      </c>
      <c r="H573" t="s">
        <v>1048</v>
      </c>
      <c r="I573" t="s">
        <v>1049</v>
      </c>
      <c r="J573" t="s">
        <v>988</v>
      </c>
      <c r="K573">
        <v>294</v>
      </c>
      <c r="L573">
        <v>9</v>
      </c>
      <c r="M573">
        <v>134</v>
      </c>
      <c r="N573">
        <v>181382000</v>
      </c>
      <c r="O573">
        <v>45300</v>
      </c>
      <c r="P573">
        <v>725500</v>
      </c>
      <c r="Q573">
        <v>544100</v>
      </c>
      <c r="R573">
        <v>8700000</v>
      </c>
      <c r="S573">
        <v>200000</v>
      </c>
      <c r="T573">
        <v>2010</v>
      </c>
      <c r="U573" t="s">
        <v>991</v>
      </c>
      <c r="V573">
        <v>13</v>
      </c>
      <c r="W573">
        <v>49.3</v>
      </c>
      <c r="X573">
        <v>69625582</v>
      </c>
      <c r="Y573">
        <v>0.75</v>
      </c>
      <c r="Z573">
        <v>35294600</v>
      </c>
      <c r="AA573">
        <v>15.870032</v>
      </c>
      <c r="AB573">
        <v>100.992541</v>
      </c>
    </row>
    <row r="574" spans="1:28" x14ac:dyDescent="0.3">
      <c r="A574">
        <v>573</v>
      </c>
      <c r="B574" t="s">
        <v>805</v>
      </c>
      <c r="C574">
        <v>16300000</v>
      </c>
      <c r="D574">
        <v>3527627264</v>
      </c>
      <c r="E574" t="s">
        <v>988</v>
      </c>
      <c r="F574" t="s">
        <v>1199</v>
      </c>
      <c r="G574">
        <v>54</v>
      </c>
      <c r="H574" t="s">
        <v>984</v>
      </c>
      <c r="I574" t="s">
        <v>985</v>
      </c>
      <c r="J574" t="s">
        <v>988</v>
      </c>
      <c r="K574">
        <v>283499</v>
      </c>
      <c r="L574">
        <v>1874</v>
      </c>
      <c r="M574">
        <v>1836</v>
      </c>
      <c r="N574">
        <v>29735</v>
      </c>
      <c r="O574">
        <v>7</v>
      </c>
      <c r="P574">
        <v>119</v>
      </c>
      <c r="Q574">
        <v>89</v>
      </c>
      <c r="R574">
        <v>1400</v>
      </c>
      <c r="S574" t="s">
        <v>987</v>
      </c>
      <c r="T574">
        <v>2010</v>
      </c>
      <c r="U574" t="s">
        <v>1008</v>
      </c>
      <c r="V574">
        <v>19</v>
      </c>
      <c r="W574">
        <v>88.2</v>
      </c>
      <c r="X574">
        <v>328239523</v>
      </c>
      <c r="Y574">
        <v>14.7</v>
      </c>
      <c r="Z574">
        <v>270663028</v>
      </c>
      <c r="AA574">
        <v>37.090240000000001</v>
      </c>
      <c r="AB574">
        <v>-95.712890999999999</v>
      </c>
    </row>
    <row r="575" spans="1:28" x14ac:dyDescent="0.3">
      <c r="A575">
        <v>574</v>
      </c>
      <c r="B575" t="s">
        <v>607</v>
      </c>
      <c r="C575">
        <v>16300000</v>
      </c>
      <c r="D575">
        <v>6578828147</v>
      </c>
      <c r="E575" t="s">
        <v>977</v>
      </c>
      <c r="F575" t="s">
        <v>607</v>
      </c>
      <c r="G575">
        <v>490</v>
      </c>
      <c r="H575" t="s">
        <v>984</v>
      </c>
      <c r="I575" t="s">
        <v>985</v>
      </c>
      <c r="J575" t="s">
        <v>977</v>
      </c>
      <c r="K575">
        <v>913</v>
      </c>
      <c r="L575">
        <v>139</v>
      </c>
      <c r="M575">
        <v>117</v>
      </c>
      <c r="N575">
        <v>28787000</v>
      </c>
      <c r="O575">
        <v>7200</v>
      </c>
      <c r="P575">
        <v>115100</v>
      </c>
      <c r="Q575">
        <v>86400</v>
      </c>
      <c r="R575">
        <v>1400000</v>
      </c>
      <c r="S575" t="s">
        <v>987</v>
      </c>
      <c r="T575">
        <v>2007</v>
      </c>
      <c r="U575" t="s">
        <v>991</v>
      </c>
      <c r="V575">
        <v>2</v>
      </c>
      <c r="W575">
        <v>88.2</v>
      </c>
      <c r="X575">
        <v>328239523</v>
      </c>
      <c r="Y575">
        <v>14.7</v>
      </c>
      <c r="Z575">
        <v>270663028</v>
      </c>
      <c r="AA575">
        <v>37.090240000000001</v>
      </c>
      <c r="AB575">
        <v>-95.712890999999999</v>
      </c>
    </row>
    <row r="576" spans="1:28" x14ac:dyDescent="0.3">
      <c r="A576">
        <v>575</v>
      </c>
      <c r="B576" t="s">
        <v>542</v>
      </c>
      <c r="C576">
        <v>16300000</v>
      </c>
      <c r="D576">
        <v>6613422635</v>
      </c>
      <c r="E576" t="s">
        <v>977</v>
      </c>
      <c r="F576" t="s">
        <v>542</v>
      </c>
      <c r="G576">
        <v>80</v>
      </c>
      <c r="H576" t="s">
        <v>984</v>
      </c>
      <c r="I576" t="s">
        <v>985</v>
      </c>
      <c r="J576" t="s">
        <v>977</v>
      </c>
      <c r="K576">
        <v>906</v>
      </c>
      <c r="L576">
        <v>139</v>
      </c>
      <c r="M576">
        <v>117</v>
      </c>
      <c r="N576">
        <v>42704000</v>
      </c>
      <c r="O576">
        <v>10700</v>
      </c>
      <c r="P576">
        <v>170800</v>
      </c>
      <c r="Q576">
        <v>128100</v>
      </c>
      <c r="R576">
        <v>2000000</v>
      </c>
      <c r="S576">
        <v>100000</v>
      </c>
      <c r="T576">
        <v>2015</v>
      </c>
      <c r="U576" t="s">
        <v>1010</v>
      </c>
      <c r="V576">
        <v>11</v>
      </c>
      <c r="W576">
        <v>88.2</v>
      </c>
      <c r="X576">
        <v>328239523</v>
      </c>
      <c r="Y576">
        <v>14.7</v>
      </c>
      <c r="Z576">
        <v>270663028</v>
      </c>
      <c r="AA576">
        <v>37.090240000000001</v>
      </c>
      <c r="AB576">
        <v>-95.712890999999999</v>
      </c>
    </row>
    <row r="577" spans="1:28" x14ac:dyDescent="0.3">
      <c r="A577">
        <v>576</v>
      </c>
      <c r="B577" t="s">
        <v>549</v>
      </c>
      <c r="C577">
        <v>16300000</v>
      </c>
      <c r="D577">
        <v>7520242626</v>
      </c>
      <c r="E577" t="s">
        <v>977</v>
      </c>
      <c r="F577" t="s">
        <v>549</v>
      </c>
      <c r="G577">
        <v>278</v>
      </c>
      <c r="H577" t="s">
        <v>1013</v>
      </c>
      <c r="I577" t="s">
        <v>1014</v>
      </c>
      <c r="J577" t="s">
        <v>977</v>
      </c>
      <c r="K577">
        <v>740</v>
      </c>
      <c r="L577">
        <v>22</v>
      </c>
      <c r="M577">
        <v>117</v>
      </c>
      <c r="N577">
        <v>38604000</v>
      </c>
      <c r="O577">
        <v>9700</v>
      </c>
      <c r="P577">
        <v>154400</v>
      </c>
      <c r="Q577">
        <v>115800</v>
      </c>
      <c r="R577">
        <v>1900000</v>
      </c>
      <c r="S577" t="s">
        <v>987</v>
      </c>
      <c r="T577">
        <v>2011</v>
      </c>
      <c r="U577" t="s">
        <v>1029</v>
      </c>
      <c r="V577">
        <v>30</v>
      </c>
      <c r="W577">
        <v>60</v>
      </c>
      <c r="X577">
        <v>66834405</v>
      </c>
      <c r="Y577">
        <v>3.85</v>
      </c>
      <c r="Z577">
        <v>55908316</v>
      </c>
      <c r="AA577">
        <v>55.378050999999999</v>
      </c>
      <c r="AB577">
        <v>-3.4359730000000002</v>
      </c>
    </row>
    <row r="578" spans="1:28" x14ac:dyDescent="0.3">
      <c r="A578">
        <v>577</v>
      </c>
      <c r="B578" t="s">
        <v>387</v>
      </c>
      <c r="C578">
        <v>16300000</v>
      </c>
      <c r="D578">
        <v>10170264839</v>
      </c>
      <c r="E578" t="s">
        <v>977</v>
      </c>
      <c r="F578" t="s">
        <v>387</v>
      </c>
      <c r="G578">
        <v>230</v>
      </c>
      <c r="H578" t="s">
        <v>1013</v>
      </c>
      <c r="I578" t="s">
        <v>1014</v>
      </c>
      <c r="J578" t="s">
        <v>988</v>
      </c>
      <c r="K578">
        <v>428</v>
      </c>
      <c r="L578">
        <v>22</v>
      </c>
      <c r="M578">
        <v>135</v>
      </c>
      <c r="N578">
        <v>85778000</v>
      </c>
      <c r="O578">
        <v>21400</v>
      </c>
      <c r="P578">
        <v>343100</v>
      </c>
      <c r="Q578">
        <v>257300</v>
      </c>
      <c r="R578">
        <v>4100000</v>
      </c>
      <c r="S578" t="s">
        <v>987</v>
      </c>
      <c r="T578">
        <v>2012</v>
      </c>
      <c r="U578" t="s">
        <v>991</v>
      </c>
      <c r="V578">
        <v>14</v>
      </c>
      <c r="W578">
        <v>60</v>
      </c>
      <c r="X578">
        <v>66834405</v>
      </c>
      <c r="Y578">
        <v>3.85</v>
      </c>
      <c r="Z578">
        <v>55908316</v>
      </c>
      <c r="AA578">
        <v>55.378050999999999</v>
      </c>
      <c r="AB578">
        <v>-3.4359730000000002</v>
      </c>
    </row>
    <row r="579" spans="1:28" x14ac:dyDescent="0.3">
      <c r="A579">
        <v>578</v>
      </c>
      <c r="B579" t="s">
        <v>380</v>
      </c>
      <c r="C579">
        <v>16300000</v>
      </c>
      <c r="D579">
        <v>12475714382</v>
      </c>
      <c r="E579" t="s">
        <v>977</v>
      </c>
      <c r="F579" t="s">
        <v>380</v>
      </c>
      <c r="G579">
        <v>352</v>
      </c>
      <c r="H579" t="s">
        <v>984</v>
      </c>
      <c r="I579" t="s">
        <v>985</v>
      </c>
      <c r="J579" t="s">
        <v>977</v>
      </c>
      <c r="K579">
        <v>308</v>
      </c>
      <c r="L579">
        <v>139</v>
      </c>
      <c r="M579">
        <v>117</v>
      </c>
      <c r="N579">
        <v>88004000</v>
      </c>
      <c r="O579">
        <v>22000</v>
      </c>
      <c r="P579">
        <v>352000</v>
      </c>
      <c r="Q579">
        <v>264000</v>
      </c>
      <c r="R579">
        <v>4200000</v>
      </c>
      <c r="S579" t="s">
        <v>987</v>
      </c>
      <c r="T579">
        <v>2006</v>
      </c>
      <c r="U579" t="s">
        <v>1015</v>
      </c>
      <c r="V579">
        <v>5</v>
      </c>
      <c r="W579">
        <v>88.2</v>
      </c>
      <c r="X579">
        <v>328239523</v>
      </c>
      <c r="Y579">
        <v>14.7</v>
      </c>
      <c r="Z579">
        <v>270663028</v>
      </c>
      <c r="AA579">
        <v>37.090240000000001</v>
      </c>
      <c r="AB579">
        <v>-95.712890999999999</v>
      </c>
    </row>
    <row r="580" spans="1:28" x14ac:dyDescent="0.3">
      <c r="A580">
        <v>579</v>
      </c>
      <c r="B580" t="s">
        <v>247</v>
      </c>
      <c r="C580">
        <v>16300000</v>
      </c>
      <c r="D580">
        <v>7141825267</v>
      </c>
      <c r="E580" t="s">
        <v>988</v>
      </c>
      <c r="F580" t="s">
        <v>247</v>
      </c>
      <c r="G580">
        <v>1444</v>
      </c>
      <c r="H580" t="s">
        <v>978</v>
      </c>
      <c r="I580" t="s">
        <v>979</v>
      </c>
      <c r="J580" t="s">
        <v>977</v>
      </c>
      <c r="K580">
        <v>804</v>
      </c>
      <c r="L580">
        <v>93</v>
      </c>
      <c r="M580">
        <v>116</v>
      </c>
      <c r="N580">
        <v>151477000</v>
      </c>
      <c r="O580">
        <v>37900</v>
      </c>
      <c r="P580">
        <v>605900</v>
      </c>
      <c r="Q580">
        <v>454400</v>
      </c>
      <c r="R580">
        <v>7300000</v>
      </c>
      <c r="S580">
        <v>300000</v>
      </c>
      <c r="T580">
        <v>2011</v>
      </c>
      <c r="U580" t="s">
        <v>1025</v>
      </c>
      <c r="V580">
        <v>13</v>
      </c>
      <c r="W580">
        <v>28.1</v>
      </c>
      <c r="X580">
        <v>1366417754</v>
      </c>
      <c r="Y580">
        <v>5.36</v>
      </c>
      <c r="Z580">
        <v>471031528</v>
      </c>
      <c r="AA580">
        <v>20.593684</v>
      </c>
      <c r="AB580">
        <v>78.962879999999998</v>
      </c>
    </row>
    <row r="581" spans="1:28" x14ac:dyDescent="0.3">
      <c r="A581">
        <v>580</v>
      </c>
      <c r="B581" t="s">
        <v>670</v>
      </c>
      <c r="C581">
        <v>16300000</v>
      </c>
      <c r="D581">
        <v>1656452554</v>
      </c>
      <c r="E581" t="s">
        <v>996</v>
      </c>
      <c r="F581" t="s">
        <v>670</v>
      </c>
      <c r="G581">
        <v>989</v>
      </c>
      <c r="H581" t="s">
        <v>984</v>
      </c>
      <c r="I581" t="s">
        <v>985</v>
      </c>
      <c r="J581" t="s">
        <v>986</v>
      </c>
      <c r="K581">
        <v>6274</v>
      </c>
      <c r="L581">
        <v>138</v>
      </c>
      <c r="M581">
        <v>40</v>
      </c>
      <c r="N581">
        <v>17944000</v>
      </c>
      <c r="O581">
        <v>4500</v>
      </c>
      <c r="P581">
        <v>71800</v>
      </c>
      <c r="Q581">
        <v>53800</v>
      </c>
      <c r="R581">
        <v>861300</v>
      </c>
      <c r="S581">
        <v>200000</v>
      </c>
      <c r="T581">
        <v>2013</v>
      </c>
      <c r="U581" t="s">
        <v>1025</v>
      </c>
      <c r="V581">
        <v>28</v>
      </c>
      <c r="W581">
        <v>88.2</v>
      </c>
      <c r="X581">
        <v>328239523</v>
      </c>
      <c r="Y581">
        <v>14.7</v>
      </c>
      <c r="Z581">
        <v>270663028</v>
      </c>
      <c r="AA581">
        <v>37.090240000000001</v>
      </c>
      <c r="AB581">
        <v>-95.712890999999999</v>
      </c>
    </row>
    <row r="582" spans="1:28" x14ac:dyDescent="0.3">
      <c r="A582">
        <v>581</v>
      </c>
      <c r="B582" t="s">
        <v>771</v>
      </c>
      <c r="C582">
        <v>16300000</v>
      </c>
      <c r="D582">
        <v>4768370464</v>
      </c>
      <c r="E582" t="s">
        <v>996</v>
      </c>
      <c r="F582" t="s">
        <v>771</v>
      </c>
      <c r="G582">
        <v>652</v>
      </c>
      <c r="H582" t="s">
        <v>1013</v>
      </c>
      <c r="I582" t="s">
        <v>1014</v>
      </c>
      <c r="J582" t="s">
        <v>988</v>
      </c>
      <c r="K582">
        <v>1455</v>
      </c>
      <c r="L582">
        <v>22</v>
      </c>
      <c r="M582">
        <v>135</v>
      </c>
      <c r="N582">
        <v>3079000</v>
      </c>
      <c r="O582">
        <v>770</v>
      </c>
      <c r="P582">
        <v>12300</v>
      </c>
      <c r="Q582">
        <v>9200</v>
      </c>
      <c r="R582">
        <v>147800</v>
      </c>
      <c r="S582" t="s">
        <v>987</v>
      </c>
      <c r="T582">
        <v>2012</v>
      </c>
      <c r="U582" t="s">
        <v>1015</v>
      </c>
      <c r="V582">
        <v>26</v>
      </c>
      <c r="W582">
        <v>60</v>
      </c>
      <c r="X582">
        <v>66834405</v>
      </c>
      <c r="Y582">
        <v>3.85</v>
      </c>
      <c r="Z582">
        <v>55908316</v>
      </c>
      <c r="AA582">
        <v>55.378050999999999</v>
      </c>
      <c r="AB582">
        <v>-3.4359730000000002</v>
      </c>
    </row>
    <row r="583" spans="1:28" x14ac:dyDescent="0.3">
      <c r="A583">
        <v>582</v>
      </c>
      <c r="B583" t="s">
        <v>447</v>
      </c>
      <c r="C583">
        <v>16200000</v>
      </c>
      <c r="D583">
        <v>10227242833</v>
      </c>
      <c r="E583" t="s">
        <v>977</v>
      </c>
      <c r="F583" t="s">
        <v>447</v>
      </c>
      <c r="G583">
        <v>258</v>
      </c>
      <c r="H583" t="s">
        <v>984</v>
      </c>
      <c r="I583" t="s">
        <v>985</v>
      </c>
      <c r="J583" t="s">
        <v>977</v>
      </c>
      <c r="K583">
        <v>426</v>
      </c>
      <c r="L583">
        <v>140</v>
      </c>
      <c r="M583">
        <v>118</v>
      </c>
      <c r="N583">
        <v>63441000</v>
      </c>
      <c r="O583">
        <v>15900</v>
      </c>
      <c r="P583">
        <v>253800</v>
      </c>
      <c r="Q583">
        <v>190300</v>
      </c>
      <c r="R583">
        <v>3000000</v>
      </c>
      <c r="S583" t="s">
        <v>987</v>
      </c>
      <c r="T583">
        <v>2005</v>
      </c>
      <c r="U583" t="s">
        <v>1029</v>
      </c>
      <c r="V583">
        <v>18</v>
      </c>
      <c r="W583">
        <v>88.2</v>
      </c>
      <c r="X583">
        <v>328239523</v>
      </c>
      <c r="Y583">
        <v>14.7</v>
      </c>
      <c r="Z583">
        <v>270663028</v>
      </c>
      <c r="AA583">
        <v>37.090240000000001</v>
      </c>
      <c r="AB583">
        <v>-95.712890999999999</v>
      </c>
    </row>
    <row r="584" spans="1:28" x14ac:dyDescent="0.3">
      <c r="A584">
        <v>583</v>
      </c>
      <c r="B584" t="s">
        <v>636</v>
      </c>
      <c r="C584">
        <v>16200000</v>
      </c>
      <c r="D584">
        <v>8091706232</v>
      </c>
      <c r="E584" t="s">
        <v>988</v>
      </c>
      <c r="F584" t="s">
        <v>636</v>
      </c>
      <c r="G584">
        <v>593</v>
      </c>
      <c r="H584" t="s">
        <v>984</v>
      </c>
      <c r="I584" t="s">
        <v>985</v>
      </c>
      <c r="J584" t="s">
        <v>988</v>
      </c>
      <c r="K584">
        <v>636</v>
      </c>
      <c r="L584">
        <v>140</v>
      </c>
      <c r="M584">
        <v>136</v>
      </c>
      <c r="N584">
        <v>25912000</v>
      </c>
      <c r="O584">
        <v>6500</v>
      </c>
      <c r="P584">
        <v>103600</v>
      </c>
      <c r="Q584">
        <v>77700</v>
      </c>
      <c r="R584">
        <v>1200000</v>
      </c>
      <c r="S584" t="s">
        <v>987</v>
      </c>
      <c r="T584">
        <v>2018</v>
      </c>
      <c r="U584" t="s">
        <v>995</v>
      </c>
      <c r="V584">
        <v>14</v>
      </c>
      <c r="W584">
        <v>88.2</v>
      </c>
      <c r="X584">
        <v>328239523</v>
      </c>
      <c r="Y584">
        <v>14.7</v>
      </c>
      <c r="Z584">
        <v>270663028</v>
      </c>
      <c r="AA584">
        <v>37.090240000000001</v>
      </c>
      <c r="AB584">
        <v>-95.712890999999999</v>
      </c>
    </row>
    <row r="585" spans="1:28" x14ac:dyDescent="0.3">
      <c r="A585">
        <v>584</v>
      </c>
      <c r="B585" t="s">
        <v>577</v>
      </c>
      <c r="C585">
        <v>16200000</v>
      </c>
      <c r="D585">
        <v>2990185467</v>
      </c>
      <c r="E585" t="s">
        <v>1044</v>
      </c>
      <c r="F585" t="s">
        <v>577</v>
      </c>
      <c r="G585">
        <v>1930</v>
      </c>
      <c r="H585" t="s">
        <v>1019</v>
      </c>
      <c r="I585" t="s">
        <v>1020</v>
      </c>
      <c r="J585" t="s">
        <v>1002</v>
      </c>
      <c r="K585">
        <v>2898</v>
      </c>
      <c r="L585">
        <v>31</v>
      </c>
      <c r="M585">
        <v>38</v>
      </c>
      <c r="N585">
        <v>33015000</v>
      </c>
      <c r="O585">
        <v>8300</v>
      </c>
      <c r="P585">
        <v>132100</v>
      </c>
      <c r="Q585">
        <v>99000</v>
      </c>
      <c r="R585">
        <v>1600000</v>
      </c>
      <c r="S585">
        <v>100000</v>
      </c>
      <c r="T585">
        <v>2012</v>
      </c>
      <c r="U585" t="s">
        <v>1003</v>
      </c>
      <c r="V585">
        <v>16</v>
      </c>
      <c r="W585">
        <v>51.3</v>
      </c>
      <c r="X585">
        <v>212559417</v>
      </c>
      <c r="Y585">
        <v>12.08</v>
      </c>
      <c r="Z585">
        <v>183241641</v>
      </c>
      <c r="AA585">
        <v>-14.235004</v>
      </c>
      <c r="AB585">
        <v>-51.925280000000001</v>
      </c>
    </row>
    <row r="586" spans="1:28" x14ac:dyDescent="0.3">
      <c r="A586">
        <v>585</v>
      </c>
      <c r="B586" t="s">
        <v>621</v>
      </c>
      <c r="C586">
        <v>16200000</v>
      </c>
      <c r="D586">
        <v>4076692623</v>
      </c>
      <c r="E586" t="s">
        <v>996</v>
      </c>
      <c r="F586" t="s">
        <v>621</v>
      </c>
      <c r="G586">
        <v>1294</v>
      </c>
      <c r="H586" t="s">
        <v>1013</v>
      </c>
      <c r="I586" t="s">
        <v>1014</v>
      </c>
      <c r="J586" t="s">
        <v>988</v>
      </c>
      <c r="K586">
        <v>1856</v>
      </c>
      <c r="L586">
        <v>23</v>
      </c>
      <c r="M586">
        <v>136</v>
      </c>
      <c r="N586">
        <v>27808000</v>
      </c>
      <c r="O586">
        <v>7000</v>
      </c>
      <c r="P586">
        <v>111200</v>
      </c>
      <c r="Q586">
        <v>83400</v>
      </c>
      <c r="R586">
        <v>1300000</v>
      </c>
      <c r="S586">
        <v>100000</v>
      </c>
      <c r="T586">
        <v>2011</v>
      </c>
      <c r="U586" t="s">
        <v>1003</v>
      </c>
      <c r="V586">
        <v>26</v>
      </c>
      <c r="W586">
        <v>60</v>
      </c>
      <c r="X586">
        <v>66834405</v>
      </c>
      <c r="Y586">
        <v>3.85</v>
      </c>
      <c r="Z586">
        <v>55908316</v>
      </c>
      <c r="AA586">
        <v>55.378050999999999</v>
      </c>
      <c r="AB586">
        <v>-3.4359730000000002</v>
      </c>
    </row>
    <row r="587" spans="1:28" x14ac:dyDescent="0.3">
      <c r="A587">
        <v>586</v>
      </c>
      <c r="B587" t="s">
        <v>149</v>
      </c>
      <c r="C587">
        <v>16200000</v>
      </c>
      <c r="D587">
        <v>9763592867</v>
      </c>
      <c r="E587" t="s">
        <v>977</v>
      </c>
      <c r="F587" t="s">
        <v>149</v>
      </c>
      <c r="G587">
        <v>3943</v>
      </c>
      <c r="H587" t="s">
        <v>1176</v>
      </c>
      <c r="I587" t="s">
        <v>1177</v>
      </c>
      <c r="J587" t="s">
        <v>1022</v>
      </c>
      <c r="K587">
        <v>462</v>
      </c>
      <c r="L587">
        <v>2</v>
      </c>
      <c r="M587">
        <v>30</v>
      </c>
      <c r="N587">
        <v>256733000</v>
      </c>
      <c r="O587">
        <v>64200</v>
      </c>
      <c r="P587">
        <v>1000000</v>
      </c>
      <c r="Q587">
        <v>770200</v>
      </c>
      <c r="R587">
        <v>12300000</v>
      </c>
      <c r="S587">
        <v>200000</v>
      </c>
      <c r="T587">
        <v>2014</v>
      </c>
      <c r="U587" t="s">
        <v>1003</v>
      </c>
      <c r="V587">
        <v>14</v>
      </c>
      <c r="W587">
        <v>28.5</v>
      </c>
      <c r="X587">
        <v>96462106</v>
      </c>
      <c r="Y587">
        <v>2.0099999999999998</v>
      </c>
      <c r="Z587">
        <v>35332140</v>
      </c>
      <c r="AA587">
        <v>14.058324000000001</v>
      </c>
      <c r="AB587">
        <v>108.277199</v>
      </c>
    </row>
    <row r="588" spans="1:28" x14ac:dyDescent="0.3">
      <c r="A588">
        <v>587</v>
      </c>
      <c r="B588" t="s">
        <v>171</v>
      </c>
      <c r="C588">
        <v>16200000</v>
      </c>
      <c r="D588">
        <v>14563841315</v>
      </c>
      <c r="E588" t="s">
        <v>1026</v>
      </c>
      <c r="F588" t="s">
        <v>171</v>
      </c>
      <c r="G588">
        <v>244899</v>
      </c>
      <c r="H588" t="s">
        <v>1048</v>
      </c>
      <c r="I588" t="s">
        <v>1049</v>
      </c>
      <c r="J588" t="s">
        <v>1027</v>
      </c>
      <c r="K588">
        <v>238</v>
      </c>
      <c r="L588">
        <v>10</v>
      </c>
      <c r="M588">
        <v>14</v>
      </c>
      <c r="N588">
        <v>224756000</v>
      </c>
      <c r="O588">
        <v>56200</v>
      </c>
      <c r="P588">
        <v>899000</v>
      </c>
      <c r="Q588">
        <v>674300</v>
      </c>
      <c r="R588">
        <v>10800000</v>
      </c>
      <c r="S588">
        <v>100000</v>
      </c>
      <c r="T588">
        <v>2010</v>
      </c>
      <c r="U588" t="s">
        <v>991</v>
      </c>
      <c r="V588">
        <v>27</v>
      </c>
      <c r="W588">
        <v>49.3</v>
      </c>
      <c r="X588">
        <v>69625582</v>
      </c>
      <c r="Y588">
        <v>0.75</v>
      </c>
      <c r="Z588">
        <v>35294600</v>
      </c>
      <c r="AA588">
        <v>15.870032</v>
      </c>
      <c r="AB588">
        <v>100.992541</v>
      </c>
    </row>
    <row r="589" spans="1:28" x14ac:dyDescent="0.3">
      <c r="A589">
        <v>588</v>
      </c>
      <c r="B589" t="s">
        <v>301</v>
      </c>
      <c r="C589">
        <v>16200000</v>
      </c>
      <c r="D589">
        <v>20522339099</v>
      </c>
      <c r="E589" t="s">
        <v>988</v>
      </c>
      <c r="F589" t="s">
        <v>301</v>
      </c>
      <c r="G589">
        <v>31889</v>
      </c>
      <c r="H589" t="s">
        <v>1112</v>
      </c>
      <c r="I589" t="s">
        <v>1113</v>
      </c>
      <c r="J589" t="s">
        <v>988</v>
      </c>
      <c r="K589">
        <v>116</v>
      </c>
      <c r="L589">
        <v>1</v>
      </c>
      <c r="M589">
        <v>136</v>
      </c>
      <c r="N589">
        <v>117209000</v>
      </c>
      <c r="O589">
        <v>29300</v>
      </c>
      <c r="P589">
        <v>468800</v>
      </c>
      <c r="Q589">
        <v>351600</v>
      </c>
      <c r="R589">
        <v>5600000</v>
      </c>
      <c r="S589">
        <v>200000</v>
      </c>
      <c r="T589">
        <v>2005</v>
      </c>
      <c r="U589" t="s">
        <v>1025</v>
      </c>
      <c r="V589">
        <v>22</v>
      </c>
      <c r="W589">
        <v>84.8</v>
      </c>
      <c r="X589">
        <v>5703569</v>
      </c>
      <c r="Y589">
        <v>4.1100000000000003</v>
      </c>
      <c r="Z589">
        <v>5703569</v>
      </c>
      <c r="AA589">
        <v>1.3520829999999999</v>
      </c>
      <c r="AB589">
        <v>103.819836</v>
      </c>
    </row>
    <row r="590" spans="1:28" x14ac:dyDescent="0.3">
      <c r="A590">
        <v>589</v>
      </c>
      <c r="B590" t="s">
        <v>801</v>
      </c>
      <c r="C590">
        <v>16200000</v>
      </c>
      <c r="D590">
        <v>14784781923</v>
      </c>
      <c r="E590" t="s">
        <v>994</v>
      </c>
      <c r="F590" t="s">
        <v>1200</v>
      </c>
      <c r="G590">
        <v>189</v>
      </c>
      <c r="H590" t="s">
        <v>984</v>
      </c>
      <c r="I590" t="s">
        <v>985</v>
      </c>
      <c r="J590" t="s">
        <v>1002</v>
      </c>
      <c r="K590">
        <v>153622</v>
      </c>
      <c r="L590">
        <v>1776</v>
      </c>
      <c r="M590">
        <v>1495</v>
      </c>
      <c r="N590">
        <v>37911</v>
      </c>
      <c r="O590">
        <v>9</v>
      </c>
      <c r="P590">
        <v>152</v>
      </c>
      <c r="Q590">
        <v>114</v>
      </c>
      <c r="R590">
        <v>1800</v>
      </c>
      <c r="S590">
        <v>1000</v>
      </c>
      <c r="T590">
        <v>2020</v>
      </c>
      <c r="U590" t="s">
        <v>991</v>
      </c>
      <c r="V590">
        <v>12</v>
      </c>
      <c r="W590">
        <v>88.2</v>
      </c>
      <c r="X590">
        <v>328239523</v>
      </c>
      <c r="Y590">
        <v>14.7</v>
      </c>
      <c r="Z590">
        <v>270663028</v>
      </c>
      <c r="AA590">
        <v>37.090240000000001</v>
      </c>
      <c r="AB590">
        <v>-95.712890999999999</v>
      </c>
    </row>
    <row r="591" spans="1:28" x14ac:dyDescent="0.3">
      <c r="A591">
        <v>590</v>
      </c>
      <c r="B591" t="s">
        <v>858</v>
      </c>
      <c r="C591">
        <v>16200000</v>
      </c>
      <c r="D591">
        <v>4488680903</v>
      </c>
      <c r="E591" t="s">
        <v>988</v>
      </c>
      <c r="F591" t="s">
        <v>1201</v>
      </c>
      <c r="G591">
        <v>10</v>
      </c>
      <c r="H591" t="s">
        <v>1065</v>
      </c>
      <c r="I591" t="s">
        <v>1066</v>
      </c>
      <c r="J591" t="s">
        <v>977</v>
      </c>
      <c r="K591">
        <v>4048675</v>
      </c>
      <c r="L591">
        <v>4228</v>
      </c>
      <c r="M591">
        <v>5766</v>
      </c>
      <c r="N591">
        <v>4</v>
      </c>
      <c r="O591">
        <v>0</v>
      </c>
      <c r="P591">
        <v>0.02</v>
      </c>
      <c r="Q591">
        <v>0.01</v>
      </c>
      <c r="R591">
        <v>0.19</v>
      </c>
      <c r="S591" t="s">
        <v>987</v>
      </c>
      <c r="T591">
        <v>2006</v>
      </c>
      <c r="U591" t="s">
        <v>995</v>
      </c>
      <c r="V591">
        <v>2</v>
      </c>
      <c r="W591">
        <v>88.9</v>
      </c>
      <c r="X591">
        <v>47076781</v>
      </c>
      <c r="Y591">
        <v>13.96</v>
      </c>
      <c r="Z591">
        <v>37927409</v>
      </c>
      <c r="AA591">
        <v>40.463667000000001</v>
      </c>
      <c r="AB591">
        <v>-3.7492200000000002</v>
      </c>
    </row>
    <row r="592" spans="1:28" x14ac:dyDescent="0.3">
      <c r="A592">
        <v>591</v>
      </c>
      <c r="B592" t="s">
        <v>821</v>
      </c>
      <c r="C592">
        <v>16200000</v>
      </c>
      <c r="D592">
        <v>4813127504</v>
      </c>
      <c r="E592" t="s">
        <v>994</v>
      </c>
      <c r="F592" t="s">
        <v>1202</v>
      </c>
      <c r="G592">
        <v>2</v>
      </c>
      <c r="H592" t="s">
        <v>987</v>
      </c>
      <c r="I592" t="s">
        <v>987</v>
      </c>
      <c r="J592" t="s">
        <v>1002</v>
      </c>
      <c r="K592">
        <v>3945744</v>
      </c>
      <c r="L592" t="s">
        <v>987</v>
      </c>
      <c r="M592">
        <v>7359</v>
      </c>
      <c r="N592">
        <v>510</v>
      </c>
      <c r="O592">
        <v>0.13</v>
      </c>
      <c r="P592">
        <v>2</v>
      </c>
      <c r="Q592">
        <v>2</v>
      </c>
      <c r="R592">
        <v>24</v>
      </c>
      <c r="S592">
        <v>1</v>
      </c>
      <c r="T592">
        <v>2015</v>
      </c>
      <c r="U592" t="s">
        <v>1029</v>
      </c>
      <c r="V592">
        <v>21</v>
      </c>
      <c r="W592" t="s">
        <v>987</v>
      </c>
      <c r="X592" t="s">
        <v>987</v>
      </c>
      <c r="Y592" t="s">
        <v>987</v>
      </c>
      <c r="Z592" t="s">
        <v>987</v>
      </c>
      <c r="AA592" t="s">
        <v>987</v>
      </c>
      <c r="AB592" t="s">
        <v>987</v>
      </c>
    </row>
    <row r="593" spans="1:28" x14ac:dyDescent="0.3">
      <c r="A593">
        <v>592</v>
      </c>
      <c r="B593" t="s">
        <v>734</v>
      </c>
      <c r="C593">
        <v>16100000</v>
      </c>
      <c r="D593">
        <v>1517638132</v>
      </c>
      <c r="E593" t="s">
        <v>988</v>
      </c>
      <c r="F593" t="s">
        <v>734</v>
      </c>
      <c r="G593">
        <v>2805</v>
      </c>
      <c r="H593" t="s">
        <v>1081</v>
      </c>
      <c r="I593" t="s">
        <v>1082</v>
      </c>
      <c r="J593" t="s">
        <v>986</v>
      </c>
      <c r="K593">
        <v>6986</v>
      </c>
      <c r="L593">
        <v>21</v>
      </c>
      <c r="M593">
        <v>41</v>
      </c>
      <c r="N593">
        <v>9619000</v>
      </c>
      <c r="O593">
        <v>2400</v>
      </c>
      <c r="P593">
        <v>38500</v>
      </c>
      <c r="Q593">
        <v>28900</v>
      </c>
      <c r="R593">
        <v>461700</v>
      </c>
      <c r="S593" t="s">
        <v>987</v>
      </c>
      <c r="T593">
        <v>2015</v>
      </c>
      <c r="U593" t="s">
        <v>1003</v>
      </c>
      <c r="V593">
        <v>28</v>
      </c>
      <c r="W593">
        <v>36.299999999999997</v>
      </c>
      <c r="X593">
        <v>270203917</v>
      </c>
      <c r="Y593">
        <v>4.6900000000000004</v>
      </c>
      <c r="Z593">
        <v>151509724</v>
      </c>
      <c r="AA593">
        <v>-0.78927499999999995</v>
      </c>
      <c r="AB593">
        <v>113.92132700000001</v>
      </c>
    </row>
    <row r="594" spans="1:28" x14ac:dyDescent="0.3">
      <c r="A594">
        <v>593</v>
      </c>
      <c r="B594" t="s">
        <v>1203</v>
      </c>
      <c r="C594">
        <v>16100000</v>
      </c>
      <c r="D594">
        <v>0</v>
      </c>
      <c r="E594" t="s">
        <v>987</v>
      </c>
      <c r="F594" t="s">
        <v>1203</v>
      </c>
      <c r="G594">
        <v>0</v>
      </c>
      <c r="H594" t="s">
        <v>987</v>
      </c>
      <c r="I594" t="s">
        <v>987</v>
      </c>
      <c r="J594" t="s">
        <v>987</v>
      </c>
      <c r="K594">
        <v>4057944</v>
      </c>
      <c r="L594" t="s">
        <v>987</v>
      </c>
      <c r="M594" t="s">
        <v>987</v>
      </c>
      <c r="N594" t="s">
        <v>987</v>
      </c>
      <c r="O594">
        <v>0</v>
      </c>
      <c r="P594">
        <v>0</v>
      </c>
      <c r="Q594">
        <v>0</v>
      </c>
      <c r="R594">
        <v>0</v>
      </c>
      <c r="S594" t="s">
        <v>987</v>
      </c>
      <c r="T594">
        <v>2015</v>
      </c>
      <c r="U594" t="s">
        <v>1003</v>
      </c>
      <c r="V594">
        <v>13</v>
      </c>
      <c r="W594" t="s">
        <v>987</v>
      </c>
      <c r="X594" t="s">
        <v>987</v>
      </c>
      <c r="Y594" t="s">
        <v>987</v>
      </c>
      <c r="Z594" t="s">
        <v>987</v>
      </c>
      <c r="AA594" t="s">
        <v>987</v>
      </c>
      <c r="AB594" t="s">
        <v>987</v>
      </c>
    </row>
    <row r="595" spans="1:28" x14ac:dyDescent="0.3">
      <c r="A595">
        <v>594</v>
      </c>
      <c r="B595" t="s">
        <v>583</v>
      </c>
      <c r="C595">
        <v>16100000</v>
      </c>
      <c r="D595">
        <v>7399296005</v>
      </c>
      <c r="E595" t="s">
        <v>987</v>
      </c>
      <c r="F595" t="s">
        <v>583</v>
      </c>
      <c r="G595">
        <v>510</v>
      </c>
      <c r="H595" t="s">
        <v>984</v>
      </c>
      <c r="I595" t="s">
        <v>985</v>
      </c>
      <c r="J595" t="s">
        <v>988</v>
      </c>
      <c r="K595">
        <v>759</v>
      </c>
      <c r="L595">
        <v>141</v>
      </c>
      <c r="M595">
        <v>137</v>
      </c>
      <c r="N595">
        <v>32011000</v>
      </c>
      <c r="O595">
        <v>8000</v>
      </c>
      <c r="P595">
        <v>128000</v>
      </c>
      <c r="Q595">
        <v>96000</v>
      </c>
      <c r="R595">
        <v>1500000</v>
      </c>
      <c r="S595">
        <v>100000</v>
      </c>
      <c r="T595">
        <v>2019</v>
      </c>
      <c r="U595" t="s">
        <v>995</v>
      </c>
      <c r="V595">
        <v>24</v>
      </c>
      <c r="W595">
        <v>88.2</v>
      </c>
      <c r="X595">
        <v>328239523</v>
      </c>
      <c r="Y595">
        <v>14.7</v>
      </c>
      <c r="Z595">
        <v>270663028</v>
      </c>
      <c r="AA595">
        <v>37.090240000000001</v>
      </c>
      <c r="AB595">
        <v>-95.712890999999999</v>
      </c>
    </row>
    <row r="596" spans="1:28" x14ac:dyDescent="0.3">
      <c r="A596">
        <v>595</v>
      </c>
      <c r="B596" t="s">
        <v>700</v>
      </c>
      <c r="C596">
        <v>16100000</v>
      </c>
      <c r="D596">
        <v>2687443643</v>
      </c>
      <c r="E596" t="s">
        <v>994</v>
      </c>
      <c r="F596" t="s">
        <v>700</v>
      </c>
      <c r="G596">
        <v>723</v>
      </c>
      <c r="H596" t="s">
        <v>1019</v>
      </c>
      <c r="I596" t="s">
        <v>1020</v>
      </c>
      <c r="J596" t="s">
        <v>988</v>
      </c>
      <c r="K596">
        <v>3338</v>
      </c>
      <c r="L596">
        <v>32</v>
      </c>
      <c r="M596">
        <v>137</v>
      </c>
      <c r="N596">
        <v>13802000</v>
      </c>
      <c r="O596">
        <v>3500</v>
      </c>
      <c r="P596">
        <v>55200</v>
      </c>
      <c r="Q596">
        <v>41400</v>
      </c>
      <c r="R596">
        <v>662500</v>
      </c>
      <c r="S596" t="s">
        <v>987</v>
      </c>
      <c r="T596">
        <v>2017</v>
      </c>
      <c r="U596" t="s">
        <v>1015</v>
      </c>
      <c r="V596">
        <v>21</v>
      </c>
      <c r="W596">
        <v>51.3</v>
      </c>
      <c r="X596">
        <v>212559417</v>
      </c>
      <c r="Y596">
        <v>12.08</v>
      </c>
      <c r="Z596">
        <v>183241641</v>
      </c>
      <c r="AA596">
        <v>-14.235004</v>
      </c>
      <c r="AB596">
        <v>-51.925280000000001</v>
      </c>
    </row>
    <row r="597" spans="1:28" x14ac:dyDescent="0.3">
      <c r="A597">
        <v>596</v>
      </c>
      <c r="B597" t="s">
        <v>348</v>
      </c>
      <c r="C597">
        <v>16100000</v>
      </c>
      <c r="D597">
        <v>5055576881</v>
      </c>
      <c r="E597" t="s">
        <v>977</v>
      </c>
      <c r="F597" t="s">
        <v>348</v>
      </c>
      <c r="G597">
        <v>1123</v>
      </c>
      <c r="H597" t="s">
        <v>987</v>
      </c>
      <c r="I597" t="s">
        <v>987</v>
      </c>
      <c r="J597" t="s">
        <v>977</v>
      </c>
      <c r="K597">
        <v>1343</v>
      </c>
      <c r="L597" t="s">
        <v>987</v>
      </c>
      <c r="M597">
        <v>119</v>
      </c>
      <c r="N597">
        <v>98720000</v>
      </c>
      <c r="O597">
        <v>24700</v>
      </c>
      <c r="P597">
        <v>394900</v>
      </c>
      <c r="Q597">
        <v>296200</v>
      </c>
      <c r="R597">
        <v>4700000</v>
      </c>
      <c r="S597">
        <v>100000</v>
      </c>
      <c r="T597">
        <v>2016</v>
      </c>
      <c r="U597" t="s">
        <v>980</v>
      </c>
      <c r="V597">
        <v>27</v>
      </c>
      <c r="W597" t="s">
        <v>987</v>
      </c>
      <c r="X597" t="s">
        <v>987</v>
      </c>
      <c r="Y597" t="s">
        <v>987</v>
      </c>
      <c r="Z597" t="s">
        <v>987</v>
      </c>
      <c r="AA597" t="s">
        <v>987</v>
      </c>
      <c r="AB597" t="s">
        <v>987</v>
      </c>
    </row>
    <row r="598" spans="1:28" x14ac:dyDescent="0.3">
      <c r="A598">
        <v>597</v>
      </c>
      <c r="B598" t="s">
        <v>85</v>
      </c>
      <c r="C598">
        <v>16100000</v>
      </c>
      <c r="D598">
        <v>6872702790</v>
      </c>
      <c r="E598" t="s">
        <v>988</v>
      </c>
      <c r="F598" t="s">
        <v>85</v>
      </c>
      <c r="G598">
        <v>671</v>
      </c>
      <c r="H598" t="s">
        <v>984</v>
      </c>
      <c r="I598" t="s">
        <v>985</v>
      </c>
      <c r="J598" t="s">
        <v>988</v>
      </c>
      <c r="K598">
        <v>851</v>
      </c>
      <c r="L598">
        <v>140</v>
      </c>
      <c r="M598">
        <v>136</v>
      </c>
      <c r="N598">
        <v>399807000</v>
      </c>
      <c r="O598">
        <v>100000</v>
      </c>
      <c r="P598">
        <v>1600000</v>
      </c>
      <c r="Q598">
        <v>1200000</v>
      </c>
      <c r="R598">
        <v>19200000</v>
      </c>
      <c r="S598">
        <v>300000</v>
      </c>
      <c r="T598">
        <v>2015</v>
      </c>
      <c r="U598" t="s">
        <v>1015</v>
      </c>
      <c r="V598">
        <v>15</v>
      </c>
      <c r="W598">
        <v>88.2</v>
      </c>
      <c r="X598">
        <v>328239523</v>
      </c>
      <c r="Y598">
        <v>14.7</v>
      </c>
      <c r="Z598">
        <v>270663028</v>
      </c>
      <c r="AA598">
        <v>37.090240000000001</v>
      </c>
      <c r="AB598">
        <v>-95.712890999999999</v>
      </c>
    </row>
    <row r="599" spans="1:28" x14ac:dyDescent="0.3">
      <c r="A599">
        <v>598</v>
      </c>
      <c r="B599" t="s">
        <v>818</v>
      </c>
      <c r="C599">
        <v>16100000</v>
      </c>
      <c r="D599">
        <v>7126210721</v>
      </c>
      <c r="E599" t="s">
        <v>977</v>
      </c>
      <c r="F599" t="s">
        <v>1204</v>
      </c>
      <c r="G599">
        <v>41</v>
      </c>
      <c r="H599" t="s">
        <v>1134</v>
      </c>
      <c r="I599" t="s">
        <v>1135</v>
      </c>
      <c r="J599" t="s">
        <v>988</v>
      </c>
      <c r="K599">
        <v>4006012</v>
      </c>
      <c r="L599">
        <v>3726</v>
      </c>
      <c r="M599">
        <v>6335</v>
      </c>
      <c r="N599">
        <v>780</v>
      </c>
      <c r="O599">
        <v>0.2</v>
      </c>
      <c r="P599">
        <v>3</v>
      </c>
      <c r="Q599">
        <v>2</v>
      </c>
      <c r="R599">
        <v>37</v>
      </c>
      <c r="S599">
        <v>4</v>
      </c>
      <c r="T599">
        <v>2006</v>
      </c>
      <c r="U599" t="s">
        <v>1029</v>
      </c>
      <c r="V599">
        <v>20</v>
      </c>
      <c r="W599">
        <v>65.599999999999994</v>
      </c>
      <c r="X599">
        <v>67059887</v>
      </c>
      <c r="Y599">
        <v>8.43</v>
      </c>
      <c r="Z599">
        <v>54123364</v>
      </c>
      <c r="AA599">
        <v>46.227637999999999</v>
      </c>
      <c r="AB599">
        <v>2.213749</v>
      </c>
    </row>
    <row r="600" spans="1:28" x14ac:dyDescent="0.3">
      <c r="A600">
        <v>599</v>
      </c>
      <c r="B600" t="s">
        <v>63</v>
      </c>
      <c r="C600">
        <v>16100000</v>
      </c>
      <c r="D600">
        <v>7155736006</v>
      </c>
      <c r="E600" t="s">
        <v>987</v>
      </c>
      <c r="F600" t="s">
        <v>63</v>
      </c>
      <c r="G600">
        <v>667</v>
      </c>
      <c r="H600" t="s">
        <v>1147</v>
      </c>
      <c r="I600" t="s">
        <v>1148</v>
      </c>
      <c r="J600" t="s">
        <v>1004</v>
      </c>
      <c r="K600">
        <v>792</v>
      </c>
      <c r="L600">
        <v>2</v>
      </c>
      <c r="M600">
        <v>8</v>
      </c>
      <c r="N600">
        <v>478528000</v>
      </c>
      <c r="O600">
        <v>119600</v>
      </c>
      <c r="P600">
        <v>1900000</v>
      </c>
      <c r="Q600">
        <v>1400000</v>
      </c>
      <c r="R600">
        <v>23000000</v>
      </c>
      <c r="S600">
        <v>3000000</v>
      </c>
      <c r="T600">
        <v>2020</v>
      </c>
      <c r="U600" t="s">
        <v>1029</v>
      </c>
      <c r="V600">
        <v>21</v>
      </c>
      <c r="W600">
        <v>67</v>
      </c>
      <c r="X600">
        <v>10285453</v>
      </c>
      <c r="Y600">
        <v>6.48</v>
      </c>
      <c r="Z600">
        <v>9021165</v>
      </c>
      <c r="AA600">
        <v>60.128160999999999</v>
      </c>
      <c r="AB600">
        <v>18.643501000000001</v>
      </c>
    </row>
    <row r="601" spans="1:28" x14ac:dyDescent="0.3">
      <c r="A601">
        <v>600</v>
      </c>
      <c r="B601" t="s">
        <v>141</v>
      </c>
      <c r="C601">
        <v>16100000</v>
      </c>
      <c r="D601">
        <v>15812009296</v>
      </c>
      <c r="E601" t="s">
        <v>988</v>
      </c>
      <c r="F601" t="s">
        <v>141</v>
      </c>
      <c r="G601">
        <v>4045</v>
      </c>
      <c r="H601" t="s">
        <v>984</v>
      </c>
      <c r="I601" t="s">
        <v>985</v>
      </c>
      <c r="J601" t="s">
        <v>988</v>
      </c>
      <c r="K601">
        <v>196</v>
      </c>
      <c r="L601">
        <v>140</v>
      </c>
      <c r="M601">
        <v>136</v>
      </c>
      <c r="N601">
        <v>267131000</v>
      </c>
      <c r="O601">
        <v>66800</v>
      </c>
      <c r="P601">
        <v>1100000</v>
      </c>
      <c r="Q601">
        <v>801400</v>
      </c>
      <c r="R601">
        <v>12800000</v>
      </c>
      <c r="S601">
        <v>300000</v>
      </c>
      <c r="T601">
        <v>2008</v>
      </c>
      <c r="U601" t="s">
        <v>999</v>
      </c>
      <c r="V601">
        <v>22</v>
      </c>
      <c r="W601">
        <v>88.2</v>
      </c>
      <c r="X601">
        <v>328239523</v>
      </c>
      <c r="Y601">
        <v>14.7</v>
      </c>
      <c r="Z601">
        <v>270663028</v>
      </c>
      <c r="AA601">
        <v>37.090240000000001</v>
      </c>
      <c r="AB601">
        <v>-95.712890999999999</v>
      </c>
    </row>
    <row r="602" spans="1:28" x14ac:dyDescent="0.3">
      <c r="A602">
        <v>601</v>
      </c>
      <c r="B602" t="s">
        <v>919</v>
      </c>
      <c r="C602">
        <v>16100000</v>
      </c>
      <c r="D602">
        <v>9642146451</v>
      </c>
      <c r="E602" t="s">
        <v>988</v>
      </c>
      <c r="F602" t="s">
        <v>1205</v>
      </c>
      <c r="G602">
        <v>0</v>
      </c>
      <c r="H602" t="s">
        <v>1058</v>
      </c>
      <c r="I602" t="s">
        <v>1059</v>
      </c>
      <c r="J602" t="s">
        <v>986</v>
      </c>
      <c r="K602">
        <v>4057944</v>
      </c>
      <c r="L602">
        <v>4258</v>
      </c>
      <c r="M602">
        <v>7472</v>
      </c>
      <c r="N602" t="s">
        <v>987</v>
      </c>
      <c r="O602">
        <v>0</v>
      </c>
      <c r="P602">
        <v>0</v>
      </c>
      <c r="Q602">
        <v>0</v>
      </c>
      <c r="R602">
        <v>0</v>
      </c>
      <c r="S602" t="s">
        <v>987</v>
      </c>
      <c r="T602">
        <v>2008</v>
      </c>
      <c r="U602" t="s">
        <v>991</v>
      </c>
      <c r="V602">
        <v>3</v>
      </c>
      <c r="W602">
        <v>40.200000000000003</v>
      </c>
      <c r="X602">
        <v>126014024</v>
      </c>
      <c r="Y602">
        <v>3.42</v>
      </c>
      <c r="Z602">
        <v>102626859</v>
      </c>
      <c r="AA602">
        <v>23.634501</v>
      </c>
      <c r="AB602">
        <v>-102.552784</v>
      </c>
    </row>
    <row r="603" spans="1:28" x14ac:dyDescent="0.3">
      <c r="A603">
        <v>602</v>
      </c>
      <c r="B603" t="s">
        <v>413</v>
      </c>
      <c r="C603">
        <v>16000000</v>
      </c>
      <c r="D603">
        <v>6543629679</v>
      </c>
      <c r="E603" t="s">
        <v>994</v>
      </c>
      <c r="F603" t="s">
        <v>413</v>
      </c>
      <c r="G603">
        <v>453</v>
      </c>
      <c r="H603" t="s">
        <v>987</v>
      </c>
      <c r="I603" t="s">
        <v>987</v>
      </c>
      <c r="J603" t="s">
        <v>1002</v>
      </c>
      <c r="K603">
        <v>921</v>
      </c>
      <c r="L603" t="s">
        <v>987</v>
      </c>
      <c r="M603">
        <v>39</v>
      </c>
      <c r="N603">
        <v>74062000</v>
      </c>
      <c r="O603">
        <v>18500</v>
      </c>
      <c r="P603">
        <v>296200</v>
      </c>
      <c r="Q603">
        <v>222200</v>
      </c>
      <c r="R603">
        <v>3600000</v>
      </c>
      <c r="S603">
        <v>200000</v>
      </c>
      <c r="T603">
        <v>2017</v>
      </c>
      <c r="U603" t="s">
        <v>1008</v>
      </c>
      <c r="V603">
        <v>30</v>
      </c>
      <c r="W603" t="s">
        <v>987</v>
      </c>
      <c r="X603" t="s">
        <v>987</v>
      </c>
      <c r="Y603" t="s">
        <v>987</v>
      </c>
      <c r="Z603" t="s">
        <v>987</v>
      </c>
      <c r="AA603" t="s">
        <v>987</v>
      </c>
      <c r="AB603" t="s">
        <v>987</v>
      </c>
    </row>
    <row r="604" spans="1:28" x14ac:dyDescent="0.3">
      <c r="A604">
        <v>603</v>
      </c>
      <c r="B604" t="s">
        <v>697</v>
      </c>
      <c r="C604">
        <v>16000000</v>
      </c>
      <c r="D604">
        <v>3018032423</v>
      </c>
      <c r="E604" t="s">
        <v>990</v>
      </c>
      <c r="F604" t="s">
        <v>1206</v>
      </c>
      <c r="G604">
        <v>52144</v>
      </c>
      <c r="H604" t="s">
        <v>978</v>
      </c>
      <c r="I604" t="s">
        <v>979</v>
      </c>
      <c r="J604" t="s">
        <v>990</v>
      </c>
      <c r="K604">
        <v>2855</v>
      </c>
      <c r="L604">
        <v>94</v>
      </c>
      <c r="M604">
        <v>30</v>
      </c>
      <c r="N604">
        <v>14287000</v>
      </c>
      <c r="O604">
        <v>3600</v>
      </c>
      <c r="P604">
        <v>57100</v>
      </c>
      <c r="Q604">
        <v>42900</v>
      </c>
      <c r="R604">
        <v>685800</v>
      </c>
      <c r="S604" t="s">
        <v>987</v>
      </c>
      <c r="T604">
        <v>2014</v>
      </c>
      <c r="U604" t="s">
        <v>1015</v>
      </c>
      <c r="V604">
        <v>26</v>
      </c>
      <c r="W604">
        <v>28.1</v>
      </c>
      <c r="X604">
        <v>1366417754</v>
      </c>
      <c r="Y604">
        <v>5.36</v>
      </c>
      <c r="Z604">
        <v>471031528</v>
      </c>
      <c r="AA604">
        <v>20.593684</v>
      </c>
      <c r="AB604">
        <v>78.962879999999998</v>
      </c>
    </row>
    <row r="605" spans="1:28" x14ac:dyDescent="0.3">
      <c r="A605">
        <v>604</v>
      </c>
      <c r="B605" t="s">
        <v>762</v>
      </c>
      <c r="C605">
        <v>16000000</v>
      </c>
      <c r="D605">
        <v>3029872908</v>
      </c>
      <c r="E605" t="s">
        <v>996</v>
      </c>
      <c r="F605" t="s">
        <v>762</v>
      </c>
      <c r="G605">
        <v>687</v>
      </c>
      <c r="H605" t="s">
        <v>1058</v>
      </c>
      <c r="I605" t="s">
        <v>1059</v>
      </c>
      <c r="J605" t="s">
        <v>986</v>
      </c>
      <c r="K605">
        <v>2844</v>
      </c>
      <c r="L605">
        <v>23</v>
      </c>
      <c r="M605">
        <v>42</v>
      </c>
      <c r="N605">
        <v>4698000</v>
      </c>
      <c r="O605">
        <v>1200</v>
      </c>
      <c r="P605">
        <v>18800</v>
      </c>
      <c r="Q605">
        <v>14100</v>
      </c>
      <c r="R605">
        <v>225500</v>
      </c>
      <c r="S605" t="s">
        <v>987</v>
      </c>
      <c r="T605">
        <v>2015</v>
      </c>
      <c r="U605" t="s">
        <v>995</v>
      </c>
      <c r="V605">
        <v>25</v>
      </c>
      <c r="W605">
        <v>40.200000000000003</v>
      </c>
      <c r="X605">
        <v>126014024</v>
      </c>
      <c r="Y605">
        <v>3.42</v>
      </c>
      <c r="Z605">
        <v>102626859</v>
      </c>
      <c r="AA605">
        <v>23.634501</v>
      </c>
      <c r="AB605">
        <v>-102.552784</v>
      </c>
    </row>
    <row r="606" spans="1:28" x14ac:dyDescent="0.3">
      <c r="A606">
        <v>605</v>
      </c>
      <c r="B606" t="s">
        <v>932</v>
      </c>
      <c r="C606">
        <v>16000000</v>
      </c>
      <c r="D606">
        <v>9786595271</v>
      </c>
      <c r="E606" t="s">
        <v>996</v>
      </c>
      <c r="F606" t="s">
        <v>1207</v>
      </c>
      <c r="G606">
        <v>0</v>
      </c>
      <c r="H606" t="s">
        <v>987</v>
      </c>
      <c r="I606" t="s">
        <v>987</v>
      </c>
      <c r="J606" t="s">
        <v>986</v>
      </c>
      <c r="K606">
        <v>4057944</v>
      </c>
      <c r="L606" t="s">
        <v>987</v>
      </c>
      <c r="M606">
        <v>7360</v>
      </c>
      <c r="N606" t="s">
        <v>987</v>
      </c>
      <c r="O606">
        <v>0</v>
      </c>
      <c r="P606">
        <v>0</v>
      </c>
      <c r="Q606">
        <v>0</v>
      </c>
      <c r="R606">
        <v>0</v>
      </c>
      <c r="S606">
        <v>11</v>
      </c>
      <c r="T606">
        <v>2007</v>
      </c>
      <c r="U606" t="s">
        <v>980</v>
      </c>
      <c r="V606">
        <v>4</v>
      </c>
      <c r="W606" t="s">
        <v>987</v>
      </c>
      <c r="X606" t="s">
        <v>987</v>
      </c>
      <c r="Y606" t="s">
        <v>987</v>
      </c>
      <c r="Z606" t="s">
        <v>987</v>
      </c>
      <c r="AA606" t="s">
        <v>987</v>
      </c>
      <c r="AB606" t="s">
        <v>987</v>
      </c>
    </row>
    <row r="607" spans="1:28" x14ac:dyDescent="0.3">
      <c r="A607">
        <v>606</v>
      </c>
      <c r="B607" t="s">
        <v>306</v>
      </c>
      <c r="C607">
        <v>16000000</v>
      </c>
      <c r="D607">
        <v>5997599089</v>
      </c>
      <c r="E607" t="s">
        <v>982</v>
      </c>
      <c r="F607" t="s">
        <v>306</v>
      </c>
      <c r="G607">
        <v>344</v>
      </c>
      <c r="H607" t="s">
        <v>1058</v>
      </c>
      <c r="I607" t="s">
        <v>1059</v>
      </c>
      <c r="J607" t="s">
        <v>1022</v>
      </c>
      <c r="K607">
        <v>1048</v>
      </c>
      <c r="L607">
        <v>23</v>
      </c>
      <c r="M607">
        <v>31</v>
      </c>
      <c r="N607">
        <v>112393000</v>
      </c>
      <c r="O607">
        <v>28100</v>
      </c>
      <c r="P607">
        <v>449600</v>
      </c>
      <c r="Q607">
        <v>337200</v>
      </c>
      <c r="R607">
        <v>5400000</v>
      </c>
      <c r="S607">
        <v>200000</v>
      </c>
      <c r="T607">
        <v>2017</v>
      </c>
      <c r="U607" t="s">
        <v>991</v>
      </c>
      <c r="V607">
        <v>7</v>
      </c>
      <c r="W607">
        <v>40.200000000000003</v>
      </c>
      <c r="X607">
        <v>126014024</v>
      </c>
      <c r="Y607">
        <v>3.42</v>
      </c>
      <c r="Z607">
        <v>102626859</v>
      </c>
      <c r="AA607">
        <v>23.634501</v>
      </c>
      <c r="AB607">
        <v>-102.552784</v>
      </c>
    </row>
    <row r="608" spans="1:28" x14ac:dyDescent="0.3">
      <c r="A608">
        <v>607</v>
      </c>
      <c r="B608" t="s">
        <v>1208</v>
      </c>
      <c r="C608">
        <v>15900000</v>
      </c>
      <c r="D608">
        <v>1845329502</v>
      </c>
      <c r="E608" t="s">
        <v>994</v>
      </c>
      <c r="F608" t="s">
        <v>1209</v>
      </c>
      <c r="G608">
        <v>0</v>
      </c>
      <c r="H608" t="s">
        <v>1000</v>
      </c>
      <c r="I608" t="s">
        <v>1001</v>
      </c>
      <c r="J608" t="s">
        <v>986</v>
      </c>
      <c r="K608">
        <v>4057944</v>
      </c>
      <c r="L608">
        <v>3309</v>
      </c>
      <c r="M608">
        <v>5665</v>
      </c>
      <c r="N608" t="s">
        <v>987</v>
      </c>
      <c r="O608">
        <v>0</v>
      </c>
      <c r="P608">
        <v>0</v>
      </c>
      <c r="Q608">
        <v>0</v>
      </c>
      <c r="R608">
        <v>0</v>
      </c>
      <c r="S608">
        <v>10</v>
      </c>
      <c r="T608">
        <v>2017</v>
      </c>
      <c r="U608" t="s">
        <v>995</v>
      </c>
      <c r="V608">
        <v>27</v>
      </c>
      <c r="W608">
        <v>81.900000000000006</v>
      </c>
      <c r="X608">
        <v>144373535</v>
      </c>
      <c r="Y608">
        <v>4.59</v>
      </c>
      <c r="Z608">
        <v>107683889</v>
      </c>
      <c r="AA608">
        <v>61.524009999999997</v>
      </c>
      <c r="AB608">
        <v>105.31875599999999</v>
      </c>
    </row>
    <row r="609" spans="1:28" x14ac:dyDescent="0.3">
      <c r="A609">
        <v>608</v>
      </c>
      <c r="B609" t="s">
        <v>732</v>
      </c>
      <c r="C609">
        <v>15900000</v>
      </c>
      <c r="D609">
        <v>9962188084</v>
      </c>
      <c r="E609" t="s">
        <v>977</v>
      </c>
      <c r="F609" t="s">
        <v>732</v>
      </c>
      <c r="G609">
        <v>2035</v>
      </c>
      <c r="H609" t="s">
        <v>984</v>
      </c>
      <c r="I609" t="s">
        <v>985</v>
      </c>
      <c r="J609" t="s">
        <v>977</v>
      </c>
      <c r="K609">
        <v>444</v>
      </c>
      <c r="L609">
        <v>142</v>
      </c>
      <c r="M609">
        <v>120</v>
      </c>
      <c r="N609">
        <v>9915000</v>
      </c>
      <c r="O609">
        <v>2500</v>
      </c>
      <c r="P609">
        <v>39700</v>
      </c>
      <c r="Q609">
        <v>29700</v>
      </c>
      <c r="R609">
        <v>475900</v>
      </c>
      <c r="S609" t="s">
        <v>987</v>
      </c>
      <c r="T609">
        <v>2016</v>
      </c>
      <c r="U609" t="s">
        <v>1008</v>
      </c>
      <c r="V609">
        <v>9</v>
      </c>
      <c r="W609">
        <v>88.2</v>
      </c>
      <c r="X609">
        <v>328239523</v>
      </c>
      <c r="Y609">
        <v>14.7</v>
      </c>
      <c r="Z609">
        <v>270663028</v>
      </c>
      <c r="AA609">
        <v>37.090240000000001</v>
      </c>
      <c r="AB609">
        <v>-95.712890999999999</v>
      </c>
    </row>
    <row r="610" spans="1:28" x14ac:dyDescent="0.3">
      <c r="A610">
        <v>609</v>
      </c>
      <c r="B610" t="s">
        <v>778</v>
      </c>
      <c r="C610">
        <v>15900000</v>
      </c>
      <c r="D610">
        <v>2609358468</v>
      </c>
      <c r="E610" t="s">
        <v>1011</v>
      </c>
      <c r="F610" t="s">
        <v>778</v>
      </c>
      <c r="G610">
        <v>433</v>
      </c>
      <c r="H610" t="s">
        <v>984</v>
      </c>
      <c r="I610" t="s">
        <v>985</v>
      </c>
      <c r="J610" t="s">
        <v>1053</v>
      </c>
      <c r="K610">
        <v>3474</v>
      </c>
      <c r="L610">
        <v>142</v>
      </c>
      <c r="M610">
        <v>20</v>
      </c>
      <c r="N610">
        <v>2006000</v>
      </c>
      <c r="O610">
        <v>502</v>
      </c>
      <c r="P610">
        <v>8000</v>
      </c>
      <c r="Q610">
        <v>6000</v>
      </c>
      <c r="R610">
        <v>96300</v>
      </c>
      <c r="S610" t="s">
        <v>987</v>
      </c>
      <c r="T610">
        <v>2006</v>
      </c>
      <c r="U610" t="s">
        <v>989</v>
      </c>
      <c r="V610">
        <v>14</v>
      </c>
      <c r="W610">
        <v>88.2</v>
      </c>
      <c r="X610">
        <v>328239523</v>
      </c>
      <c r="Y610">
        <v>14.7</v>
      </c>
      <c r="Z610">
        <v>270663028</v>
      </c>
      <c r="AA610">
        <v>37.090240000000001</v>
      </c>
      <c r="AB610">
        <v>-95.712890999999999</v>
      </c>
    </row>
    <row r="611" spans="1:28" x14ac:dyDescent="0.3">
      <c r="A611">
        <v>610</v>
      </c>
      <c r="B611" t="s">
        <v>438</v>
      </c>
      <c r="C611">
        <v>15900000</v>
      </c>
      <c r="D611">
        <v>6534326412</v>
      </c>
      <c r="E611" t="s">
        <v>996</v>
      </c>
      <c r="F611" t="s">
        <v>438</v>
      </c>
      <c r="G611">
        <v>4906</v>
      </c>
      <c r="H611" t="s">
        <v>1023</v>
      </c>
      <c r="I611" t="s">
        <v>1024</v>
      </c>
      <c r="J611" t="s">
        <v>986</v>
      </c>
      <c r="K611">
        <v>919</v>
      </c>
      <c r="L611">
        <v>12</v>
      </c>
      <c r="M611">
        <v>43</v>
      </c>
      <c r="N611">
        <v>64085000</v>
      </c>
      <c r="O611">
        <v>16000</v>
      </c>
      <c r="P611">
        <v>256300</v>
      </c>
      <c r="Q611">
        <v>192300</v>
      </c>
      <c r="R611">
        <v>3100000</v>
      </c>
      <c r="S611">
        <v>200000</v>
      </c>
      <c r="T611">
        <v>2014</v>
      </c>
      <c r="U611" t="s">
        <v>991</v>
      </c>
      <c r="V611">
        <v>8</v>
      </c>
      <c r="W611">
        <v>90</v>
      </c>
      <c r="X611">
        <v>44938712</v>
      </c>
      <c r="Y611">
        <v>9.7899999999999991</v>
      </c>
      <c r="Z611">
        <v>41339571</v>
      </c>
      <c r="AA611">
        <v>-38.416097000000001</v>
      </c>
      <c r="AB611">
        <v>-63.616672000000001</v>
      </c>
    </row>
    <row r="612" spans="1:28" x14ac:dyDescent="0.3">
      <c r="A612">
        <v>611</v>
      </c>
      <c r="B612" t="s">
        <v>270</v>
      </c>
      <c r="C612">
        <v>15900000</v>
      </c>
      <c r="D612">
        <v>9198986881</v>
      </c>
      <c r="E612" t="s">
        <v>977</v>
      </c>
      <c r="F612" t="s">
        <v>270</v>
      </c>
      <c r="G612">
        <v>5105</v>
      </c>
      <c r="H612" t="s">
        <v>1019</v>
      </c>
      <c r="I612" t="s">
        <v>1020</v>
      </c>
      <c r="J612" t="s">
        <v>977</v>
      </c>
      <c r="K612">
        <v>516</v>
      </c>
      <c r="L612">
        <v>33</v>
      </c>
      <c r="M612">
        <v>120</v>
      </c>
      <c r="N612">
        <v>136388000</v>
      </c>
      <c r="O612">
        <v>34100</v>
      </c>
      <c r="P612">
        <v>545600</v>
      </c>
      <c r="Q612">
        <v>409200</v>
      </c>
      <c r="R612">
        <v>6500000</v>
      </c>
      <c r="S612">
        <v>100000</v>
      </c>
      <c r="T612">
        <v>2010</v>
      </c>
      <c r="U612" t="s">
        <v>1003</v>
      </c>
      <c r="V612">
        <v>18</v>
      </c>
      <c r="W612">
        <v>51.3</v>
      </c>
      <c r="X612">
        <v>212559417</v>
      </c>
      <c r="Y612">
        <v>12.08</v>
      </c>
      <c r="Z612">
        <v>183241641</v>
      </c>
      <c r="AA612">
        <v>-14.235004</v>
      </c>
      <c r="AB612">
        <v>-51.925280000000001</v>
      </c>
    </row>
    <row r="613" spans="1:28" x14ac:dyDescent="0.3">
      <c r="A613">
        <v>612</v>
      </c>
      <c r="B613" t="s">
        <v>227</v>
      </c>
      <c r="C613">
        <v>15900000</v>
      </c>
      <c r="D613">
        <v>9052367553</v>
      </c>
      <c r="E613" t="s">
        <v>996</v>
      </c>
      <c r="F613" t="s">
        <v>227</v>
      </c>
      <c r="G613">
        <v>796</v>
      </c>
      <c r="H613" t="s">
        <v>984</v>
      </c>
      <c r="I613" t="s">
        <v>985</v>
      </c>
      <c r="J613" t="s">
        <v>1002</v>
      </c>
      <c r="K613">
        <v>530</v>
      </c>
      <c r="L613">
        <v>142</v>
      </c>
      <c r="M613">
        <v>40</v>
      </c>
      <c r="N613">
        <v>164895000</v>
      </c>
      <c r="O613">
        <v>41200</v>
      </c>
      <c r="P613">
        <v>659600</v>
      </c>
      <c r="Q613">
        <v>494700</v>
      </c>
      <c r="R613">
        <v>7900000</v>
      </c>
      <c r="S613">
        <v>200000</v>
      </c>
      <c r="T613">
        <v>2016</v>
      </c>
      <c r="U613" t="s">
        <v>995</v>
      </c>
      <c r="V613">
        <v>1</v>
      </c>
      <c r="W613">
        <v>88.2</v>
      </c>
      <c r="X613">
        <v>328239523</v>
      </c>
      <c r="Y613">
        <v>14.7</v>
      </c>
      <c r="Z613">
        <v>270663028</v>
      </c>
      <c r="AA613">
        <v>37.090240000000001</v>
      </c>
      <c r="AB613">
        <v>-95.712890999999999</v>
      </c>
    </row>
    <row r="614" spans="1:28" x14ac:dyDescent="0.3">
      <c r="A614">
        <v>613</v>
      </c>
      <c r="B614" t="s">
        <v>452</v>
      </c>
      <c r="C614">
        <v>15900000</v>
      </c>
      <c r="D614">
        <v>6802382479</v>
      </c>
      <c r="E614" t="s">
        <v>977</v>
      </c>
      <c r="F614" t="s">
        <v>452</v>
      </c>
      <c r="G614">
        <v>132</v>
      </c>
      <c r="H614" t="s">
        <v>1051</v>
      </c>
      <c r="I614" t="s">
        <v>1052</v>
      </c>
      <c r="J614" t="s">
        <v>977</v>
      </c>
      <c r="K614">
        <v>871</v>
      </c>
      <c r="L614">
        <v>8</v>
      </c>
      <c r="M614">
        <v>120</v>
      </c>
      <c r="N614">
        <v>59890000</v>
      </c>
      <c r="O614">
        <v>15000</v>
      </c>
      <c r="P614">
        <v>239600</v>
      </c>
      <c r="Q614">
        <v>179700</v>
      </c>
      <c r="R614">
        <v>2900000</v>
      </c>
      <c r="S614">
        <v>100000</v>
      </c>
      <c r="T614">
        <v>2010</v>
      </c>
      <c r="U614" t="s">
        <v>1015</v>
      </c>
      <c r="V614">
        <v>29</v>
      </c>
      <c r="W614">
        <v>55.3</v>
      </c>
      <c r="X614">
        <v>50339443</v>
      </c>
      <c r="Y614">
        <v>9.7100000000000009</v>
      </c>
      <c r="Z614">
        <v>40827302</v>
      </c>
      <c r="AA614">
        <v>4.5708679999999999</v>
      </c>
      <c r="AB614">
        <v>-74.297332999999995</v>
      </c>
    </row>
    <row r="615" spans="1:28" x14ac:dyDescent="0.3">
      <c r="A615">
        <v>614</v>
      </c>
      <c r="B615" t="s">
        <v>639</v>
      </c>
      <c r="C615">
        <v>15800000</v>
      </c>
      <c r="D615">
        <v>1349288771</v>
      </c>
      <c r="E615" t="s">
        <v>990</v>
      </c>
      <c r="F615" t="s">
        <v>639</v>
      </c>
      <c r="G615">
        <v>633</v>
      </c>
      <c r="H615" t="s">
        <v>978</v>
      </c>
      <c r="I615" t="s">
        <v>979</v>
      </c>
      <c r="J615" t="s">
        <v>990</v>
      </c>
      <c r="K615">
        <v>8066</v>
      </c>
      <c r="L615">
        <v>95</v>
      </c>
      <c r="M615">
        <v>31</v>
      </c>
      <c r="N615">
        <v>24056000</v>
      </c>
      <c r="O615">
        <v>6000</v>
      </c>
      <c r="P615">
        <v>96200</v>
      </c>
      <c r="Q615">
        <v>72200</v>
      </c>
      <c r="R615">
        <v>1200000</v>
      </c>
      <c r="S615">
        <v>200000</v>
      </c>
      <c r="T615">
        <v>2016</v>
      </c>
      <c r="U615" t="s">
        <v>1005</v>
      </c>
      <c r="V615">
        <v>13</v>
      </c>
      <c r="W615">
        <v>28.1</v>
      </c>
      <c r="X615">
        <v>1366417754</v>
      </c>
      <c r="Y615">
        <v>5.36</v>
      </c>
      <c r="Z615">
        <v>471031528</v>
      </c>
      <c r="AA615">
        <v>20.593684</v>
      </c>
      <c r="AB615">
        <v>78.962879999999998</v>
      </c>
    </row>
    <row r="616" spans="1:28" x14ac:dyDescent="0.3">
      <c r="A616">
        <v>615</v>
      </c>
      <c r="B616" t="s">
        <v>198</v>
      </c>
      <c r="C616">
        <v>15800000</v>
      </c>
      <c r="D616">
        <v>3392918989</v>
      </c>
      <c r="E616" t="s">
        <v>1026</v>
      </c>
      <c r="F616" t="s">
        <v>198</v>
      </c>
      <c r="G616">
        <v>20679</v>
      </c>
      <c r="H616" t="s">
        <v>978</v>
      </c>
      <c r="I616" t="s">
        <v>979</v>
      </c>
      <c r="J616" t="s">
        <v>1027</v>
      </c>
      <c r="K616">
        <v>2406</v>
      </c>
      <c r="L616">
        <v>96</v>
      </c>
      <c r="M616">
        <v>15</v>
      </c>
      <c r="N616">
        <v>185969000</v>
      </c>
      <c r="O616">
        <v>46500</v>
      </c>
      <c r="P616">
        <v>743900</v>
      </c>
      <c r="Q616">
        <v>557900</v>
      </c>
      <c r="R616">
        <v>8900000</v>
      </c>
      <c r="S616">
        <v>700000</v>
      </c>
      <c r="T616">
        <v>2007</v>
      </c>
      <c r="U616" t="s">
        <v>1025</v>
      </c>
      <c r="V616">
        <v>26</v>
      </c>
      <c r="W616">
        <v>28.1</v>
      </c>
      <c r="X616">
        <v>1366417754</v>
      </c>
      <c r="Y616">
        <v>5.36</v>
      </c>
      <c r="Z616">
        <v>471031528</v>
      </c>
      <c r="AA616">
        <v>20.593684</v>
      </c>
      <c r="AB616">
        <v>78.962879999999998</v>
      </c>
    </row>
    <row r="617" spans="1:28" x14ac:dyDescent="0.3">
      <c r="A617">
        <v>616</v>
      </c>
      <c r="B617" t="s">
        <v>426</v>
      </c>
      <c r="C617">
        <v>15800000</v>
      </c>
      <c r="D617">
        <v>4122634467</v>
      </c>
      <c r="E617" t="s">
        <v>994</v>
      </c>
      <c r="F617" t="s">
        <v>426</v>
      </c>
      <c r="G617">
        <v>542</v>
      </c>
      <c r="H617" t="s">
        <v>1081</v>
      </c>
      <c r="I617" t="s">
        <v>1082</v>
      </c>
      <c r="J617" t="s">
        <v>1044</v>
      </c>
      <c r="K617">
        <v>1816</v>
      </c>
      <c r="L617">
        <v>22</v>
      </c>
      <c r="M617">
        <v>26</v>
      </c>
      <c r="N617">
        <v>71870000</v>
      </c>
      <c r="O617">
        <v>18000</v>
      </c>
      <c r="P617">
        <v>287500</v>
      </c>
      <c r="Q617">
        <v>215600</v>
      </c>
      <c r="R617">
        <v>3400000</v>
      </c>
      <c r="S617">
        <v>100000</v>
      </c>
      <c r="T617">
        <v>2017</v>
      </c>
      <c r="U617" t="s">
        <v>1003</v>
      </c>
      <c r="V617">
        <v>18</v>
      </c>
      <c r="W617">
        <v>36.299999999999997</v>
      </c>
      <c r="X617">
        <v>270203917</v>
      </c>
      <c r="Y617">
        <v>4.6900000000000004</v>
      </c>
      <c r="Z617">
        <v>151509724</v>
      </c>
      <c r="AA617">
        <v>-0.78927499999999995</v>
      </c>
      <c r="AB617">
        <v>113.92132700000001</v>
      </c>
    </row>
    <row r="618" spans="1:28" x14ac:dyDescent="0.3">
      <c r="A618">
        <v>617</v>
      </c>
      <c r="B618" t="s">
        <v>632</v>
      </c>
      <c r="C618">
        <v>15800000</v>
      </c>
      <c r="D618">
        <v>13116313599</v>
      </c>
      <c r="E618" t="s">
        <v>982</v>
      </c>
      <c r="F618" t="s">
        <v>632</v>
      </c>
      <c r="G618">
        <v>10441</v>
      </c>
      <c r="H618" t="s">
        <v>984</v>
      </c>
      <c r="I618" t="s">
        <v>985</v>
      </c>
      <c r="J618" t="s">
        <v>1022</v>
      </c>
      <c r="K618">
        <v>285</v>
      </c>
      <c r="L618">
        <v>143</v>
      </c>
      <c r="M618">
        <v>32</v>
      </c>
      <c r="N618">
        <v>25738000</v>
      </c>
      <c r="O618">
        <v>6400</v>
      </c>
      <c r="P618">
        <v>103000</v>
      </c>
      <c r="Q618">
        <v>77200</v>
      </c>
      <c r="R618">
        <v>1200000</v>
      </c>
      <c r="S618">
        <v>100000</v>
      </c>
      <c r="T618">
        <v>2011</v>
      </c>
      <c r="U618" t="s">
        <v>999</v>
      </c>
      <c r="V618">
        <v>1</v>
      </c>
      <c r="W618">
        <v>88.2</v>
      </c>
      <c r="X618">
        <v>328239523</v>
      </c>
      <c r="Y618">
        <v>14.7</v>
      </c>
      <c r="Z618">
        <v>270663028</v>
      </c>
      <c r="AA618">
        <v>37.090240000000001</v>
      </c>
      <c r="AB618">
        <v>-95.712890999999999</v>
      </c>
    </row>
    <row r="619" spans="1:28" x14ac:dyDescent="0.3">
      <c r="A619">
        <v>618</v>
      </c>
      <c r="B619" t="s">
        <v>480</v>
      </c>
      <c r="C619">
        <v>15700000</v>
      </c>
      <c r="D619">
        <v>9787697838</v>
      </c>
      <c r="E619" t="s">
        <v>982</v>
      </c>
      <c r="F619" t="s">
        <v>480</v>
      </c>
      <c r="G619">
        <v>16874</v>
      </c>
      <c r="H619" t="s">
        <v>978</v>
      </c>
      <c r="I619" t="s">
        <v>979</v>
      </c>
      <c r="J619" t="s">
        <v>988</v>
      </c>
      <c r="K619">
        <v>463</v>
      </c>
      <c r="L619">
        <v>97</v>
      </c>
      <c r="M619">
        <v>139</v>
      </c>
      <c r="N619">
        <v>51315000</v>
      </c>
      <c r="O619">
        <v>12800</v>
      </c>
      <c r="P619">
        <v>205300</v>
      </c>
      <c r="Q619">
        <v>153900</v>
      </c>
      <c r="R619">
        <v>2500000</v>
      </c>
      <c r="S619" t="s">
        <v>987</v>
      </c>
      <c r="T619">
        <v>2012</v>
      </c>
      <c r="U619" t="s">
        <v>980</v>
      </c>
      <c r="V619">
        <v>23</v>
      </c>
      <c r="W619">
        <v>28.1</v>
      </c>
      <c r="X619">
        <v>1366417754</v>
      </c>
      <c r="Y619">
        <v>5.36</v>
      </c>
      <c r="Z619">
        <v>471031528</v>
      </c>
      <c r="AA619">
        <v>20.593684</v>
      </c>
      <c r="AB619">
        <v>78.962879999999998</v>
      </c>
    </row>
    <row r="620" spans="1:28" x14ac:dyDescent="0.3">
      <c r="A620">
        <v>619</v>
      </c>
      <c r="B620" t="s">
        <v>259</v>
      </c>
      <c r="C620">
        <v>15700000</v>
      </c>
      <c r="D620">
        <v>5914071870</v>
      </c>
      <c r="E620" t="s">
        <v>977</v>
      </c>
      <c r="F620" t="s">
        <v>259</v>
      </c>
      <c r="G620">
        <v>79</v>
      </c>
      <c r="H620" t="s">
        <v>978</v>
      </c>
      <c r="I620" t="s">
        <v>979</v>
      </c>
      <c r="J620" t="s">
        <v>977</v>
      </c>
      <c r="K620">
        <v>1071</v>
      </c>
      <c r="L620">
        <v>97</v>
      </c>
      <c r="M620">
        <v>121</v>
      </c>
      <c r="N620">
        <v>141842000</v>
      </c>
      <c r="O620">
        <v>35500</v>
      </c>
      <c r="P620">
        <v>567400</v>
      </c>
      <c r="Q620">
        <v>425500</v>
      </c>
      <c r="R620">
        <v>6800000</v>
      </c>
      <c r="S620">
        <v>300000</v>
      </c>
      <c r="T620">
        <v>2017</v>
      </c>
      <c r="U620" t="s">
        <v>1015</v>
      </c>
      <c r="V620">
        <v>8</v>
      </c>
      <c r="W620">
        <v>28.1</v>
      </c>
      <c r="X620">
        <v>1366417754</v>
      </c>
      <c r="Y620">
        <v>5.36</v>
      </c>
      <c r="Z620">
        <v>471031528</v>
      </c>
      <c r="AA620">
        <v>20.593684</v>
      </c>
      <c r="AB620">
        <v>78.962879999999998</v>
      </c>
    </row>
    <row r="621" spans="1:28" x14ac:dyDescent="0.3">
      <c r="A621">
        <v>620</v>
      </c>
      <c r="B621" t="s">
        <v>788</v>
      </c>
      <c r="C621">
        <v>15700000</v>
      </c>
      <c r="D621">
        <v>6153495609</v>
      </c>
      <c r="E621" t="s">
        <v>987</v>
      </c>
      <c r="F621" t="s">
        <v>1210</v>
      </c>
      <c r="G621">
        <v>150</v>
      </c>
      <c r="H621" t="s">
        <v>1112</v>
      </c>
      <c r="I621" t="s">
        <v>1113</v>
      </c>
      <c r="J621" t="s">
        <v>1002</v>
      </c>
      <c r="K621">
        <v>731590</v>
      </c>
      <c r="L621">
        <v>1203</v>
      </c>
      <c r="M621">
        <v>3244</v>
      </c>
      <c r="N621">
        <v>939647</v>
      </c>
      <c r="O621">
        <v>235</v>
      </c>
      <c r="P621">
        <v>3800</v>
      </c>
      <c r="Q621">
        <v>2800</v>
      </c>
      <c r="R621">
        <v>45100</v>
      </c>
      <c r="S621">
        <v>800</v>
      </c>
      <c r="T621">
        <v>2019</v>
      </c>
      <c r="U621" t="s">
        <v>1005</v>
      </c>
      <c r="V621">
        <v>3</v>
      </c>
      <c r="W621">
        <v>84.8</v>
      </c>
      <c r="X621">
        <v>5703569</v>
      </c>
      <c r="Y621">
        <v>4.1100000000000003</v>
      </c>
      <c r="Z621">
        <v>5703569</v>
      </c>
      <c r="AA621">
        <v>1.3520829999999999</v>
      </c>
      <c r="AB621">
        <v>103.819836</v>
      </c>
    </row>
    <row r="622" spans="1:28" x14ac:dyDescent="0.3">
      <c r="A622">
        <v>621</v>
      </c>
      <c r="B622" t="s">
        <v>584</v>
      </c>
      <c r="C622">
        <v>15700000</v>
      </c>
      <c r="D622">
        <v>6626563508</v>
      </c>
      <c r="E622" t="s">
        <v>977</v>
      </c>
      <c r="F622" t="s">
        <v>584</v>
      </c>
      <c r="G622">
        <v>19703</v>
      </c>
      <c r="H622" t="s">
        <v>978</v>
      </c>
      <c r="I622" t="s">
        <v>979</v>
      </c>
      <c r="J622" t="s">
        <v>977</v>
      </c>
      <c r="K622">
        <v>902</v>
      </c>
      <c r="L622">
        <v>97</v>
      </c>
      <c r="M622">
        <v>121</v>
      </c>
      <c r="N622">
        <v>30744000</v>
      </c>
      <c r="O622">
        <v>7700</v>
      </c>
      <c r="P622">
        <v>123000</v>
      </c>
      <c r="Q622">
        <v>92200</v>
      </c>
      <c r="R622">
        <v>1500000</v>
      </c>
      <c r="S622" t="s">
        <v>987</v>
      </c>
      <c r="T622">
        <v>2014</v>
      </c>
      <c r="U622" t="s">
        <v>1015</v>
      </c>
      <c r="V622">
        <v>18</v>
      </c>
      <c r="W622">
        <v>28.1</v>
      </c>
      <c r="X622">
        <v>1366417754</v>
      </c>
      <c r="Y622">
        <v>5.36</v>
      </c>
      <c r="Z622">
        <v>471031528</v>
      </c>
      <c r="AA622">
        <v>20.593684</v>
      </c>
      <c r="AB622">
        <v>78.962879999999998</v>
      </c>
    </row>
    <row r="623" spans="1:28" x14ac:dyDescent="0.3">
      <c r="A623">
        <v>622</v>
      </c>
      <c r="B623" t="s">
        <v>386</v>
      </c>
      <c r="C623">
        <v>15700000</v>
      </c>
      <c r="D623">
        <v>5558051295</v>
      </c>
      <c r="E623" t="s">
        <v>977</v>
      </c>
      <c r="F623" t="s">
        <v>386</v>
      </c>
      <c r="G623">
        <v>1640</v>
      </c>
      <c r="H623" t="s">
        <v>978</v>
      </c>
      <c r="I623" t="s">
        <v>979</v>
      </c>
      <c r="J623" t="s">
        <v>977</v>
      </c>
      <c r="K623">
        <v>1174</v>
      </c>
      <c r="L623">
        <v>97</v>
      </c>
      <c r="M623">
        <v>121</v>
      </c>
      <c r="N623">
        <v>86450000</v>
      </c>
      <c r="O623">
        <v>21600</v>
      </c>
      <c r="P623">
        <v>345800</v>
      </c>
      <c r="Q623">
        <v>259300</v>
      </c>
      <c r="R623">
        <v>4100000</v>
      </c>
      <c r="S623">
        <v>100000</v>
      </c>
      <c r="T623">
        <v>2014</v>
      </c>
      <c r="U623" t="s">
        <v>995</v>
      </c>
      <c r="V623">
        <v>20</v>
      </c>
      <c r="W623">
        <v>28.1</v>
      </c>
      <c r="X623">
        <v>1366417754</v>
      </c>
      <c r="Y623">
        <v>5.36</v>
      </c>
      <c r="Z623">
        <v>471031528</v>
      </c>
      <c r="AA623">
        <v>20.593684</v>
      </c>
      <c r="AB623">
        <v>78.962879999999998</v>
      </c>
    </row>
    <row r="624" spans="1:28" x14ac:dyDescent="0.3">
      <c r="A624">
        <v>623</v>
      </c>
      <c r="B624" t="s">
        <v>104</v>
      </c>
      <c r="C624">
        <v>15700000</v>
      </c>
      <c r="D624">
        <v>8696631898</v>
      </c>
      <c r="E624" t="s">
        <v>988</v>
      </c>
      <c r="F624" t="s">
        <v>104</v>
      </c>
      <c r="G624">
        <v>7090</v>
      </c>
      <c r="H624" t="s">
        <v>984</v>
      </c>
      <c r="I624" t="s">
        <v>985</v>
      </c>
      <c r="J624" t="s">
        <v>988</v>
      </c>
      <c r="K624">
        <v>569</v>
      </c>
      <c r="L624">
        <v>144</v>
      </c>
      <c r="M624">
        <v>139</v>
      </c>
      <c r="N624">
        <v>335111000</v>
      </c>
      <c r="O624">
        <v>83800</v>
      </c>
      <c r="P624">
        <v>1300000</v>
      </c>
      <c r="Q624">
        <v>1000000</v>
      </c>
      <c r="R624">
        <v>16100000</v>
      </c>
      <c r="S624">
        <v>1200000</v>
      </c>
      <c r="T624">
        <v>2016</v>
      </c>
      <c r="U624" t="s">
        <v>1025</v>
      </c>
      <c r="V624">
        <v>3</v>
      </c>
      <c r="W624">
        <v>88.2</v>
      </c>
      <c r="X624">
        <v>328239523</v>
      </c>
      <c r="Y624">
        <v>14.7</v>
      </c>
      <c r="Z624">
        <v>270663028</v>
      </c>
      <c r="AA624">
        <v>37.090240000000001</v>
      </c>
      <c r="AB624">
        <v>-95.712890999999999</v>
      </c>
    </row>
    <row r="625" spans="1:28" x14ac:dyDescent="0.3">
      <c r="A625">
        <v>624</v>
      </c>
      <c r="B625" t="s">
        <v>942</v>
      </c>
      <c r="C625">
        <v>15600000</v>
      </c>
      <c r="D625">
        <v>1511794214</v>
      </c>
      <c r="E625" t="s">
        <v>988</v>
      </c>
      <c r="F625" t="s">
        <v>942</v>
      </c>
      <c r="G625">
        <v>483</v>
      </c>
      <c r="H625" t="s">
        <v>1058</v>
      </c>
      <c r="I625" t="s">
        <v>1059</v>
      </c>
      <c r="J625" t="s">
        <v>988</v>
      </c>
      <c r="K625">
        <v>7440</v>
      </c>
      <c r="L625">
        <v>24</v>
      </c>
      <c r="M625">
        <v>140</v>
      </c>
      <c r="N625">
        <v>62551000</v>
      </c>
      <c r="O625">
        <v>0</v>
      </c>
      <c r="P625">
        <v>0</v>
      </c>
      <c r="Q625">
        <v>0</v>
      </c>
      <c r="R625">
        <v>0</v>
      </c>
      <c r="S625" t="s">
        <v>987</v>
      </c>
      <c r="T625">
        <v>2010</v>
      </c>
      <c r="U625" t="s">
        <v>991</v>
      </c>
      <c r="V625">
        <v>22</v>
      </c>
      <c r="W625">
        <v>40.200000000000003</v>
      </c>
      <c r="X625">
        <v>126014024</v>
      </c>
      <c r="Y625">
        <v>3.42</v>
      </c>
      <c r="Z625">
        <v>102626859</v>
      </c>
      <c r="AA625">
        <v>23.634501</v>
      </c>
      <c r="AB625">
        <v>-102.552784</v>
      </c>
    </row>
    <row r="626" spans="1:28" x14ac:dyDescent="0.3">
      <c r="A626">
        <v>625</v>
      </c>
      <c r="B626" t="s">
        <v>352</v>
      </c>
      <c r="C626">
        <v>15600000</v>
      </c>
      <c r="D626">
        <v>6862529416</v>
      </c>
      <c r="E626" t="s">
        <v>996</v>
      </c>
      <c r="F626" t="s">
        <v>352</v>
      </c>
      <c r="G626">
        <v>6623</v>
      </c>
      <c r="H626" t="s">
        <v>987</v>
      </c>
      <c r="I626" t="s">
        <v>987</v>
      </c>
      <c r="J626" t="s">
        <v>986</v>
      </c>
      <c r="K626">
        <v>863</v>
      </c>
      <c r="L626" t="s">
        <v>987</v>
      </c>
      <c r="M626">
        <v>44</v>
      </c>
      <c r="N626">
        <v>98660000</v>
      </c>
      <c r="O626">
        <v>24700</v>
      </c>
      <c r="P626">
        <v>394600</v>
      </c>
      <c r="Q626">
        <v>296000</v>
      </c>
      <c r="R626">
        <v>4700000</v>
      </c>
      <c r="S626">
        <v>200000</v>
      </c>
      <c r="T626">
        <v>2012</v>
      </c>
      <c r="U626" t="s">
        <v>1005</v>
      </c>
      <c r="V626">
        <v>23</v>
      </c>
      <c r="W626" t="s">
        <v>987</v>
      </c>
      <c r="X626" t="s">
        <v>987</v>
      </c>
      <c r="Y626" t="s">
        <v>987</v>
      </c>
      <c r="Z626" t="s">
        <v>987</v>
      </c>
      <c r="AA626" t="s">
        <v>987</v>
      </c>
      <c r="AB626" t="s">
        <v>987</v>
      </c>
    </row>
    <row r="627" spans="1:28" x14ac:dyDescent="0.3">
      <c r="A627">
        <v>626</v>
      </c>
      <c r="B627" t="s">
        <v>381</v>
      </c>
      <c r="C627">
        <v>15600000</v>
      </c>
      <c r="D627">
        <v>7172386509</v>
      </c>
      <c r="E627" t="s">
        <v>1088</v>
      </c>
      <c r="F627" t="s">
        <v>381</v>
      </c>
      <c r="G627">
        <v>6542</v>
      </c>
      <c r="H627" t="s">
        <v>1017</v>
      </c>
      <c r="I627" t="s">
        <v>1018</v>
      </c>
      <c r="J627" t="s">
        <v>1089</v>
      </c>
      <c r="K627">
        <v>802</v>
      </c>
      <c r="L627">
        <v>7</v>
      </c>
      <c r="M627">
        <v>11</v>
      </c>
      <c r="N627">
        <v>88224000</v>
      </c>
      <c r="O627">
        <v>22100</v>
      </c>
      <c r="P627">
        <v>352900</v>
      </c>
      <c r="Q627">
        <v>264700</v>
      </c>
      <c r="R627">
        <v>4200000</v>
      </c>
      <c r="S627">
        <v>100000</v>
      </c>
      <c r="T627">
        <v>2008</v>
      </c>
      <c r="U627" t="s">
        <v>1029</v>
      </c>
      <c r="V627">
        <v>25</v>
      </c>
      <c r="W627">
        <v>68.900000000000006</v>
      </c>
      <c r="X627">
        <v>36991981</v>
      </c>
      <c r="Y627">
        <v>5.56</v>
      </c>
      <c r="Z627">
        <v>30628482</v>
      </c>
      <c r="AA627">
        <v>56.130366000000002</v>
      </c>
      <c r="AB627">
        <v>-106.346771</v>
      </c>
    </row>
    <row r="628" spans="1:28" x14ac:dyDescent="0.3">
      <c r="A628">
        <v>627</v>
      </c>
      <c r="B628" t="s">
        <v>467</v>
      </c>
      <c r="C628">
        <v>15600000</v>
      </c>
      <c r="D628">
        <v>3869457097</v>
      </c>
      <c r="E628" t="s">
        <v>988</v>
      </c>
      <c r="F628" t="s">
        <v>467</v>
      </c>
      <c r="G628">
        <v>2019</v>
      </c>
      <c r="H628" t="s">
        <v>1019</v>
      </c>
      <c r="I628" t="s">
        <v>1020</v>
      </c>
      <c r="J628" t="s">
        <v>988</v>
      </c>
      <c r="K628">
        <v>2002</v>
      </c>
      <c r="L628">
        <v>34</v>
      </c>
      <c r="M628">
        <v>140</v>
      </c>
      <c r="N628">
        <v>56218000</v>
      </c>
      <c r="O628">
        <v>14100</v>
      </c>
      <c r="P628">
        <v>224900</v>
      </c>
      <c r="Q628">
        <v>168700</v>
      </c>
      <c r="R628">
        <v>2700000</v>
      </c>
      <c r="S628">
        <v>100000</v>
      </c>
      <c r="T628">
        <v>2010</v>
      </c>
      <c r="U628" t="s">
        <v>995</v>
      </c>
      <c r="V628">
        <v>9</v>
      </c>
      <c r="W628">
        <v>51.3</v>
      </c>
      <c r="X628">
        <v>212559417</v>
      </c>
      <c r="Y628">
        <v>12.08</v>
      </c>
      <c r="Z628">
        <v>183241641</v>
      </c>
      <c r="AA628">
        <v>-14.235004</v>
      </c>
      <c r="AB628">
        <v>-51.925280000000001</v>
      </c>
    </row>
    <row r="629" spans="1:28" x14ac:dyDescent="0.3">
      <c r="A629">
        <v>628</v>
      </c>
      <c r="B629" t="s">
        <v>624</v>
      </c>
      <c r="C629">
        <v>15600000</v>
      </c>
      <c r="D629">
        <v>6165757696</v>
      </c>
      <c r="E629" t="s">
        <v>994</v>
      </c>
      <c r="F629" t="s">
        <v>624</v>
      </c>
      <c r="G629">
        <v>4245</v>
      </c>
      <c r="H629" t="s">
        <v>984</v>
      </c>
      <c r="I629" t="s">
        <v>985</v>
      </c>
      <c r="J629" t="s">
        <v>1053</v>
      </c>
      <c r="K629">
        <v>1005</v>
      </c>
      <c r="L629">
        <v>145</v>
      </c>
      <c r="M629">
        <v>21</v>
      </c>
      <c r="N629">
        <v>27382000</v>
      </c>
      <c r="O629">
        <v>6800</v>
      </c>
      <c r="P629">
        <v>109500</v>
      </c>
      <c r="Q629">
        <v>82100</v>
      </c>
      <c r="R629">
        <v>1300000</v>
      </c>
      <c r="S629" t="s">
        <v>987</v>
      </c>
      <c r="T629">
        <v>2018</v>
      </c>
      <c r="U629" t="s">
        <v>1005</v>
      </c>
      <c r="V629">
        <v>13</v>
      </c>
      <c r="W629">
        <v>88.2</v>
      </c>
      <c r="X629">
        <v>328239523</v>
      </c>
      <c r="Y629">
        <v>14.7</v>
      </c>
      <c r="Z629">
        <v>270663028</v>
      </c>
      <c r="AA629">
        <v>37.090240000000001</v>
      </c>
      <c r="AB629">
        <v>-95.712890999999999</v>
      </c>
    </row>
    <row r="630" spans="1:28" x14ac:dyDescent="0.3">
      <c r="A630">
        <v>629</v>
      </c>
      <c r="B630" t="s">
        <v>379</v>
      </c>
      <c r="C630">
        <v>15500000</v>
      </c>
      <c r="D630">
        <v>8984089026</v>
      </c>
      <c r="E630" t="s">
        <v>994</v>
      </c>
      <c r="F630" t="s">
        <v>379</v>
      </c>
      <c r="G630">
        <v>598</v>
      </c>
      <c r="H630" t="s">
        <v>1058</v>
      </c>
      <c r="I630" t="s">
        <v>1059</v>
      </c>
      <c r="J630" t="s">
        <v>990</v>
      </c>
      <c r="K630">
        <v>538</v>
      </c>
      <c r="L630">
        <v>24</v>
      </c>
      <c r="M630">
        <v>32</v>
      </c>
      <c r="N630">
        <v>90012000</v>
      </c>
      <c r="O630">
        <v>22500</v>
      </c>
      <c r="P630">
        <v>360000</v>
      </c>
      <c r="Q630">
        <v>270000</v>
      </c>
      <c r="R630">
        <v>4300000</v>
      </c>
      <c r="S630">
        <v>100000</v>
      </c>
      <c r="T630">
        <v>2017</v>
      </c>
      <c r="U630" t="s">
        <v>1003</v>
      </c>
      <c r="V630">
        <v>13</v>
      </c>
      <c r="W630">
        <v>40.200000000000003</v>
      </c>
      <c r="X630">
        <v>126014024</v>
      </c>
      <c r="Y630">
        <v>3.42</v>
      </c>
      <c r="Z630">
        <v>102626859</v>
      </c>
      <c r="AA630">
        <v>23.634501</v>
      </c>
      <c r="AB630">
        <v>-102.552784</v>
      </c>
    </row>
    <row r="631" spans="1:28" x14ac:dyDescent="0.3">
      <c r="A631">
        <v>630</v>
      </c>
      <c r="B631" t="s">
        <v>888</v>
      </c>
      <c r="C631">
        <v>15500000</v>
      </c>
      <c r="D631">
        <v>5070970714</v>
      </c>
      <c r="E631" t="s">
        <v>988</v>
      </c>
      <c r="F631" t="s">
        <v>888</v>
      </c>
      <c r="G631">
        <v>0</v>
      </c>
      <c r="H631" t="s">
        <v>987</v>
      </c>
      <c r="I631" t="s">
        <v>987</v>
      </c>
      <c r="J631" t="s">
        <v>987</v>
      </c>
      <c r="K631">
        <v>4057944</v>
      </c>
      <c r="L631" t="s">
        <v>987</v>
      </c>
      <c r="M631" t="s">
        <v>987</v>
      </c>
      <c r="N631" t="s">
        <v>987</v>
      </c>
      <c r="O631">
        <v>0</v>
      </c>
      <c r="P631">
        <v>0</v>
      </c>
      <c r="Q631">
        <v>0</v>
      </c>
      <c r="R631">
        <v>0</v>
      </c>
      <c r="S631" t="s">
        <v>987</v>
      </c>
      <c r="T631">
        <v>2017</v>
      </c>
      <c r="U631" t="s">
        <v>1015</v>
      </c>
      <c r="V631">
        <v>27</v>
      </c>
      <c r="W631" t="s">
        <v>987</v>
      </c>
      <c r="X631" t="s">
        <v>987</v>
      </c>
      <c r="Y631" t="s">
        <v>987</v>
      </c>
      <c r="Z631" t="s">
        <v>987</v>
      </c>
      <c r="AA631" t="s">
        <v>987</v>
      </c>
      <c r="AB631" t="s">
        <v>987</v>
      </c>
    </row>
    <row r="632" spans="1:28" x14ac:dyDescent="0.3">
      <c r="A632">
        <v>631</v>
      </c>
      <c r="B632" t="s">
        <v>368</v>
      </c>
      <c r="C632">
        <v>15500000</v>
      </c>
      <c r="D632">
        <v>6386271870</v>
      </c>
      <c r="E632" t="s">
        <v>977</v>
      </c>
      <c r="F632" t="s">
        <v>368</v>
      </c>
      <c r="G632">
        <v>220</v>
      </c>
      <c r="H632" t="s">
        <v>1071</v>
      </c>
      <c r="I632" t="s">
        <v>1072</v>
      </c>
      <c r="J632" t="s">
        <v>977</v>
      </c>
      <c r="K632">
        <v>954</v>
      </c>
      <c r="L632">
        <v>4</v>
      </c>
      <c r="M632">
        <v>122</v>
      </c>
      <c r="N632">
        <v>90914000</v>
      </c>
      <c r="O632">
        <v>22700</v>
      </c>
      <c r="P632">
        <v>363700</v>
      </c>
      <c r="Q632">
        <v>272700</v>
      </c>
      <c r="R632">
        <v>4400000</v>
      </c>
      <c r="S632">
        <v>200000</v>
      </c>
      <c r="T632">
        <v>2010</v>
      </c>
      <c r="U632" t="s">
        <v>1015</v>
      </c>
      <c r="V632">
        <v>26</v>
      </c>
      <c r="W632">
        <v>68</v>
      </c>
      <c r="X632">
        <v>34268528</v>
      </c>
      <c r="Y632">
        <v>5.93</v>
      </c>
      <c r="Z632">
        <v>28807838</v>
      </c>
      <c r="AA632">
        <v>23.885942</v>
      </c>
      <c r="AB632">
        <v>45.079161999999997</v>
      </c>
    </row>
    <row r="633" spans="1:28" x14ac:dyDescent="0.3">
      <c r="A633">
        <v>632</v>
      </c>
      <c r="B633" t="s">
        <v>222</v>
      </c>
      <c r="C633">
        <v>15500000</v>
      </c>
      <c r="D633">
        <v>7776706184</v>
      </c>
      <c r="E633" t="s">
        <v>990</v>
      </c>
      <c r="F633" t="s">
        <v>222</v>
      </c>
      <c r="G633">
        <v>359</v>
      </c>
      <c r="H633" t="s">
        <v>978</v>
      </c>
      <c r="I633" t="s">
        <v>979</v>
      </c>
      <c r="J633" t="s">
        <v>990</v>
      </c>
      <c r="K633">
        <v>687</v>
      </c>
      <c r="L633">
        <v>98</v>
      </c>
      <c r="M633">
        <v>32</v>
      </c>
      <c r="N633">
        <v>167888000</v>
      </c>
      <c r="O633">
        <v>42000</v>
      </c>
      <c r="P633">
        <v>671600</v>
      </c>
      <c r="Q633">
        <v>503700</v>
      </c>
      <c r="R633">
        <v>8100000</v>
      </c>
      <c r="S633">
        <v>300000</v>
      </c>
      <c r="T633">
        <v>2016</v>
      </c>
      <c r="U633" t="s">
        <v>1008</v>
      </c>
      <c r="V633">
        <v>13</v>
      </c>
      <c r="W633">
        <v>28.1</v>
      </c>
      <c r="X633">
        <v>1366417754</v>
      </c>
      <c r="Y633">
        <v>5.36</v>
      </c>
      <c r="Z633">
        <v>471031528</v>
      </c>
      <c r="AA633">
        <v>20.593684</v>
      </c>
      <c r="AB633">
        <v>78.962879999999998</v>
      </c>
    </row>
    <row r="634" spans="1:28" x14ac:dyDescent="0.3">
      <c r="A634">
        <v>633</v>
      </c>
      <c r="B634" t="s">
        <v>1211</v>
      </c>
      <c r="C634">
        <v>15500000</v>
      </c>
      <c r="D634">
        <v>8265129639</v>
      </c>
      <c r="E634" t="s">
        <v>992</v>
      </c>
      <c r="F634" t="s">
        <v>1211</v>
      </c>
      <c r="G634">
        <v>1021</v>
      </c>
      <c r="H634" t="s">
        <v>1071</v>
      </c>
      <c r="I634" t="s">
        <v>1072</v>
      </c>
      <c r="J634" t="s">
        <v>1022</v>
      </c>
      <c r="K634">
        <v>619</v>
      </c>
      <c r="L634">
        <v>4</v>
      </c>
      <c r="M634">
        <v>33</v>
      </c>
      <c r="N634">
        <v>135036000</v>
      </c>
      <c r="O634">
        <v>33800</v>
      </c>
      <c r="P634">
        <v>540100</v>
      </c>
      <c r="Q634">
        <v>405100</v>
      </c>
      <c r="R634">
        <v>6500000</v>
      </c>
      <c r="S634">
        <v>300000</v>
      </c>
      <c r="T634">
        <v>2017</v>
      </c>
      <c r="U634" t="s">
        <v>995</v>
      </c>
      <c r="V634">
        <v>16</v>
      </c>
      <c r="W634">
        <v>68</v>
      </c>
      <c r="X634">
        <v>34268528</v>
      </c>
      <c r="Y634">
        <v>5.93</v>
      </c>
      <c r="Z634">
        <v>28807838</v>
      </c>
      <c r="AA634">
        <v>23.885942</v>
      </c>
      <c r="AB634">
        <v>45.079161999999997</v>
      </c>
    </row>
    <row r="635" spans="1:28" x14ac:dyDescent="0.3">
      <c r="A635">
        <v>634</v>
      </c>
      <c r="B635" t="s">
        <v>228</v>
      </c>
      <c r="C635">
        <v>15500000</v>
      </c>
      <c r="D635">
        <v>14619523361</v>
      </c>
      <c r="E635" t="s">
        <v>977</v>
      </c>
      <c r="F635" t="s">
        <v>228</v>
      </c>
      <c r="G635">
        <v>325</v>
      </c>
      <c r="H635" t="s">
        <v>1019</v>
      </c>
      <c r="I635" t="s">
        <v>1020</v>
      </c>
      <c r="J635" t="s">
        <v>977</v>
      </c>
      <c r="K635">
        <v>236</v>
      </c>
      <c r="L635">
        <v>35</v>
      </c>
      <c r="M635">
        <v>123</v>
      </c>
      <c r="N635">
        <v>163678000</v>
      </c>
      <c r="O635">
        <v>40900</v>
      </c>
      <c r="P635">
        <v>654700</v>
      </c>
      <c r="Q635">
        <v>491000</v>
      </c>
      <c r="R635">
        <v>7900000</v>
      </c>
      <c r="S635" t="s">
        <v>987</v>
      </c>
      <c r="T635">
        <v>2009</v>
      </c>
      <c r="U635" t="s">
        <v>1008</v>
      </c>
      <c r="V635">
        <v>27</v>
      </c>
      <c r="W635">
        <v>51.3</v>
      </c>
      <c r="X635">
        <v>212559417</v>
      </c>
      <c r="Y635">
        <v>12.08</v>
      </c>
      <c r="Z635">
        <v>183241641</v>
      </c>
      <c r="AA635">
        <v>-14.235004</v>
      </c>
      <c r="AB635">
        <v>-51.925280000000001</v>
      </c>
    </row>
    <row r="636" spans="1:28" x14ac:dyDescent="0.3">
      <c r="A636">
        <v>635</v>
      </c>
      <c r="B636" t="s">
        <v>905</v>
      </c>
      <c r="C636">
        <v>15500000</v>
      </c>
      <c r="D636">
        <v>12880388253</v>
      </c>
      <c r="E636" t="s">
        <v>1088</v>
      </c>
      <c r="F636" t="s">
        <v>1212</v>
      </c>
      <c r="G636">
        <v>0</v>
      </c>
      <c r="H636" t="s">
        <v>984</v>
      </c>
      <c r="I636" t="s">
        <v>985</v>
      </c>
      <c r="J636" t="s">
        <v>988</v>
      </c>
      <c r="K636">
        <v>4057944</v>
      </c>
      <c r="L636">
        <v>5048</v>
      </c>
      <c r="M636">
        <v>4453</v>
      </c>
      <c r="N636" t="s">
        <v>987</v>
      </c>
      <c r="O636">
        <v>0</v>
      </c>
      <c r="P636">
        <v>0</v>
      </c>
      <c r="Q636">
        <v>0</v>
      </c>
      <c r="R636">
        <v>0</v>
      </c>
      <c r="S636">
        <v>10</v>
      </c>
      <c r="T636">
        <v>2016</v>
      </c>
      <c r="U636" t="s">
        <v>980</v>
      </c>
      <c r="V636">
        <v>2</v>
      </c>
      <c r="W636">
        <v>88.2</v>
      </c>
      <c r="X636">
        <v>328239523</v>
      </c>
      <c r="Y636">
        <v>14.7</v>
      </c>
      <c r="Z636">
        <v>270663028</v>
      </c>
      <c r="AA636">
        <v>37.090240000000001</v>
      </c>
      <c r="AB636">
        <v>-95.712890999999999</v>
      </c>
    </row>
    <row r="637" spans="1:28" x14ac:dyDescent="0.3">
      <c r="A637">
        <v>636</v>
      </c>
      <c r="B637" t="s">
        <v>262</v>
      </c>
      <c r="C637">
        <v>15500000</v>
      </c>
      <c r="D637">
        <v>12714141740</v>
      </c>
      <c r="E637" t="s">
        <v>988</v>
      </c>
      <c r="F637" t="s">
        <v>262</v>
      </c>
      <c r="G637">
        <v>1525</v>
      </c>
      <c r="H637" t="s">
        <v>978</v>
      </c>
      <c r="I637" t="s">
        <v>979</v>
      </c>
      <c r="J637" t="s">
        <v>988</v>
      </c>
      <c r="K637">
        <v>300</v>
      </c>
      <c r="L637">
        <v>99</v>
      </c>
      <c r="M637">
        <v>141</v>
      </c>
      <c r="N637">
        <v>139123000</v>
      </c>
      <c r="O637">
        <v>34800</v>
      </c>
      <c r="P637">
        <v>556500</v>
      </c>
      <c r="Q637">
        <v>417400</v>
      </c>
      <c r="R637">
        <v>6700000</v>
      </c>
      <c r="S637">
        <v>200000</v>
      </c>
      <c r="T637">
        <v>2017</v>
      </c>
      <c r="U637" t="s">
        <v>999</v>
      </c>
      <c r="V637">
        <v>9</v>
      </c>
      <c r="W637">
        <v>28.1</v>
      </c>
      <c r="X637">
        <v>1366417754</v>
      </c>
      <c r="Y637">
        <v>5.36</v>
      </c>
      <c r="Z637">
        <v>471031528</v>
      </c>
      <c r="AA637">
        <v>20.593684</v>
      </c>
      <c r="AB637">
        <v>78.962879999999998</v>
      </c>
    </row>
    <row r="638" spans="1:28" x14ac:dyDescent="0.3">
      <c r="A638">
        <v>637</v>
      </c>
      <c r="B638" t="s">
        <v>611</v>
      </c>
      <c r="C638">
        <v>15500000</v>
      </c>
      <c r="D638">
        <v>6396049701</v>
      </c>
      <c r="E638" t="s">
        <v>988</v>
      </c>
      <c r="F638" t="s">
        <v>611</v>
      </c>
      <c r="G638">
        <v>417</v>
      </c>
      <c r="H638" t="s">
        <v>984</v>
      </c>
      <c r="I638" t="s">
        <v>985</v>
      </c>
      <c r="J638" t="s">
        <v>1022</v>
      </c>
      <c r="K638">
        <v>956</v>
      </c>
      <c r="L638">
        <v>146</v>
      </c>
      <c r="M638">
        <v>34</v>
      </c>
      <c r="N638">
        <v>27375000</v>
      </c>
      <c r="O638">
        <v>6800</v>
      </c>
      <c r="P638">
        <v>109500</v>
      </c>
      <c r="Q638">
        <v>82100</v>
      </c>
      <c r="R638">
        <v>1300000</v>
      </c>
      <c r="S638" t="s">
        <v>987</v>
      </c>
      <c r="T638">
        <v>2010</v>
      </c>
      <c r="U638" t="s">
        <v>1025</v>
      </c>
      <c r="V638">
        <v>14</v>
      </c>
      <c r="W638">
        <v>88.2</v>
      </c>
      <c r="X638">
        <v>328239523</v>
      </c>
      <c r="Y638">
        <v>14.7</v>
      </c>
      <c r="Z638">
        <v>270663028</v>
      </c>
      <c r="AA638">
        <v>37.090240000000001</v>
      </c>
      <c r="AB638">
        <v>-95.712890999999999</v>
      </c>
    </row>
    <row r="639" spans="1:28" x14ac:dyDescent="0.3">
      <c r="A639">
        <v>638</v>
      </c>
      <c r="B639" t="s">
        <v>1213</v>
      </c>
      <c r="C639">
        <v>15500000</v>
      </c>
      <c r="D639">
        <v>4499826716</v>
      </c>
      <c r="E639" t="s">
        <v>1011</v>
      </c>
      <c r="F639" t="s">
        <v>1213</v>
      </c>
      <c r="G639">
        <v>5183</v>
      </c>
      <c r="H639" t="s">
        <v>1214</v>
      </c>
      <c r="I639" t="s">
        <v>1215</v>
      </c>
      <c r="J639" t="s">
        <v>1053</v>
      </c>
      <c r="K639">
        <v>1597</v>
      </c>
      <c r="L639">
        <v>1</v>
      </c>
      <c r="M639">
        <v>22</v>
      </c>
      <c r="N639">
        <v>32916000</v>
      </c>
      <c r="O639">
        <v>8200</v>
      </c>
      <c r="P639">
        <v>131700</v>
      </c>
      <c r="Q639">
        <v>98700</v>
      </c>
      <c r="R639">
        <v>1600000</v>
      </c>
      <c r="S639">
        <v>100000</v>
      </c>
      <c r="T639">
        <v>2017</v>
      </c>
      <c r="U639" t="s">
        <v>1005</v>
      </c>
      <c r="V639">
        <v>8</v>
      </c>
      <c r="W639">
        <v>35.200000000000003</v>
      </c>
      <c r="X639">
        <v>100388073</v>
      </c>
      <c r="Y639">
        <v>10.76</v>
      </c>
      <c r="Z639">
        <v>42895824</v>
      </c>
      <c r="AA639">
        <v>26.820553</v>
      </c>
      <c r="AB639">
        <v>30.802498</v>
      </c>
    </row>
    <row r="640" spans="1:28" x14ac:dyDescent="0.3">
      <c r="A640">
        <v>639</v>
      </c>
      <c r="B640" t="s">
        <v>619</v>
      </c>
      <c r="C640">
        <v>15400000</v>
      </c>
      <c r="D640">
        <v>1781226000</v>
      </c>
      <c r="E640" t="s">
        <v>1044</v>
      </c>
      <c r="F640" t="s">
        <v>619</v>
      </c>
      <c r="G640">
        <v>165</v>
      </c>
      <c r="H640" t="s">
        <v>978</v>
      </c>
      <c r="I640" t="s">
        <v>979</v>
      </c>
      <c r="J640" t="s">
        <v>1044</v>
      </c>
      <c r="K640">
        <v>5724</v>
      </c>
      <c r="L640">
        <v>100</v>
      </c>
      <c r="M640">
        <v>27</v>
      </c>
      <c r="N640">
        <v>27963000</v>
      </c>
      <c r="O640">
        <v>7000</v>
      </c>
      <c r="P640">
        <v>111900</v>
      </c>
      <c r="Q640">
        <v>83900</v>
      </c>
      <c r="R640">
        <v>1300000</v>
      </c>
      <c r="S640">
        <v>100000</v>
      </c>
      <c r="T640">
        <v>2015</v>
      </c>
      <c r="U640" t="s">
        <v>995</v>
      </c>
      <c r="V640">
        <v>6</v>
      </c>
      <c r="W640">
        <v>28.1</v>
      </c>
      <c r="X640">
        <v>1366417754</v>
      </c>
      <c r="Y640">
        <v>5.36</v>
      </c>
      <c r="Z640">
        <v>471031528</v>
      </c>
      <c r="AA640">
        <v>20.593684</v>
      </c>
      <c r="AB640">
        <v>78.962879999999998</v>
      </c>
    </row>
    <row r="641" spans="1:28" x14ac:dyDescent="0.3">
      <c r="A641">
        <v>640</v>
      </c>
      <c r="B641" t="s">
        <v>407</v>
      </c>
      <c r="C641">
        <v>15400000</v>
      </c>
      <c r="D641">
        <v>11513738907</v>
      </c>
      <c r="E641" t="s">
        <v>996</v>
      </c>
      <c r="F641" t="s">
        <v>407</v>
      </c>
      <c r="G641">
        <v>379</v>
      </c>
      <c r="H641" t="s">
        <v>1062</v>
      </c>
      <c r="I641" t="s">
        <v>1063</v>
      </c>
      <c r="J641" t="s">
        <v>988</v>
      </c>
      <c r="K641">
        <v>349</v>
      </c>
      <c r="L641">
        <v>6</v>
      </c>
      <c r="M641">
        <v>141</v>
      </c>
      <c r="N641">
        <v>80172000</v>
      </c>
      <c r="O641">
        <v>20000</v>
      </c>
      <c r="P641">
        <v>320700</v>
      </c>
      <c r="Q641">
        <v>240500</v>
      </c>
      <c r="R641">
        <v>3800000</v>
      </c>
      <c r="S641">
        <v>200000</v>
      </c>
      <c r="T641">
        <v>2018</v>
      </c>
      <c r="U641" t="s">
        <v>1015</v>
      </c>
      <c r="V641">
        <v>18</v>
      </c>
      <c r="W641">
        <v>36.799999999999997</v>
      </c>
      <c r="X641">
        <v>9770529</v>
      </c>
      <c r="Y641">
        <v>2.35</v>
      </c>
      <c r="Z641">
        <v>8479744</v>
      </c>
      <c r="AA641">
        <v>23.424075999999999</v>
      </c>
      <c r="AB641">
        <v>53.847817999999997</v>
      </c>
    </row>
    <row r="642" spans="1:28" x14ac:dyDescent="0.3">
      <c r="A642">
        <v>641</v>
      </c>
      <c r="B642" t="s">
        <v>465</v>
      </c>
      <c r="C642">
        <v>15400000</v>
      </c>
      <c r="D642">
        <v>1543608082</v>
      </c>
      <c r="E642" t="s">
        <v>996</v>
      </c>
      <c r="F642" t="s">
        <v>465</v>
      </c>
      <c r="G642">
        <v>1647</v>
      </c>
      <c r="H642" t="s">
        <v>984</v>
      </c>
      <c r="I642" t="s">
        <v>985</v>
      </c>
      <c r="J642" t="s">
        <v>986</v>
      </c>
      <c r="K642">
        <v>6793</v>
      </c>
      <c r="L642">
        <v>147</v>
      </c>
      <c r="M642">
        <v>45</v>
      </c>
      <c r="N642">
        <v>55369000</v>
      </c>
      <c r="O642">
        <v>13800</v>
      </c>
      <c r="P642">
        <v>221500</v>
      </c>
      <c r="Q642">
        <v>166100</v>
      </c>
      <c r="R642">
        <v>2700000</v>
      </c>
      <c r="S642">
        <v>100000</v>
      </c>
      <c r="T642">
        <v>2016</v>
      </c>
      <c r="U642" t="s">
        <v>1015</v>
      </c>
      <c r="V642">
        <v>14</v>
      </c>
      <c r="W642">
        <v>88.2</v>
      </c>
      <c r="X642">
        <v>328239523</v>
      </c>
      <c r="Y642">
        <v>14.7</v>
      </c>
      <c r="Z642">
        <v>270663028</v>
      </c>
      <c r="AA642">
        <v>37.090240000000001</v>
      </c>
      <c r="AB642">
        <v>-95.712890999999999</v>
      </c>
    </row>
    <row r="643" spans="1:28" x14ac:dyDescent="0.3">
      <c r="A643">
        <v>642</v>
      </c>
      <c r="B643" t="s">
        <v>782</v>
      </c>
      <c r="C643">
        <v>15400000</v>
      </c>
      <c r="D643">
        <v>5469103954</v>
      </c>
      <c r="E643" t="s">
        <v>994</v>
      </c>
      <c r="F643" t="s">
        <v>782</v>
      </c>
      <c r="G643">
        <v>1756</v>
      </c>
      <c r="H643" t="s">
        <v>984</v>
      </c>
      <c r="I643" t="s">
        <v>985</v>
      </c>
      <c r="J643" t="s">
        <v>1002</v>
      </c>
      <c r="K643">
        <v>1201</v>
      </c>
      <c r="L643">
        <v>147</v>
      </c>
      <c r="M643">
        <v>42</v>
      </c>
      <c r="N643">
        <v>1583000</v>
      </c>
      <c r="O643">
        <v>396</v>
      </c>
      <c r="P643">
        <v>6300</v>
      </c>
      <c r="Q643">
        <v>4700</v>
      </c>
      <c r="R643">
        <v>76000</v>
      </c>
      <c r="S643" t="s">
        <v>987</v>
      </c>
      <c r="T643">
        <v>2013</v>
      </c>
      <c r="U643" t="s">
        <v>1010</v>
      </c>
      <c r="V643">
        <v>12</v>
      </c>
      <c r="W643">
        <v>88.2</v>
      </c>
      <c r="X643">
        <v>328239523</v>
      </c>
      <c r="Y643">
        <v>14.7</v>
      </c>
      <c r="Z643">
        <v>270663028</v>
      </c>
      <c r="AA643">
        <v>37.090240000000001</v>
      </c>
      <c r="AB643">
        <v>-95.712890999999999</v>
      </c>
    </row>
    <row r="644" spans="1:28" x14ac:dyDescent="0.3">
      <c r="A644">
        <v>643</v>
      </c>
      <c r="B644" t="s">
        <v>226</v>
      </c>
      <c r="C644">
        <v>15400000</v>
      </c>
      <c r="D644">
        <v>3736069980</v>
      </c>
      <c r="E644" t="s">
        <v>1088</v>
      </c>
      <c r="F644" t="s">
        <v>226</v>
      </c>
      <c r="G644">
        <v>1577</v>
      </c>
      <c r="H644" t="s">
        <v>1013</v>
      </c>
      <c r="I644" t="s">
        <v>1014</v>
      </c>
      <c r="J644" t="s">
        <v>1089</v>
      </c>
      <c r="K644">
        <v>2083</v>
      </c>
      <c r="L644">
        <v>24</v>
      </c>
      <c r="M644">
        <v>12</v>
      </c>
      <c r="N644">
        <v>167697000</v>
      </c>
      <c r="O644">
        <v>41900</v>
      </c>
      <c r="P644">
        <v>670800</v>
      </c>
      <c r="Q644">
        <v>503100</v>
      </c>
      <c r="R644">
        <v>8000000</v>
      </c>
      <c r="S644">
        <v>400000</v>
      </c>
      <c r="T644">
        <v>2011</v>
      </c>
      <c r="U644" t="s">
        <v>999</v>
      </c>
      <c r="V644">
        <v>20</v>
      </c>
      <c r="W644">
        <v>60</v>
      </c>
      <c r="X644">
        <v>66834405</v>
      </c>
      <c r="Y644">
        <v>3.85</v>
      </c>
      <c r="Z644">
        <v>55908316</v>
      </c>
      <c r="AA644">
        <v>55.378050999999999</v>
      </c>
      <c r="AB644">
        <v>-3.4359730000000002</v>
      </c>
    </row>
    <row r="645" spans="1:28" x14ac:dyDescent="0.3">
      <c r="A645">
        <v>644</v>
      </c>
      <c r="B645" t="s">
        <v>396</v>
      </c>
      <c r="C645">
        <v>15400000</v>
      </c>
      <c r="D645">
        <v>14564170905</v>
      </c>
      <c r="E645" t="s">
        <v>977</v>
      </c>
      <c r="F645" t="s">
        <v>396</v>
      </c>
      <c r="G645">
        <v>1725</v>
      </c>
      <c r="H645" t="s">
        <v>1048</v>
      </c>
      <c r="I645" t="s">
        <v>1049</v>
      </c>
      <c r="J645" t="s">
        <v>977</v>
      </c>
      <c r="K645">
        <v>239</v>
      </c>
      <c r="L645">
        <v>11</v>
      </c>
      <c r="M645">
        <v>124</v>
      </c>
      <c r="N645">
        <v>82798000</v>
      </c>
      <c r="O645">
        <v>20700</v>
      </c>
      <c r="P645">
        <v>331200</v>
      </c>
      <c r="Q645">
        <v>248400</v>
      </c>
      <c r="R645">
        <v>4000000</v>
      </c>
      <c r="S645">
        <v>100000</v>
      </c>
      <c r="T645">
        <v>2008</v>
      </c>
      <c r="U645" t="s">
        <v>980</v>
      </c>
      <c r="V645">
        <v>9</v>
      </c>
      <c r="W645">
        <v>49.3</v>
      </c>
      <c r="X645">
        <v>69625582</v>
      </c>
      <c r="Y645">
        <v>0.75</v>
      </c>
      <c r="Z645">
        <v>35294600</v>
      </c>
      <c r="AA645">
        <v>15.870032</v>
      </c>
      <c r="AB645">
        <v>100.992541</v>
      </c>
    </row>
    <row r="646" spans="1:28" x14ac:dyDescent="0.3">
      <c r="A646">
        <v>645</v>
      </c>
      <c r="B646" t="s">
        <v>553</v>
      </c>
      <c r="C646">
        <v>15400000</v>
      </c>
      <c r="D646">
        <v>4909687948</v>
      </c>
      <c r="E646" t="s">
        <v>977</v>
      </c>
      <c r="F646" t="s">
        <v>553</v>
      </c>
      <c r="G646">
        <v>21</v>
      </c>
      <c r="H646" t="s">
        <v>984</v>
      </c>
      <c r="I646" t="s">
        <v>985</v>
      </c>
      <c r="J646" t="s">
        <v>977</v>
      </c>
      <c r="K646">
        <v>1401</v>
      </c>
      <c r="L646">
        <v>147</v>
      </c>
      <c r="M646">
        <v>124</v>
      </c>
      <c r="N646">
        <v>36790000</v>
      </c>
      <c r="O646">
        <v>9200</v>
      </c>
      <c r="P646">
        <v>147200</v>
      </c>
      <c r="Q646">
        <v>110400</v>
      </c>
      <c r="R646">
        <v>1800000</v>
      </c>
      <c r="S646">
        <v>100000</v>
      </c>
      <c r="T646">
        <v>2016</v>
      </c>
      <c r="U646" t="s">
        <v>1003</v>
      </c>
      <c r="V646">
        <v>26</v>
      </c>
      <c r="W646">
        <v>88.2</v>
      </c>
      <c r="X646">
        <v>328239523</v>
      </c>
      <c r="Y646">
        <v>14.7</v>
      </c>
      <c r="Z646">
        <v>270663028</v>
      </c>
      <c r="AA646">
        <v>37.090240000000001</v>
      </c>
      <c r="AB646">
        <v>-95.712890999999999</v>
      </c>
    </row>
    <row r="647" spans="1:28" x14ac:dyDescent="0.3">
      <c r="A647">
        <v>646</v>
      </c>
      <c r="B647" t="s">
        <v>1216</v>
      </c>
      <c r="C647">
        <v>15400000</v>
      </c>
      <c r="D647">
        <v>4750420071</v>
      </c>
      <c r="E647" t="s">
        <v>994</v>
      </c>
      <c r="F647" t="s">
        <v>1216</v>
      </c>
      <c r="G647">
        <v>4186</v>
      </c>
      <c r="H647" t="s">
        <v>1081</v>
      </c>
      <c r="I647" t="s">
        <v>1082</v>
      </c>
      <c r="J647" t="s">
        <v>1053</v>
      </c>
      <c r="K647">
        <v>1461</v>
      </c>
      <c r="L647">
        <v>23</v>
      </c>
      <c r="M647">
        <v>23</v>
      </c>
      <c r="N647">
        <v>19740000</v>
      </c>
      <c r="O647">
        <v>4900</v>
      </c>
      <c r="P647">
        <v>79000</v>
      </c>
      <c r="Q647">
        <v>59200</v>
      </c>
      <c r="R647">
        <v>947500</v>
      </c>
      <c r="S647" t="s">
        <v>987</v>
      </c>
      <c r="T647">
        <v>2018</v>
      </c>
      <c r="U647" t="s">
        <v>1029</v>
      </c>
      <c r="V647">
        <v>21</v>
      </c>
      <c r="W647">
        <v>36.299999999999997</v>
      </c>
      <c r="X647">
        <v>270203917</v>
      </c>
      <c r="Y647">
        <v>4.6900000000000004</v>
      </c>
      <c r="Z647">
        <v>151509724</v>
      </c>
      <c r="AA647">
        <v>-0.78927499999999995</v>
      </c>
      <c r="AB647">
        <v>113.92132700000001</v>
      </c>
    </row>
    <row r="648" spans="1:28" x14ac:dyDescent="0.3">
      <c r="A648">
        <v>647</v>
      </c>
      <c r="B648" t="s">
        <v>392</v>
      </c>
      <c r="C648">
        <v>15300000</v>
      </c>
      <c r="D648">
        <v>2656528205</v>
      </c>
      <c r="E648" t="s">
        <v>1004</v>
      </c>
      <c r="F648" t="s">
        <v>392</v>
      </c>
      <c r="G648">
        <v>10988</v>
      </c>
      <c r="H648" t="s">
        <v>1065</v>
      </c>
      <c r="I648" t="s">
        <v>1066</v>
      </c>
      <c r="J648" t="s">
        <v>1004</v>
      </c>
      <c r="K648">
        <v>3356</v>
      </c>
      <c r="L648">
        <v>11</v>
      </c>
      <c r="M648">
        <v>9</v>
      </c>
      <c r="N648">
        <v>84867000</v>
      </c>
      <c r="O648">
        <v>21200</v>
      </c>
      <c r="P648">
        <v>339500</v>
      </c>
      <c r="Q648">
        <v>254600</v>
      </c>
      <c r="R648">
        <v>4100000</v>
      </c>
      <c r="S648">
        <v>200000</v>
      </c>
      <c r="T648">
        <v>2006</v>
      </c>
      <c r="U648" t="s">
        <v>989</v>
      </c>
      <c r="V648">
        <v>6</v>
      </c>
      <c r="W648">
        <v>88.9</v>
      </c>
      <c r="X648">
        <v>47076781</v>
      </c>
      <c r="Y648">
        <v>13.96</v>
      </c>
      <c r="Z648">
        <v>37927409</v>
      </c>
      <c r="AA648">
        <v>40.463667000000001</v>
      </c>
      <c r="AB648">
        <v>-3.7492200000000002</v>
      </c>
    </row>
    <row r="649" spans="1:28" x14ac:dyDescent="0.3">
      <c r="A649">
        <v>648</v>
      </c>
      <c r="B649" t="s">
        <v>412</v>
      </c>
      <c r="C649">
        <v>15300000</v>
      </c>
      <c r="D649">
        <v>10714145606</v>
      </c>
      <c r="E649" t="s">
        <v>990</v>
      </c>
      <c r="F649" t="s">
        <v>412</v>
      </c>
      <c r="G649">
        <v>851</v>
      </c>
      <c r="H649" t="s">
        <v>984</v>
      </c>
      <c r="I649" t="s">
        <v>985</v>
      </c>
      <c r="J649" t="s">
        <v>990</v>
      </c>
      <c r="K649">
        <v>390</v>
      </c>
      <c r="L649">
        <v>148</v>
      </c>
      <c r="M649">
        <v>33</v>
      </c>
      <c r="N649">
        <v>77053000</v>
      </c>
      <c r="O649">
        <v>19300</v>
      </c>
      <c r="P649">
        <v>308200</v>
      </c>
      <c r="Q649">
        <v>231200</v>
      </c>
      <c r="R649">
        <v>3700000</v>
      </c>
      <c r="S649" t="s">
        <v>987</v>
      </c>
      <c r="T649">
        <v>2014</v>
      </c>
      <c r="U649" t="s">
        <v>1005</v>
      </c>
      <c r="V649">
        <v>4</v>
      </c>
      <c r="W649">
        <v>88.2</v>
      </c>
      <c r="X649">
        <v>328239523</v>
      </c>
      <c r="Y649">
        <v>14.7</v>
      </c>
      <c r="Z649">
        <v>270663028</v>
      </c>
      <c r="AA649">
        <v>37.090240000000001</v>
      </c>
      <c r="AB649">
        <v>-95.712890999999999</v>
      </c>
    </row>
    <row r="650" spans="1:28" x14ac:dyDescent="0.3">
      <c r="A650">
        <v>649</v>
      </c>
      <c r="B650" t="s">
        <v>753</v>
      </c>
      <c r="C650">
        <v>15300000</v>
      </c>
      <c r="D650">
        <v>1640078055</v>
      </c>
      <c r="E650" t="s">
        <v>996</v>
      </c>
      <c r="F650" t="s">
        <v>753</v>
      </c>
      <c r="G650">
        <v>1397</v>
      </c>
      <c r="H650" t="s">
        <v>978</v>
      </c>
      <c r="I650" t="s">
        <v>979</v>
      </c>
      <c r="J650" t="s">
        <v>986</v>
      </c>
      <c r="K650">
        <v>6356</v>
      </c>
      <c r="L650">
        <v>101</v>
      </c>
      <c r="M650">
        <v>46</v>
      </c>
      <c r="N650">
        <v>5920000</v>
      </c>
      <c r="O650">
        <v>1500</v>
      </c>
      <c r="P650">
        <v>23700</v>
      </c>
      <c r="Q650">
        <v>17800</v>
      </c>
      <c r="R650">
        <v>284200</v>
      </c>
      <c r="S650" t="s">
        <v>987</v>
      </c>
      <c r="T650">
        <v>2017</v>
      </c>
      <c r="U650" t="s">
        <v>1029</v>
      </c>
      <c r="V650">
        <v>16</v>
      </c>
      <c r="W650">
        <v>28.1</v>
      </c>
      <c r="X650">
        <v>1366417754</v>
      </c>
      <c r="Y650">
        <v>5.36</v>
      </c>
      <c r="Z650">
        <v>471031528</v>
      </c>
      <c r="AA650">
        <v>20.593684</v>
      </c>
      <c r="AB650">
        <v>78.962879999999998</v>
      </c>
    </row>
    <row r="651" spans="1:28" x14ac:dyDescent="0.3">
      <c r="A651">
        <v>650</v>
      </c>
      <c r="B651" t="s">
        <v>64</v>
      </c>
      <c r="C651">
        <v>15300000</v>
      </c>
      <c r="D651">
        <v>9938811455</v>
      </c>
      <c r="E651" t="s">
        <v>994</v>
      </c>
      <c r="F651" t="s">
        <v>64</v>
      </c>
      <c r="G651">
        <v>2175</v>
      </c>
      <c r="H651" t="s">
        <v>1000</v>
      </c>
      <c r="I651" t="s">
        <v>1001</v>
      </c>
      <c r="J651" t="s">
        <v>1002</v>
      </c>
      <c r="K651">
        <v>441</v>
      </c>
      <c r="L651">
        <v>8</v>
      </c>
      <c r="M651">
        <v>42</v>
      </c>
      <c r="N651">
        <v>475565000</v>
      </c>
      <c r="O651">
        <v>118900</v>
      </c>
      <c r="P651">
        <v>1900000</v>
      </c>
      <c r="Q651">
        <v>1400000</v>
      </c>
      <c r="R651">
        <v>22800000</v>
      </c>
      <c r="S651">
        <v>800000</v>
      </c>
      <c r="T651">
        <v>2021</v>
      </c>
      <c r="U651" t="s">
        <v>999</v>
      </c>
      <c r="V651">
        <v>1</v>
      </c>
      <c r="W651">
        <v>81.900000000000006</v>
      </c>
      <c r="X651">
        <v>144373535</v>
      </c>
      <c r="Y651">
        <v>4.59</v>
      </c>
      <c r="Z651">
        <v>107683889</v>
      </c>
      <c r="AA651">
        <v>61.524009999999997</v>
      </c>
      <c r="AB651">
        <v>105.31875599999999</v>
      </c>
    </row>
    <row r="652" spans="1:28" x14ac:dyDescent="0.3">
      <c r="A652">
        <v>651</v>
      </c>
      <c r="B652" t="s">
        <v>97</v>
      </c>
      <c r="C652">
        <v>15300000</v>
      </c>
      <c r="D652">
        <v>16545966132</v>
      </c>
      <c r="E652" t="s">
        <v>988</v>
      </c>
      <c r="F652" t="s">
        <v>97</v>
      </c>
      <c r="G652">
        <v>87864</v>
      </c>
      <c r="H652" t="s">
        <v>978</v>
      </c>
      <c r="I652" t="s">
        <v>979</v>
      </c>
      <c r="J652" t="s">
        <v>988</v>
      </c>
      <c r="K652">
        <v>175</v>
      </c>
      <c r="L652">
        <v>100</v>
      </c>
      <c r="M652">
        <v>142</v>
      </c>
      <c r="N652">
        <v>361483000</v>
      </c>
      <c r="O652">
        <v>90400</v>
      </c>
      <c r="P652">
        <v>1400000</v>
      </c>
      <c r="Q652">
        <v>1100000</v>
      </c>
      <c r="R652">
        <v>17400000</v>
      </c>
      <c r="S652">
        <v>300000</v>
      </c>
      <c r="T652">
        <v>2011</v>
      </c>
      <c r="U652" t="s">
        <v>1025</v>
      </c>
      <c r="V652">
        <v>31</v>
      </c>
      <c r="W652">
        <v>28.1</v>
      </c>
      <c r="X652">
        <v>1366417754</v>
      </c>
      <c r="Y652">
        <v>5.36</v>
      </c>
      <c r="Z652">
        <v>471031528</v>
      </c>
      <c r="AA652">
        <v>20.593684</v>
      </c>
      <c r="AB652">
        <v>78.962879999999998</v>
      </c>
    </row>
    <row r="653" spans="1:28" x14ac:dyDescent="0.3">
      <c r="A653">
        <v>652</v>
      </c>
      <c r="B653" t="s">
        <v>437</v>
      </c>
      <c r="C653">
        <v>15200000</v>
      </c>
      <c r="D653">
        <v>857725714</v>
      </c>
      <c r="E653" t="s">
        <v>994</v>
      </c>
      <c r="F653" t="s">
        <v>437</v>
      </c>
      <c r="G653">
        <v>194</v>
      </c>
      <c r="H653" t="s">
        <v>978</v>
      </c>
      <c r="I653" t="s">
        <v>979</v>
      </c>
      <c r="J653" t="s">
        <v>1022</v>
      </c>
      <c r="K653">
        <v>13929</v>
      </c>
      <c r="L653">
        <v>100</v>
      </c>
      <c r="M653">
        <v>35</v>
      </c>
      <c r="N653">
        <v>65380000</v>
      </c>
      <c r="O653">
        <v>16300</v>
      </c>
      <c r="P653">
        <v>261500</v>
      </c>
      <c r="Q653">
        <v>196100</v>
      </c>
      <c r="R653">
        <v>3100000</v>
      </c>
      <c r="S653">
        <v>1300000</v>
      </c>
      <c r="T653">
        <v>2017</v>
      </c>
      <c r="U653" t="s">
        <v>1025</v>
      </c>
      <c r="V653">
        <v>15</v>
      </c>
      <c r="W653">
        <v>28.1</v>
      </c>
      <c r="X653">
        <v>1366417754</v>
      </c>
      <c r="Y653">
        <v>5.36</v>
      </c>
      <c r="Z653">
        <v>471031528</v>
      </c>
      <c r="AA653">
        <v>20.593684</v>
      </c>
      <c r="AB653">
        <v>78.962879999999998</v>
      </c>
    </row>
    <row r="654" spans="1:28" x14ac:dyDescent="0.3">
      <c r="A654">
        <v>653</v>
      </c>
      <c r="B654" t="s">
        <v>347</v>
      </c>
      <c r="C654">
        <v>15200000</v>
      </c>
      <c r="D654">
        <v>4503880875</v>
      </c>
      <c r="E654" t="s">
        <v>1044</v>
      </c>
      <c r="F654" t="s">
        <v>347</v>
      </c>
      <c r="G654">
        <v>106</v>
      </c>
      <c r="H654" t="s">
        <v>978</v>
      </c>
      <c r="I654" t="s">
        <v>979</v>
      </c>
      <c r="J654" t="s">
        <v>1044</v>
      </c>
      <c r="K654">
        <v>1593</v>
      </c>
      <c r="L654">
        <v>102</v>
      </c>
      <c r="M654">
        <v>28</v>
      </c>
      <c r="N654">
        <v>98329000</v>
      </c>
      <c r="O654">
        <v>24600</v>
      </c>
      <c r="P654">
        <v>393300</v>
      </c>
      <c r="Q654">
        <v>295000</v>
      </c>
      <c r="R654">
        <v>4700000</v>
      </c>
      <c r="S654">
        <v>200000</v>
      </c>
      <c r="T654">
        <v>2015</v>
      </c>
      <c r="U654" t="s">
        <v>980</v>
      </c>
      <c r="V654">
        <v>14</v>
      </c>
      <c r="W654">
        <v>28.1</v>
      </c>
      <c r="X654">
        <v>1366417754</v>
      </c>
      <c r="Y654">
        <v>5.36</v>
      </c>
      <c r="Z654">
        <v>471031528</v>
      </c>
      <c r="AA654">
        <v>20.593684</v>
      </c>
      <c r="AB654">
        <v>78.962879999999998</v>
      </c>
    </row>
    <row r="655" spans="1:28" x14ac:dyDescent="0.3">
      <c r="A655">
        <v>654</v>
      </c>
      <c r="B655" t="s">
        <v>731</v>
      </c>
      <c r="C655">
        <v>15200000</v>
      </c>
      <c r="D655">
        <v>1491452935</v>
      </c>
      <c r="E655" t="s">
        <v>988</v>
      </c>
      <c r="F655" t="s">
        <v>731</v>
      </c>
      <c r="G655">
        <v>443</v>
      </c>
      <c r="H655" t="s">
        <v>1045</v>
      </c>
      <c r="I655" t="s">
        <v>1046</v>
      </c>
      <c r="J655" t="s">
        <v>988</v>
      </c>
      <c r="K655">
        <v>7153</v>
      </c>
      <c r="L655">
        <v>6</v>
      </c>
      <c r="M655">
        <v>144</v>
      </c>
      <c r="N655">
        <v>9980000</v>
      </c>
      <c r="O655">
        <v>2500</v>
      </c>
      <c r="P655">
        <v>39900</v>
      </c>
      <c r="Q655">
        <v>29900</v>
      </c>
      <c r="R655">
        <v>479000</v>
      </c>
      <c r="S655" t="s">
        <v>987</v>
      </c>
      <c r="T655">
        <v>2013</v>
      </c>
      <c r="U655" t="s">
        <v>999</v>
      </c>
      <c r="V655">
        <v>11</v>
      </c>
      <c r="W655">
        <v>35.5</v>
      </c>
      <c r="X655">
        <v>108116615</v>
      </c>
      <c r="Y655">
        <v>2.15</v>
      </c>
      <c r="Z655">
        <v>50975903</v>
      </c>
      <c r="AA655">
        <v>12.879721</v>
      </c>
      <c r="AB655">
        <v>121.774017</v>
      </c>
    </row>
    <row r="656" spans="1:28" x14ac:dyDescent="0.3">
      <c r="A656">
        <v>655</v>
      </c>
      <c r="B656" t="s">
        <v>455</v>
      </c>
      <c r="C656">
        <v>15200000</v>
      </c>
      <c r="D656">
        <v>6391679636</v>
      </c>
      <c r="E656" t="s">
        <v>977</v>
      </c>
      <c r="F656" t="s">
        <v>455</v>
      </c>
      <c r="G656">
        <v>5056</v>
      </c>
      <c r="H656" t="s">
        <v>978</v>
      </c>
      <c r="I656" t="s">
        <v>979</v>
      </c>
      <c r="J656" t="s">
        <v>977</v>
      </c>
      <c r="K656">
        <v>955</v>
      </c>
      <c r="L656">
        <v>102</v>
      </c>
      <c r="M656">
        <v>126</v>
      </c>
      <c r="N656">
        <v>57809000</v>
      </c>
      <c r="O656">
        <v>14500</v>
      </c>
      <c r="P656">
        <v>231200</v>
      </c>
      <c r="Q656">
        <v>173400</v>
      </c>
      <c r="R656">
        <v>2800000</v>
      </c>
      <c r="S656">
        <v>200000</v>
      </c>
      <c r="T656">
        <v>2012</v>
      </c>
      <c r="U656" t="s">
        <v>980</v>
      </c>
      <c r="V656">
        <v>16</v>
      </c>
      <c r="W656">
        <v>28.1</v>
      </c>
      <c r="X656">
        <v>1366417754</v>
      </c>
      <c r="Y656">
        <v>5.36</v>
      </c>
      <c r="Z656">
        <v>471031528</v>
      </c>
      <c r="AA656">
        <v>20.593684</v>
      </c>
      <c r="AB656">
        <v>78.962879999999998</v>
      </c>
    </row>
    <row r="657" spans="1:28" x14ac:dyDescent="0.3">
      <c r="A657">
        <v>656</v>
      </c>
      <c r="B657" t="s">
        <v>179</v>
      </c>
      <c r="C657">
        <v>15200000</v>
      </c>
      <c r="D657">
        <v>7151683497</v>
      </c>
      <c r="E657" t="s">
        <v>988</v>
      </c>
      <c r="F657" t="s">
        <v>179</v>
      </c>
      <c r="G657">
        <v>11099</v>
      </c>
      <c r="H657" t="s">
        <v>978</v>
      </c>
      <c r="I657" t="s">
        <v>979</v>
      </c>
      <c r="J657" t="s">
        <v>988</v>
      </c>
      <c r="K657">
        <v>794</v>
      </c>
      <c r="L657">
        <v>102</v>
      </c>
      <c r="M657">
        <v>144</v>
      </c>
      <c r="N657">
        <v>210909000</v>
      </c>
      <c r="O657">
        <v>52700</v>
      </c>
      <c r="P657">
        <v>843600</v>
      </c>
      <c r="Q657">
        <v>632700</v>
      </c>
      <c r="R657">
        <v>10100000</v>
      </c>
      <c r="S657">
        <v>300000</v>
      </c>
      <c r="T657">
        <v>2014</v>
      </c>
      <c r="U657" t="s">
        <v>995</v>
      </c>
      <c r="V657">
        <v>2</v>
      </c>
      <c r="W657">
        <v>28.1</v>
      </c>
      <c r="X657">
        <v>1366417754</v>
      </c>
      <c r="Y657">
        <v>5.36</v>
      </c>
      <c r="Z657">
        <v>471031528</v>
      </c>
      <c r="AA657">
        <v>20.593684</v>
      </c>
      <c r="AB657">
        <v>78.962879999999998</v>
      </c>
    </row>
    <row r="658" spans="1:28" x14ac:dyDescent="0.3">
      <c r="A658">
        <v>657</v>
      </c>
      <c r="B658" t="s">
        <v>327</v>
      </c>
      <c r="C658">
        <v>15200000</v>
      </c>
      <c r="D658">
        <v>7564652648</v>
      </c>
      <c r="E658" t="s">
        <v>988</v>
      </c>
      <c r="F658" t="s">
        <v>327</v>
      </c>
      <c r="G658">
        <v>9862</v>
      </c>
      <c r="H658" t="s">
        <v>978</v>
      </c>
      <c r="I658" t="s">
        <v>979</v>
      </c>
      <c r="J658" t="s">
        <v>977</v>
      </c>
      <c r="K658">
        <v>728</v>
      </c>
      <c r="L658">
        <v>101</v>
      </c>
      <c r="M658">
        <v>125</v>
      </c>
      <c r="N658">
        <v>105978000</v>
      </c>
      <c r="O658">
        <v>26500</v>
      </c>
      <c r="P658">
        <v>423900</v>
      </c>
      <c r="Q658">
        <v>317900</v>
      </c>
      <c r="R658">
        <v>5100000</v>
      </c>
      <c r="S658">
        <v>200000</v>
      </c>
      <c r="T658">
        <v>2011</v>
      </c>
      <c r="U658" t="s">
        <v>1029</v>
      </c>
      <c r="V658">
        <v>1</v>
      </c>
      <c r="W658">
        <v>28.1</v>
      </c>
      <c r="X658">
        <v>1366417754</v>
      </c>
      <c r="Y658">
        <v>5.36</v>
      </c>
      <c r="Z658">
        <v>471031528</v>
      </c>
      <c r="AA658">
        <v>20.593684</v>
      </c>
      <c r="AB658">
        <v>78.962879999999998</v>
      </c>
    </row>
    <row r="659" spans="1:28" x14ac:dyDescent="0.3">
      <c r="A659">
        <v>658</v>
      </c>
      <c r="B659" t="s">
        <v>764</v>
      </c>
      <c r="C659">
        <v>15200000</v>
      </c>
      <c r="D659">
        <v>8333387785</v>
      </c>
      <c r="E659" t="s">
        <v>988</v>
      </c>
      <c r="F659" t="s">
        <v>764</v>
      </c>
      <c r="G659">
        <v>654</v>
      </c>
      <c r="H659" t="s">
        <v>1085</v>
      </c>
      <c r="I659" t="s">
        <v>1086</v>
      </c>
      <c r="J659" t="s">
        <v>988</v>
      </c>
      <c r="K659">
        <v>615</v>
      </c>
      <c r="L659">
        <v>5</v>
      </c>
      <c r="M659">
        <v>144</v>
      </c>
      <c r="N659">
        <v>4427000</v>
      </c>
      <c r="O659">
        <v>1100</v>
      </c>
      <c r="P659">
        <v>17700</v>
      </c>
      <c r="Q659">
        <v>13300</v>
      </c>
      <c r="R659">
        <v>212500</v>
      </c>
      <c r="S659" t="s">
        <v>987</v>
      </c>
      <c r="T659">
        <v>2014</v>
      </c>
      <c r="U659" t="s">
        <v>1005</v>
      </c>
      <c r="V659">
        <v>29</v>
      </c>
      <c r="W659">
        <v>23.9</v>
      </c>
      <c r="X659">
        <v>83429615</v>
      </c>
      <c r="Y659">
        <v>13.49</v>
      </c>
      <c r="Z659">
        <v>63097818</v>
      </c>
      <c r="AA659">
        <v>38.963745000000003</v>
      </c>
      <c r="AB659">
        <v>35.243321999999999</v>
      </c>
    </row>
    <row r="660" spans="1:28" x14ac:dyDescent="0.3">
      <c r="A660">
        <v>659</v>
      </c>
      <c r="B660" t="s">
        <v>196</v>
      </c>
      <c r="C660">
        <v>15200000</v>
      </c>
      <c r="D660">
        <v>14198154095</v>
      </c>
      <c r="E660" t="s">
        <v>1026</v>
      </c>
      <c r="F660" t="s">
        <v>196</v>
      </c>
      <c r="G660">
        <v>160405</v>
      </c>
      <c r="H660" t="s">
        <v>984</v>
      </c>
      <c r="I660" t="s">
        <v>985</v>
      </c>
      <c r="J660" t="s">
        <v>1027</v>
      </c>
      <c r="K660">
        <v>247</v>
      </c>
      <c r="L660">
        <v>148</v>
      </c>
      <c r="M660">
        <v>16</v>
      </c>
      <c r="N660">
        <v>187006000</v>
      </c>
      <c r="O660">
        <v>46800</v>
      </c>
      <c r="P660">
        <v>748000</v>
      </c>
      <c r="Q660">
        <v>561000</v>
      </c>
      <c r="R660">
        <v>9000000</v>
      </c>
      <c r="S660">
        <v>100000</v>
      </c>
      <c r="T660">
        <v>2005</v>
      </c>
      <c r="U660" t="s">
        <v>1025</v>
      </c>
      <c r="V660">
        <v>2</v>
      </c>
      <c r="W660">
        <v>88.2</v>
      </c>
      <c r="X660">
        <v>328239523</v>
      </c>
      <c r="Y660">
        <v>14.7</v>
      </c>
      <c r="Z660">
        <v>270663028</v>
      </c>
      <c r="AA660">
        <v>37.090240000000001</v>
      </c>
      <c r="AB660">
        <v>-95.712890999999999</v>
      </c>
    </row>
    <row r="661" spans="1:28" x14ac:dyDescent="0.3">
      <c r="A661">
        <v>660</v>
      </c>
      <c r="B661" t="s">
        <v>495</v>
      </c>
      <c r="C661">
        <v>15200000</v>
      </c>
      <c r="D661">
        <v>6624168155</v>
      </c>
      <c r="E661" t="s">
        <v>1026</v>
      </c>
      <c r="F661" t="s">
        <v>495</v>
      </c>
      <c r="G661">
        <v>91704</v>
      </c>
      <c r="H661" t="s">
        <v>978</v>
      </c>
      <c r="I661" t="s">
        <v>979</v>
      </c>
      <c r="J661" t="s">
        <v>1027</v>
      </c>
      <c r="K661">
        <v>900</v>
      </c>
      <c r="L661">
        <v>101</v>
      </c>
      <c r="M661">
        <v>16</v>
      </c>
      <c r="N661">
        <v>49662000</v>
      </c>
      <c r="O661">
        <v>12400</v>
      </c>
      <c r="P661">
        <v>198600</v>
      </c>
      <c r="Q661">
        <v>149000</v>
      </c>
      <c r="R661">
        <v>2400000</v>
      </c>
      <c r="S661">
        <v>100000</v>
      </c>
      <c r="T661">
        <v>2008</v>
      </c>
      <c r="U661" t="s">
        <v>1003</v>
      </c>
      <c r="V661">
        <v>19</v>
      </c>
      <c r="W661">
        <v>28.1</v>
      </c>
      <c r="X661">
        <v>1366417754</v>
      </c>
      <c r="Y661">
        <v>5.36</v>
      </c>
      <c r="Z661">
        <v>471031528</v>
      </c>
      <c r="AA661">
        <v>20.593684</v>
      </c>
      <c r="AB661">
        <v>78.962879999999998</v>
      </c>
    </row>
    <row r="662" spans="1:28" x14ac:dyDescent="0.3">
      <c r="A662">
        <v>661</v>
      </c>
      <c r="B662" t="s">
        <v>684</v>
      </c>
      <c r="C662">
        <v>15100000</v>
      </c>
      <c r="D662">
        <v>1777072487</v>
      </c>
      <c r="E662" t="s">
        <v>994</v>
      </c>
      <c r="F662" t="s">
        <v>684</v>
      </c>
      <c r="G662">
        <v>210</v>
      </c>
      <c r="H662" t="s">
        <v>984</v>
      </c>
      <c r="I662" t="s">
        <v>985</v>
      </c>
      <c r="J662" t="s">
        <v>1002</v>
      </c>
      <c r="K662">
        <v>5778</v>
      </c>
      <c r="L662">
        <v>150</v>
      </c>
      <c r="M662">
        <v>44</v>
      </c>
      <c r="N662">
        <v>15984000</v>
      </c>
      <c r="O662">
        <v>4000</v>
      </c>
      <c r="P662">
        <v>63900</v>
      </c>
      <c r="Q662">
        <v>48000</v>
      </c>
      <c r="R662">
        <v>767200</v>
      </c>
      <c r="S662" t="s">
        <v>987</v>
      </c>
      <c r="T662">
        <v>2017</v>
      </c>
      <c r="U662" t="s">
        <v>989</v>
      </c>
      <c r="V662">
        <v>1</v>
      </c>
      <c r="W662">
        <v>88.2</v>
      </c>
      <c r="X662">
        <v>328239523</v>
      </c>
      <c r="Y662">
        <v>14.7</v>
      </c>
      <c r="Z662">
        <v>270663028</v>
      </c>
      <c r="AA662">
        <v>37.090240000000001</v>
      </c>
      <c r="AB662">
        <v>-95.712890999999999</v>
      </c>
    </row>
    <row r="663" spans="1:28" x14ac:dyDescent="0.3">
      <c r="A663">
        <v>662</v>
      </c>
      <c r="B663" t="s">
        <v>617</v>
      </c>
      <c r="C663">
        <v>15100000</v>
      </c>
      <c r="D663">
        <v>1576633086</v>
      </c>
      <c r="E663" t="s">
        <v>977</v>
      </c>
      <c r="F663" t="s">
        <v>617</v>
      </c>
      <c r="G663">
        <v>18</v>
      </c>
      <c r="H663" t="s">
        <v>987</v>
      </c>
      <c r="I663" t="s">
        <v>987</v>
      </c>
      <c r="J663" t="s">
        <v>977</v>
      </c>
      <c r="K663">
        <v>6655</v>
      </c>
      <c r="L663" t="s">
        <v>987</v>
      </c>
      <c r="M663">
        <v>127</v>
      </c>
      <c r="N663">
        <v>26053000</v>
      </c>
      <c r="O663">
        <v>6500</v>
      </c>
      <c r="P663">
        <v>104200</v>
      </c>
      <c r="Q663">
        <v>78200</v>
      </c>
      <c r="R663">
        <v>1300000</v>
      </c>
      <c r="S663">
        <v>100000</v>
      </c>
      <c r="T663">
        <v>2019</v>
      </c>
      <c r="U663" t="s">
        <v>1003</v>
      </c>
      <c r="V663">
        <v>18</v>
      </c>
      <c r="W663" t="s">
        <v>987</v>
      </c>
      <c r="X663" t="s">
        <v>987</v>
      </c>
      <c r="Y663" t="s">
        <v>987</v>
      </c>
      <c r="Z663" t="s">
        <v>987</v>
      </c>
      <c r="AA663" t="s">
        <v>987</v>
      </c>
      <c r="AB663" t="s">
        <v>987</v>
      </c>
    </row>
    <row r="664" spans="1:28" x14ac:dyDescent="0.3">
      <c r="A664">
        <v>663</v>
      </c>
      <c r="B664" t="s">
        <v>676</v>
      </c>
      <c r="C664">
        <v>15100000</v>
      </c>
      <c r="D664">
        <v>2143140898</v>
      </c>
      <c r="E664" t="s">
        <v>990</v>
      </c>
      <c r="F664" t="s">
        <v>676</v>
      </c>
      <c r="G664">
        <v>3810</v>
      </c>
      <c r="H664" t="s">
        <v>1081</v>
      </c>
      <c r="I664" t="s">
        <v>1082</v>
      </c>
      <c r="J664" t="s">
        <v>988</v>
      </c>
      <c r="K664">
        <v>4520</v>
      </c>
      <c r="L664">
        <v>24</v>
      </c>
      <c r="M664">
        <v>144</v>
      </c>
      <c r="N664">
        <v>17231000</v>
      </c>
      <c r="O664">
        <v>4300</v>
      </c>
      <c r="P664">
        <v>68900</v>
      </c>
      <c r="Q664">
        <v>51700</v>
      </c>
      <c r="R664">
        <v>827100</v>
      </c>
      <c r="S664">
        <v>100000</v>
      </c>
      <c r="T664">
        <v>2017</v>
      </c>
      <c r="U664" t="s">
        <v>1003</v>
      </c>
      <c r="V664">
        <v>16</v>
      </c>
      <c r="W664">
        <v>36.299999999999997</v>
      </c>
      <c r="X664">
        <v>270203917</v>
      </c>
      <c r="Y664">
        <v>4.6900000000000004</v>
      </c>
      <c r="Z664">
        <v>151509724</v>
      </c>
      <c r="AA664">
        <v>-0.78927499999999995</v>
      </c>
      <c r="AB664">
        <v>113.92132700000001</v>
      </c>
    </row>
    <row r="665" spans="1:28" x14ac:dyDescent="0.3">
      <c r="A665">
        <v>664</v>
      </c>
      <c r="B665" t="s">
        <v>834</v>
      </c>
      <c r="C665">
        <v>15100000</v>
      </c>
      <c r="D665">
        <v>2400037562</v>
      </c>
      <c r="E665" t="s">
        <v>1011</v>
      </c>
      <c r="F665" t="s">
        <v>1217</v>
      </c>
      <c r="G665">
        <v>159</v>
      </c>
      <c r="H665" t="s">
        <v>1218</v>
      </c>
      <c r="I665" t="s">
        <v>1219</v>
      </c>
      <c r="J665" t="s">
        <v>1002</v>
      </c>
      <c r="K665">
        <v>3889418</v>
      </c>
      <c r="L665">
        <v>504</v>
      </c>
      <c r="M665">
        <v>7615</v>
      </c>
      <c r="N665">
        <v>86</v>
      </c>
      <c r="O665">
        <v>0.02</v>
      </c>
      <c r="P665">
        <v>0.34</v>
      </c>
      <c r="Q665">
        <v>0.26</v>
      </c>
      <c r="R665">
        <v>4</v>
      </c>
      <c r="S665" t="s">
        <v>987</v>
      </c>
      <c r="T665">
        <v>2006</v>
      </c>
      <c r="U665" t="s">
        <v>980</v>
      </c>
      <c r="V665">
        <v>12</v>
      </c>
      <c r="W665" t="s">
        <v>987</v>
      </c>
      <c r="X665" t="s">
        <v>987</v>
      </c>
      <c r="Y665" t="s">
        <v>987</v>
      </c>
      <c r="Z665" t="s">
        <v>987</v>
      </c>
      <c r="AA665" t="s">
        <v>987</v>
      </c>
      <c r="AB665" t="s">
        <v>987</v>
      </c>
    </row>
    <row r="666" spans="1:28" x14ac:dyDescent="0.3">
      <c r="A666">
        <v>665</v>
      </c>
      <c r="B666" t="s">
        <v>709</v>
      </c>
      <c r="C666">
        <v>15100000</v>
      </c>
      <c r="D666">
        <v>1760131384</v>
      </c>
      <c r="E666" t="s">
        <v>994</v>
      </c>
      <c r="F666" t="s">
        <v>709</v>
      </c>
      <c r="G666">
        <v>533</v>
      </c>
      <c r="H666" t="s">
        <v>1045</v>
      </c>
      <c r="I666" t="s">
        <v>1046</v>
      </c>
      <c r="J666" t="s">
        <v>988</v>
      </c>
      <c r="K666">
        <v>5849</v>
      </c>
      <c r="L666">
        <v>7</v>
      </c>
      <c r="M666">
        <v>145</v>
      </c>
      <c r="N666">
        <v>12376000</v>
      </c>
      <c r="O666">
        <v>3100</v>
      </c>
      <c r="P666">
        <v>49500</v>
      </c>
      <c r="Q666">
        <v>37100</v>
      </c>
      <c r="R666">
        <v>594000</v>
      </c>
      <c r="S666" t="s">
        <v>987</v>
      </c>
      <c r="T666">
        <v>2008</v>
      </c>
      <c r="U666" t="s">
        <v>999</v>
      </c>
      <c r="V666">
        <v>27</v>
      </c>
      <c r="W666">
        <v>35.5</v>
      </c>
      <c r="X666">
        <v>108116615</v>
      </c>
      <c r="Y666">
        <v>2.15</v>
      </c>
      <c r="Z666">
        <v>50975903</v>
      </c>
      <c r="AA666">
        <v>12.879721</v>
      </c>
      <c r="AB666">
        <v>121.774017</v>
      </c>
    </row>
    <row r="667" spans="1:28" x14ac:dyDescent="0.3">
      <c r="A667">
        <v>666</v>
      </c>
      <c r="B667" t="s">
        <v>521</v>
      </c>
      <c r="C667">
        <v>15100000</v>
      </c>
      <c r="D667">
        <v>3060202847</v>
      </c>
      <c r="E667" t="s">
        <v>994</v>
      </c>
      <c r="F667" t="s">
        <v>521</v>
      </c>
      <c r="G667">
        <v>1037</v>
      </c>
      <c r="H667" t="s">
        <v>984</v>
      </c>
      <c r="I667" t="s">
        <v>985</v>
      </c>
      <c r="J667" t="s">
        <v>1002</v>
      </c>
      <c r="K667">
        <v>2796</v>
      </c>
      <c r="L667">
        <v>149</v>
      </c>
      <c r="M667">
        <v>43</v>
      </c>
      <c r="N667">
        <v>43409000</v>
      </c>
      <c r="O667">
        <v>10900</v>
      </c>
      <c r="P667">
        <v>173600</v>
      </c>
      <c r="Q667">
        <v>130200</v>
      </c>
      <c r="R667">
        <v>2100000</v>
      </c>
      <c r="S667">
        <v>200000</v>
      </c>
      <c r="T667">
        <v>2013</v>
      </c>
      <c r="U667" t="s">
        <v>1003</v>
      </c>
      <c r="V667">
        <v>12</v>
      </c>
      <c r="W667">
        <v>88.2</v>
      </c>
      <c r="X667">
        <v>328239523</v>
      </c>
      <c r="Y667">
        <v>14.7</v>
      </c>
      <c r="Z667">
        <v>270663028</v>
      </c>
      <c r="AA667">
        <v>37.090240000000001</v>
      </c>
      <c r="AB667">
        <v>-95.712890999999999</v>
      </c>
    </row>
    <row r="668" spans="1:28" x14ac:dyDescent="0.3">
      <c r="A668">
        <v>667</v>
      </c>
      <c r="B668" t="s">
        <v>713</v>
      </c>
      <c r="C668">
        <v>15100000</v>
      </c>
      <c r="D668">
        <v>2761547758</v>
      </c>
      <c r="E668" t="s">
        <v>1011</v>
      </c>
      <c r="F668" t="s">
        <v>713</v>
      </c>
      <c r="G668">
        <v>2618</v>
      </c>
      <c r="H668" t="s">
        <v>984</v>
      </c>
      <c r="I668" t="s">
        <v>985</v>
      </c>
      <c r="J668" t="s">
        <v>988</v>
      </c>
      <c r="K668">
        <v>3241</v>
      </c>
      <c r="L668">
        <v>150</v>
      </c>
      <c r="M668">
        <v>145</v>
      </c>
      <c r="N668">
        <v>11956000</v>
      </c>
      <c r="O668">
        <v>3000</v>
      </c>
      <c r="P668">
        <v>47800</v>
      </c>
      <c r="Q668">
        <v>35900</v>
      </c>
      <c r="R668">
        <v>573900</v>
      </c>
      <c r="S668" t="s">
        <v>987</v>
      </c>
      <c r="T668">
        <v>2010</v>
      </c>
      <c r="U668" t="s">
        <v>1003</v>
      </c>
      <c r="V668">
        <v>6</v>
      </c>
      <c r="W668">
        <v>88.2</v>
      </c>
      <c r="X668">
        <v>328239523</v>
      </c>
      <c r="Y668">
        <v>14.7</v>
      </c>
      <c r="Z668">
        <v>270663028</v>
      </c>
      <c r="AA668">
        <v>37.090240000000001</v>
      </c>
      <c r="AB668">
        <v>-95.712890999999999</v>
      </c>
    </row>
    <row r="669" spans="1:28" x14ac:dyDescent="0.3">
      <c r="A669">
        <v>668</v>
      </c>
      <c r="B669" t="s">
        <v>751</v>
      </c>
      <c r="C669">
        <v>15100000</v>
      </c>
      <c r="D669">
        <v>4236036141</v>
      </c>
      <c r="E669" t="s">
        <v>996</v>
      </c>
      <c r="F669" t="s">
        <v>751</v>
      </c>
      <c r="G669">
        <v>2997</v>
      </c>
      <c r="H669" t="s">
        <v>1065</v>
      </c>
      <c r="I669" t="s">
        <v>1066</v>
      </c>
      <c r="J669" t="s">
        <v>988</v>
      </c>
      <c r="K669">
        <v>1760</v>
      </c>
      <c r="L669">
        <v>12</v>
      </c>
      <c r="M669">
        <v>145</v>
      </c>
      <c r="N669">
        <v>5972000</v>
      </c>
      <c r="O669">
        <v>1500</v>
      </c>
      <c r="P669">
        <v>23900</v>
      </c>
      <c r="Q669">
        <v>17900</v>
      </c>
      <c r="R669">
        <v>286600</v>
      </c>
      <c r="S669" t="s">
        <v>987</v>
      </c>
      <c r="T669">
        <v>2013</v>
      </c>
      <c r="U669" t="s">
        <v>989</v>
      </c>
      <c r="V669">
        <v>12</v>
      </c>
      <c r="W669">
        <v>88.9</v>
      </c>
      <c r="X669">
        <v>47076781</v>
      </c>
      <c r="Y669">
        <v>13.96</v>
      </c>
      <c r="Z669">
        <v>37927409</v>
      </c>
      <c r="AA669">
        <v>40.463667000000001</v>
      </c>
      <c r="AB669">
        <v>-3.7492200000000002</v>
      </c>
    </row>
    <row r="670" spans="1:28" x14ac:dyDescent="0.3">
      <c r="A670">
        <v>669</v>
      </c>
      <c r="B670" t="s">
        <v>920</v>
      </c>
      <c r="C670">
        <v>15100000</v>
      </c>
      <c r="D670">
        <v>4967784343</v>
      </c>
      <c r="E670" t="s">
        <v>994</v>
      </c>
      <c r="F670" t="s">
        <v>1220</v>
      </c>
      <c r="G670">
        <v>1</v>
      </c>
      <c r="H670" t="s">
        <v>987</v>
      </c>
      <c r="I670" t="s">
        <v>987</v>
      </c>
      <c r="J670" t="s">
        <v>1002</v>
      </c>
      <c r="K670">
        <v>4057925</v>
      </c>
      <c r="L670" t="s">
        <v>987</v>
      </c>
      <c r="M670">
        <v>7694</v>
      </c>
      <c r="N670" t="s">
        <v>987</v>
      </c>
      <c r="O670">
        <v>0</v>
      </c>
      <c r="P670">
        <v>0</v>
      </c>
      <c r="Q670">
        <v>0</v>
      </c>
      <c r="R670">
        <v>0</v>
      </c>
      <c r="S670" t="s">
        <v>987</v>
      </c>
      <c r="T670">
        <v>2021</v>
      </c>
      <c r="U670" t="s">
        <v>980</v>
      </c>
      <c r="V670">
        <v>16</v>
      </c>
      <c r="W670" t="s">
        <v>987</v>
      </c>
      <c r="X670" t="s">
        <v>987</v>
      </c>
      <c r="Y670" t="s">
        <v>987</v>
      </c>
      <c r="Z670" t="s">
        <v>987</v>
      </c>
      <c r="AA670" t="s">
        <v>987</v>
      </c>
      <c r="AB670" t="s">
        <v>987</v>
      </c>
    </row>
    <row r="671" spans="1:28" x14ac:dyDescent="0.3">
      <c r="A671">
        <v>670</v>
      </c>
      <c r="B671" t="s">
        <v>514</v>
      </c>
      <c r="C671">
        <v>15100000</v>
      </c>
      <c r="D671">
        <v>5324913850</v>
      </c>
      <c r="E671" t="s">
        <v>994</v>
      </c>
      <c r="F671" t="s">
        <v>514</v>
      </c>
      <c r="G671">
        <v>753</v>
      </c>
      <c r="H671" t="s">
        <v>1214</v>
      </c>
      <c r="I671" t="s">
        <v>1215</v>
      </c>
      <c r="J671" t="s">
        <v>988</v>
      </c>
      <c r="K671">
        <v>1242</v>
      </c>
      <c r="L671">
        <v>2</v>
      </c>
      <c r="M671">
        <v>145</v>
      </c>
      <c r="N671">
        <v>46060000</v>
      </c>
      <c r="O671">
        <v>11500</v>
      </c>
      <c r="P671">
        <v>184200</v>
      </c>
      <c r="Q671">
        <v>138200</v>
      </c>
      <c r="R671">
        <v>2200000</v>
      </c>
      <c r="S671">
        <v>100000</v>
      </c>
      <c r="T671">
        <v>2014</v>
      </c>
      <c r="U671" t="s">
        <v>1025</v>
      </c>
      <c r="V671">
        <v>31</v>
      </c>
      <c r="W671">
        <v>35.200000000000003</v>
      </c>
      <c r="X671">
        <v>100388073</v>
      </c>
      <c r="Y671">
        <v>10.76</v>
      </c>
      <c r="Z671">
        <v>42895824</v>
      </c>
      <c r="AA671">
        <v>26.820553</v>
      </c>
      <c r="AB671">
        <v>30.802498</v>
      </c>
    </row>
    <row r="672" spans="1:28" x14ac:dyDescent="0.3">
      <c r="A672">
        <v>671</v>
      </c>
      <c r="B672" t="s">
        <v>362</v>
      </c>
      <c r="C672">
        <v>15100000</v>
      </c>
      <c r="D672">
        <v>6668507856</v>
      </c>
      <c r="E672" t="s">
        <v>996</v>
      </c>
      <c r="F672" t="s">
        <v>362</v>
      </c>
      <c r="G672">
        <v>3733</v>
      </c>
      <c r="H672" t="s">
        <v>1000</v>
      </c>
      <c r="I672" t="s">
        <v>1001</v>
      </c>
      <c r="J672" t="s">
        <v>986</v>
      </c>
      <c r="K672">
        <v>894</v>
      </c>
      <c r="L672">
        <v>10</v>
      </c>
      <c r="M672">
        <v>47</v>
      </c>
      <c r="N672">
        <v>95603000</v>
      </c>
      <c r="O672">
        <v>23900</v>
      </c>
      <c r="P672">
        <v>382400</v>
      </c>
      <c r="Q672">
        <v>286800</v>
      </c>
      <c r="R672">
        <v>4600000</v>
      </c>
      <c r="S672">
        <v>100000</v>
      </c>
      <c r="T672">
        <v>2013</v>
      </c>
      <c r="U672" t="s">
        <v>1008</v>
      </c>
      <c r="V672">
        <v>24</v>
      </c>
      <c r="W672">
        <v>81.900000000000006</v>
      </c>
      <c r="X672">
        <v>144373535</v>
      </c>
      <c r="Y672">
        <v>4.59</v>
      </c>
      <c r="Z672">
        <v>107683889</v>
      </c>
      <c r="AA672">
        <v>61.524009999999997</v>
      </c>
      <c r="AB672">
        <v>105.31875599999999</v>
      </c>
    </row>
    <row r="673" spans="1:28" x14ac:dyDescent="0.3">
      <c r="A673">
        <v>672</v>
      </c>
      <c r="B673" t="s">
        <v>541</v>
      </c>
      <c r="C673">
        <v>15100000</v>
      </c>
      <c r="D673">
        <v>7857371770</v>
      </c>
      <c r="E673" t="s">
        <v>977</v>
      </c>
      <c r="F673" t="s">
        <v>541</v>
      </c>
      <c r="G673">
        <v>776</v>
      </c>
      <c r="H673" t="s">
        <v>1006</v>
      </c>
      <c r="I673" t="s">
        <v>1007</v>
      </c>
      <c r="J673" t="s">
        <v>977</v>
      </c>
      <c r="K673">
        <v>680</v>
      </c>
      <c r="L673">
        <v>13</v>
      </c>
      <c r="M673">
        <v>127</v>
      </c>
      <c r="N673">
        <v>40806000</v>
      </c>
      <c r="O673">
        <v>10200</v>
      </c>
      <c r="P673">
        <v>163200</v>
      </c>
      <c r="Q673">
        <v>122400</v>
      </c>
      <c r="R673">
        <v>2000000</v>
      </c>
      <c r="S673" t="s">
        <v>987</v>
      </c>
      <c r="T673">
        <v>2005</v>
      </c>
      <c r="U673" t="s">
        <v>1025</v>
      </c>
      <c r="V673">
        <v>10</v>
      </c>
      <c r="W673">
        <v>94.3</v>
      </c>
      <c r="X673">
        <v>51709098</v>
      </c>
      <c r="Y673">
        <v>4.1500000000000004</v>
      </c>
      <c r="Z673">
        <v>42106719</v>
      </c>
      <c r="AA673">
        <v>35.907756999999997</v>
      </c>
      <c r="AB673">
        <v>127.76692199999999</v>
      </c>
    </row>
    <row r="674" spans="1:28" x14ac:dyDescent="0.3">
      <c r="A674">
        <v>673</v>
      </c>
      <c r="B674" t="s">
        <v>56</v>
      </c>
      <c r="C674">
        <v>15100000</v>
      </c>
      <c r="D674">
        <v>9477021288</v>
      </c>
      <c r="E674" t="s">
        <v>1044</v>
      </c>
      <c r="F674" t="s">
        <v>56</v>
      </c>
      <c r="G674">
        <v>921</v>
      </c>
      <c r="H674" t="s">
        <v>1023</v>
      </c>
      <c r="I674" t="s">
        <v>1024</v>
      </c>
      <c r="J674" t="s">
        <v>1044</v>
      </c>
      <c r="K674">
        <v>491</v>
      </c>
      <c r="L674">
        <v>13</v>
      </c>
      <c r="M674">
        <v>28</v>
      </c>
      <c r="N674">
        <v>512343000</v>
      </c>
      <c r="O674">
        <v>128100</v>
      </c>
      <c r="P674">
        <v>2000000</v>
      </c>
      <c r="Q674">
        <v>1500000</v>
      </c>
      <c r="R674">
        <v>24600000</v>
      </c>
      <c r="S674">
        <v>700000</v>
      </c>
      <c r="T674">
        <v>2016</v>
      </c>
      <c r="U674" t="s">
        <v>1010</v>
      </c>
      <c r="V674">
        <v>2</v>
      </c>
      <c r="W674">
        <v>90</v>
      </c>
      <c r="X674">
        <v>44938712</v>
      </c>
      <c r="Y674">
        <v>9.7899999999999991</v>
      </c>
      <c r="Z674">
        <v>41339571</v>
      </c>
      <c r="AA674">
        <v>-38.416097000000001</v>
      </c>
      <c r="AB674">
        <v>-63.616672000000001</v>
      </c>
    </row>
    <row r="675" spans="1:28" x14ac:dyDescent="0.3">
      <c r="A675">
        <v>674</v>
      </c>
      <c r="B675" t="s">
        <v>207</v>
      </c>
      <c r="C675">
        <v>15100000</v>
      </c>
      <c r="D675">
        <v>10489367372</v>
      </c>
      <c r="E675" t="s">
        <v>1026</v>
      </c>
      <c r="F675" t="s">
        <v>207</v>
      </c>
      <c r="G675">
        <v>209520</v>
      </c>
      <c r="H675" t="s">
        <v>1045</v>
      </c>
      <c r="I675" t="s">
        <v>1046</v>
      </c>
      <c r="J675" t="s">
        <v>1027</v>
      </c>
      <c r="K675">
        <v>404</v>
      </c>
      <c r="L675">
        <v>7</v>
      </c>
      <c r="M675">
        <v>17</v>
      </c>
      <c r="N675">
        <v>181644000</v>
      </c>
      <c r="O675">
        <v>45400</v>
      </c>
      <c r="P675">
        <v>726600</v>
      </c>
      <c r="Q675">
        <v>544900</v>
      </c>
      <c r="R675">
        <v>8700000</v>
      </c>
      <c r="S675">
        <v>100000</v>
      </c>
      <c r="T675">
        <v>2009</v>
      </c>
      <c r="U675" t="s">
        <v>1025</v>
      </c>
      <c r="V675">
        <v>22</v>
      </c>
      <c r="W675">
        <v>35.5</v>
      </c>
      <c r="X675">
        <v>108116615</v>
      </c>
      <c r="Y675">
        <v>2.15</v>
      </c>
      <c r="Z675">
        <v>50975903</v>
      </c>
      <c r="AA675">
        <v>12.879721</v>
      </c>
      <c r="AB675">
        <v>121.774017</v>
      </c>
    </row>
    <row r="676" spans="1:28" x14ac:dyDescent="0.3">
      <c r="A676">
        <v>675</v>
      </c>
      <c r="B676" t="s">
        <v>38</v>
      </c>
      <c r="C676">
        <v>15100000</v>
      </c>
      <c r="D676">
        <v>13897932103</v>
      </c>
      <c r="E676" t="s">
        <v>988</v>
      </c>
      <c r="F676" t="s">
        <v>38</v>
      </c>
      <c r="G676">
        <v>2717</v>
      </c>
      <c r="H676" t="s">
        <v>1000</v>
      </c>
      <c r="I676" t="s">
        <v>1001</v>
      </c>
      <c r="J676" t="s">
        <v>988</v>
      </c>
      <c r="K676">
        <v>256</v>
      </c>
      <c r="L676">
        <v>9</v>
      </c>
      <c r="M676">
        <v>143</v>
      </c>
      <c r="N676">
        <v>713509000</v>
      </c>
      <c r="O676">
        <v>178400</v>
      </c>
      <c r="P676">
        <v>2900000</v>
      </c>
      <c r="Q676">
        <v>2100000</v>
      </c>
      <c r="R676">
        <v>34200000</v>
      </c>
      <c r="S676">
        <v>700000</v>
      </c>
      <c r="T676">
        <v>2020</v>
      </c>
      <c r="U676" t="s">
        <v>1003</v>
      </c>
      <c r="V676">
        <v>24</v>
      </c>
      <c r="W676">
        <v>81.900000000000006</v>
      </c>
      <c r="X676">
        <v>144373535</v>
      </c>
      <c r="Y676">
        <v>4.59</v>
      </c>
      <c r="Z676">
        <v>107683889</v>
      </c>
      <c r="AA676">
        <v>61.524009999999997</v>
      </c>
      <c r="AB676">
        <v>105.31875599999999</v>
      </c>
    </row>
    <row r="677" spans="1:28" x14ac:dyDescent="0.3">
      <c r="A677">
        <v>676</v>
      </c>
      <c r="B677" t="s">
        <v>391</v>
      </c>
      <c r="C677">
        <v>15100000</v>
      </c>
      <c r="D677">
        <v>12413869881</v>
      </c>
      <c r="E677" t="s">
        <v>977</v>
      </c>
      <c r="F677" t="s">
        <v>391</v>
      </c>
      <c r="G677">
        <v>52</v>
      </c>
      <c r="H677" t="s">
        <v>1013</v>
      </c>
      <c r="I677" t="s">
        <v>1014</v>
      </c>
      <c r="J677" t="s">
        <v>977</v>
      </c>
      <c r="K677">
        <v>309</v>
      </c>
      <c r="L677">
        <v>25</v>
      </c>
      <c r="M677">
        <v>127</v>
      </c>
      <c r="N677">
        <v>84750000</v>
      </c>
      <c r="O677">
        <v>21200</v>
      </c>
      <c r="P677">
        <v>339000</v>
      </c>
      <c r="Q677">
        <v>254300</v>
      </c>
      <c r="R677">
        <v>4100000</v>
      </c>
      <c r="S677">
        <v>100000</v>
      </c>
      <c r="T677">
        <v>2009</v>
      </c>
      <c r="U677" t="s">
        <v>1025</v>
      </c>
      <c r="V677">
        <v>15</v>
      </c>
      <c r="W677">
        <v>60</v>
      </c>
      <c r="X677">
        <v>66834405</v>
      </c>
      <c r="Y677">
        <v>3.85</v>
      </c>
      <c r="Z677">
        <v>55908316</v>
      </c>
      <c r="AA677">
        <v>55.378050999999999</v>
      </c>
      <c r="AB677">
        <v>-3.4359730000000002</v>
      </c>
    </row>
    <row r="678" spans="1:28" x14ac:dyDescent="0.3">
      <c r="A678">
        <v>677</v>
      </c>
      <c r="B678" t="s">
        <v>152</v>
      </c>
      <c r="C678">
        <v>15000000</v>
      </c>
      <c r="D678">
        <v>4352427049</v>
      </c>
      <c r="E678" t="s">
        <v>996</v>
      </c>
      <c r="F678" t="s">
        <v>152</v>
      </c>
      <c r="G678">
        <v>2324</v>
      </c>
      <c r="H678" t="s">
        <v>1013</v>
      </c>
      <c r="I678" t="s">
        <v>1014</v>
      </c>
      <c r="J678" t="s">
        <v>986</v>
      </c>
      <c r="K678">
        <v>1663</v>
      </c>
      <c r="L678">
        <v>25</v>
      </c>
      <c r="M678">
        <v>47</v>
      </c>
      <c r="N678">
        <v>250995000</v>
      </c>
      <c r="O678">
        <v>62700</v>
      </c>
      <c r="P678">
        <v>1000000</v>
      </c>
      <c r="Q678">
        <v>753000</v>
      </c>
      <c r="R678">
        <v>12000000</v>
      </c>
      <c r="S678">
        <v>600000</v>
      </c>
      <c r="T678">
        <v>2013</v>
      </c>
      <c r="U678" t="s">
        <v>995</v>
      </c>
      <c r="V678">
        <v>6</v>
      </c>
      <c r="W678">
        <v>60</v>
      </c>
      <c r="X678">
        <v>66834405</v>
      </c>
      <c r="Y678">
        <v>3.85</v>
      </c>
      <c r="Z678">
        <v>55908316</v>
      </c>
      <c r="AA678">
        <v>55.378050999999999</v>
      </c>
      <c r="AB678">
        <v>-3.4359730000000002</v>
      </c>
    </row>
    <row r="679" spans="1:28" x14ac:dyDescent="0.3">
      <c r="A679">
        <v>678</v>
      </c>
      <c r="B679" t="s">
        <v>305</v>
      </c>
      <c r="C679">
        <v>15000000</v>
      </c>
      <c r="D679">
        <v>9924103188</v>
      </c>
      <c r="E679" t="s">
        <v>994</v>
      </c>
      <c r="F679" t="s">
        <v>305</v>
      </c>
      <c r="G679">
        <v>899</v>
      </c>
      <c r="H679" t="s">
        <v>978</v>
      </c>
      <c r="I679" t="s">
        <v>979</v>
      </c>
      <c r="J679" t="s">
        <v>1002</v>
      </c>
      <c r="K679">
        <v>457</v>
      </c>
      <c r="L679">
        <v>104</v>
      </c>
      <c r="M679">
        <v>45</v>
      </c>
      <c r="N679">
        <v>113572000</v>
      </c>
      <c r="O679">
        <v>28400</v>
      </c>
      <c r="P679">
        <v>454300</v>
      </c>
      <c r="Q679">
        <v>340700</v>
      </c>
      <c r="R679">
        <v>5500000</v>
      </c>
      <c r="S679">
        <v>400000</v>
      </c>
      <c r="T679">
        <v>2014</v>
      </c>
      <c r="U679" t="s">
        <v>1010</v>
      </c>
      <c r="V679">
        <v>17</v>
      </c>
      <c r="W679">
        <v>28.1</v>
      </c>
      <c r="X679">
        <v>1366417754</v>
      </c>
      <c r="Y679">
        <v>5.36</v>
      </c>
      <c r="Z679">
        <v>471031528</v>
      </c>
      <c r="AA679">
        <v>20.593684</v>
      </c>
      <c r="AB679">
        <v>78.962879999999998</v>
      </c>
    </row>
    <row r="680" spans="1:28" x14ac:dyDescent="0.3">
      <c r="A680">
        <v>679</v>
      </c>
      <c r="B680" t="s">
        <v>251</v>
      </c>
      <c r="C680">
        <v>15000000</v>
      </c>
      <c r="D680">
        <v>8897705695</v>
      </c>
      <c r="E680" t="s">
        <v>988</v>
      </c>
      <c r="F680" t="s">
        <v>1221</v>
      </c>
      <c r="G680">
        <v>795</v>
      </c>
      <c r="H680" t="s">
        <v>1019</v>
      </c>
      <c r="I680" t="s">
        <v>1020</v>
      </c>
      <c r="J680" t="s">
        <v>990</v>
      </c>
      <c r="K680">
        <v>548</v>
      </c>
      <c r="L680">
        <v>36</v>
      </c>
      <c r="M680">
        <v>34</v>
      </c>
      <c r="N680">
        <v>145478000</v>
      </c>
      <c r="O680">
        <v>36400</v>
      </c>
      <c r="P680">
        <v>581900</v>
      </c>
      <c r="Q680">
        <v>436400</v>
      </c>
      <c r="R680">
        <v>7000000</v>
      </c>
      <c r="S680" t="s">
        <v>987</v>
      </c>
      <c r="T680">
        <v>2018</v>
      </c>
      <c r="U680" t="s">
        <v>1003</v>
      </c>
      <c r="V680">
        <v>26</v>
      </c>
      <c r="W680">
        <v>51.3</v>
      </c>
      <c r="X680">
        <v>212559417</v>
      </c>
      <c r="Y680">
        <v>12.08</v>
      </c>
      <c r="Z680">
        <v>183241641</v>
      </c>
      <c r="AA680">
        <v>-14.235004</v>
      </c>
      <c r="AB680">
        <v>-51.925280000000001</v>
      </c>
    </row>
    <row r="681" spans="1:28" x14ac:dyDescent="0.3">
      <c r="A681">
        <v>680</v>
      </c>
      <c r="B681" t="s">
        <v>531</v>
      </c>
      <c r="C681">
        <v>15000000</v>
      </c>
      <c r="D681">
        <v>7159750970</v>
      </c>
      <c r="E681" t="s">
        <v>996</v>
      </c>
      <c r="F681" t="s">
        <v>531</v>
      </c>
      <c r="G681">
        <v>1362</v>
      </c>
      <c r="H681" t="s">
        <v>984</v>
      </c>
      <c r="I681" t="s">
        <v>985</v>
      </c>
      <c r="J681" t="s">
        <v>986</v>
      </c>
      <c r="K681">
        <v>805</v>
      </c>
      <c r="L681">
        <v>151</v>
      </c>
      <c r="M681">
        <v>48</v>
      </c>
      <c r="N681">
        <v>43133000</v>
      </c>
      <c r="O681">
        <v>10800</v>
      </c>
      <c r="P681">
        <v>172500</v>
      </c>
      <c r="Q681">
        <v>129400</v>
      </c>
      <c r="R681">
        <v>2100000</v>
      </c>
      <c r="S681" t="s">
        <v>987</v>
      </c>
      <c r="T681">
        <v>2009</v>
      </c>
      <c r="U681" t="s">
        <v>989</v>
      </c>
      <c r="V681">
        <v>9</v>
      </c>
      <c r="W681">
        <v>88.2</v>
      </c>
      <c r="X681">
        <v>328239523</v>
      </c>
      <c r="Y681">
        <v>14.7</v>
      </c>
      <c r="Z681">
        <v>270663028</v>
      </c>
      <c r="AA681">
        <v>37.090240000000001</v>
      </c>
      <c r="AB681">
        <v>-95.712890999999999</v>
      </c>
    </row>
    <row r="682" spans="1:28" x14ac:dyDescent="0.3">
      <c r="A682">
        <v>681</v>
      </c>
      <c r="B682" t="s">
        <v>882</v>
      </c>
      <c r="C682">
        <v>15000000</v>
      </c>
      <c r="D682">
        <v>2730879024</v>
      </c>
      <c r="E682" t="s">
        <v>990</v>
      </c>
      <c r="F682" t="s">
        <v>1222</v>
      </c>
      <c r="G682">
        <v>0</v>
      </c>
      <c r="H682" t="s">
        <v>984</v>
      </c>
      <c r="I682" t="s">
        <v>985</v>
      </c>
      <c r="J682" t="s">
        <v>986</v>
      </c>
      <c r="K682">
        <v>4057944</v>
      </c>
      <c r="L682">
        <v>7692</v>
      </c>
      <c r="M682">
        <v>7445</v>
      </c>
      <c r="N682" t="s">
        <v>987</v>
      </c>
      <c r="O682">
        <v>0</v>
      </c>
      <c r="P682">
        <v>0</v>
      </c>
      <c r="Q682">
        <v>0</v>
      </c>
      <c r="R682">
        <v>0</v>
      </c>
      <c r="S682" t="s">
        <v>987</v>
      </c>
      <c r="T682">
        <v>2006</v>
      </c>
      <c r="U682" t="s">
        <v>995</v>
      </c>
      <c r="V682">
        <v>25</v>
      </c>
      <c r="W682">
        <v>88.2</v>
      </c>
      <c r="X682">
        <v>328239523</v>
      </c>
      <c r="Y682">
        <v>14.7</v>
      </c>
      <c r="Z682">
        <v>270663028</v>
      </c>
      <c r="AA682">
        <v>37.090240000000001</v>
      </c>
      <c r="AB682">
        <v>-95.712890999999999</v>
      </c>
    </row>
    <row r="683" spans="1:28" x14ac:dyDescent="0.3">
      <c r="A683">
        <v>682</v>
      </c>
      <c r="B683" t="s">
        <v>575</v>
      </c>
      <c r="C683">
        <v>15000000</v>
      </c>
      <c r="D683">
        <v>4008801873</v>
      </c>
      <c r="E683" t="s">
        <v>988</v>
      </c>
      <c r="F683" t="s">
        <v>575</v>
      </c>
      <c r="G683">
        <v>724</v>
      </c>
      <c r="H683" t="s">
        <v>1058</v>
      </c>
      <c r="I683" t="s">
        <v>1059</v>
      </c>
      <c r="J683" t="s">
        <v>988</v>
      </c>
      <c r="K683">
        <v>1907</v>
      </c>
      <c r="L683">
        <v>26</v>
      </c>
      <c r="M683">
        <v>146</v>
      </c>
      <c r="N683">
        <v>33880000</v>
      </c>
      <c r="O683">
        <v>8500</v>
      </c>
      <c r="P683">
        <v>135500</v>
      </c>
      <c r="Q683">
        <v>101600</v>
      </c>
      <c r="R683">
        <v>1600000</v>
      </c>
      <c r="S683">
        <v>100000</v>
      </c>
      <c r="T683">
        <v>2014</v>
      </c>
      <c r="U683" t="s">
        <v>1029</v>
      </c>
      <c r="V683">
        <v>17</v>
      </c>
      <c r="W683">
        <v>40.200000000000003</v>
      </c>
      <c r="X683">
        <v>126014024</v>
      </c>
      <c r="Y683">
        <v>3.42</v>
      </c>
      <c r="Z683">
        <v>102626859</v>
      </c>
      <c r="AA683">
        <v>23.634501</v>
      </c>
      <c r="AB683">
        <v>-102.552784</v>
      </c>
    </row>
    <row r="684" spans="1:28" x14ac:dyDescent="0.3">
      <c r="A684">
        <v>683</v>
      </c>
      <c r="B684" t="s">
        <v>536</v>
      </c>
      <c r="C684">
        <v>15000000</v>
      </c>
      <c r="D684">
        <v>4741434420</v>
      </c>
      <c r="E684" t="s">
        <v>996</v>
      </c>
      <c r="F684" t="s">
        <v>536</v>
      </c>
      <c r="G684">
        <v>20292</v>
      </c>
      <c r="H684" t="s">
        <v>984</v>
      </c>
      <c r="I684" t="s">
        <v>985</v>
      </c>
      <c r="J684" t="s">
        <v>986</v>
      </c>
      <c r="K684">
        <v>1469</v>
      </c>
      <c r="L684">
        <v>151</v>
      </c>
      <c r="M684">
        <v>48</v>
      </c>
      <c r="N684">
        <v>41789000</v>
      </c>
      <c r="O684">
        <v>10400</v>
      </c>
      <c r="P684">
        <v>167200</v>
      </c>
      <c r="Q684">
        <v>125400</v>
      </c>
      <c r="R684">
        <v>2000000</v>
      </c>
      <c r="S684">
        <v>100000</v>
      </c>
      <c r="T684">
        <v>2005</v>
      </c>
      <c r="U684" t="s">
        <v>1005</v>
      </c>
      <c r="V684">
        <v>16</v>
      </c>
      <c r="W684">
        <v>88.2</v>
      </c>
      <c r="X684">
        <v>328239523</v>
      </c>
      <c r="Y684">
        <v>14.7</v>
      </c>
      <c r="Z684">
        <v>270663028</v>
      </c>
      <c r="AA684">
        <v>37.090240000000001</v>
      </c>
      <c r="AB684">
        <v>-95.712890999999999</v>
      </c>
    </row>
    <row r="685" spans="1:28" x14ac:dyDescent="0.3">
      <c r="A685">
        <v>684</v>
      </c>
      <c r="B685" t="s">
        <v>601</v>
      </c>
      <c r="C685">
        <v>15000000</v>
      </c>
      <c r="D685">
        <v>6889304306</v>
      </c>
      <c r="E685" t="s">
        <v>996</v>
      </c>
      <c r="F685" t="s">
        <v>601</v>
      </c>
      <c r="G685">
        <v>5198</v>
      </c>
      <c r="H685" t="s">
        <v>984</v>
      </c>
      <c r="I685" t="s">
        <v>985</v>
      </c>
      <c r="J685" t="s">
        <v>1022</v>
      </c>
      <c r="K685">
        <v>857</v>
      </c>
      <c r="L685">
        <v>151</v>
      </c>
      <c r="M685">
        <v>37</v>
      </c>
      <c r="N685">
        <v>29724000</v>
      </c>
      <c r="O685">
        <v>7400</v>
      </c>
      <c r="P685">
        <v>118900</v>
      </c>
      <c r="Q685">
        <v>89200</v>
      </c>
      <c r="R685">
        <v>1400000</v>
      </c>
      <c r="S685">
        <v>100000</v>
      </c>
      <c r="T685">
        <v>2008</v>
      </c>
      <c r="U685" t="s">
        <v>999</v>
      </c>
      <c r="V685">
        <v>2</v>
      </c>
      <c r="W685">
        <v>88.2</v>
      </c>
      <c r="X685">
        <v>328239523</v>
      </c>
      <c r="Y685">
        <v>14.7</v>
      </c>
      <c r="Z685">
        <v>270663028</v>
      </c>
      <c r="AA685">
        <v>37.090240000000001</v>
      </c>
      <c r="AB685">
        <v>-95.712890999999999</v>
      </c>
    </row>
    <row r="686" spans="1:28" x14ac:dyDescent="0.3">
      <c r="A686">
        <v>685</v>
      </c>
      <c r="B686" t="s">
        <v>817</v>
      </c>
      <c r="C686">
        <v>15000000</v>
      </c>
      <c r="D686">
        <v>7536093065</v>
      </c>
      <c r="E686" t="s">
        <v>1026</v>
      </c>
      <c r="F686" t="s">
        <v>1223</v>
      </c>
      <c r="G686">
        <v>206</v>
      </c>
      <c r="H686" t="s">
        <v>978</v>
      </c>
      <c r="I686" t="s">
        <v>979</v>
      </c>
      <c r="J686" t="s">
        <v>1027</v>
      </c>
      <c r="K686">
        <v>1145576</v>
      </c>
      <c r="L686">
        <v>2573</v>
      </c>
      <c r="M686">
        <v>1992</v>
      </c>
      <c r="N686">
        <v>998</v>
      </c>
      <c r="O686">
        <v>0.25</v>
      </c>
      <c r="P686">
        <v>4</v>
      </c>
      <c r="Q686">
        <v>3</v>
      </c>
      <c r="R686">
        <v>48</v>
      </c>
      <c r="S686" t="s">
        <v>987</v>
      </c>
      <c r="T686">
        <v>2018</v>
      </c>
      <c r="U686" t="s">
        <v>1010</v>
      </c>
      <c r="V686">
        <v>16</v>
      </c>
      <c r="W686">
        <v>28.1</v>
      </c>
      <c r="X686">
        <v>1366417754</v>
      </c>
      <c r="Y686">
        <v>5.36</v>
      </c>
      <c r="Z686">
        <v>471031528</v>
      </c>
      <c r="AA686">
        <v>20.593684</v>
      </c>
      <c r="AB686">
        <v>78.962879999999998</v>
      </c>
    </row>
    <row r="687" spans="1:28" x14ac:dyDescent="0.3">
      <c r="A687">
        <v>686</v>
      </c>
      <c r="B687" t="s">
        <v>335</v>
      </c>
      <c r="C687">
        <v>15000000</v>
      </c>
      <c r="D687">
        <v>8658553456</v>
      </c>
      <c r="E687" t="s">
        <v>988</v>
      </c>
      <c r="F687" t="s">
        <v>335</v>
      </c>
      <c r="G687">
        <v>965</v>
      </c>
      <c r="H687" t="s">
        <v>978</v>
      </c>
      <c r="I687" t="s">
        <v>979</v>
      </c>
      <c r="J687" t="s">
        <v>988</v>
      </c>
      <c r="K687">
        <v>577</v>
      </c>
      <c r="L687">
        <v>103</v>
      </c>
      <c r="M687">
        <v>145</v>
      </c>
      <c r="N687">
        <v>102357000</v>
      </c>
      <c r="O687">
        <v>25600</v>
      </c>
      <c r="P687">
        <v>409400</v>
      </c>
      <c r="Q687">
        <v>307100</v>
      </c>
      <c r="R687">
        <v>4900000</v>
      </c>
      <c r="S687">
        <v>200000</v>
      </c>
      <c r="T687">
        <v>2016</v>
      </c>
      <c r="U687" t="s">
        <v>1025</v>
      </c>
      <c r="V687">
        <v>9</v>
      </c>
      <c r="W687">
        <v>28.1</v>
      </c>
      <c r="X687">
        <v>1366417754</v>
      </c>
      <c r="Y687">
        <v>5.36</v>
      </c>
      <c r="Z687">
        <v>471031528</v>
      </c>
      <c r="AA687">
        <v>20.593684</v>
      </c>
      <c r="AB687">
        <v>78.962879999999998</v>
      </c>
    </row>
    <row r="688" spans="1:28" x14ac:dyDescent="0.3">
      <c r="A688">
        <v>687</v>
      </c>
      <c r="B688" t="s">
        <v>156</v>
      </c>
      <c r="C688">
        <v>15000000</v>
      </c>
      <c r="D688">
        <v>9978734160</v>
      </c>
      <c r="E688" t="s">
        <v>977</v>
      </c>
      <c r="F688" t="s">
        <v>156</v>
      </c>
      <c r="G688">
        <v>2726</v>
      </c>
      <c r="H688" t="s">
        <v>978</v>
      </c>
      <c r="I688" t="s">
        <v>979</v>
      </c>
      <c r="J688" t="s">
        <v>977</v>
      </c>
      <c r="K688">
        <v>439</v>
      </c>
      <c r="L688">
        <v>103</v>
      </c>
      <c r="M688">
        <v>127</v>
      </c>
      <c r="N688">
        <v>242185000</v>
      </c>
      <c r="O688">
        <v>60500</v>
      </c>
      <c r="P688">
        <v>968700</v>
      </c>
      <c r="Q688">
        <v>726600</v>
      </c>
      <c r="R688">
        <v>11600000</v>
      </c>
      <c r="S688">
        <v>300000</v>
      </c>
      <c r="T688">
        <v>2014</v>
      </c>
      <c r="U688" t="s">
        <v>1010</v>
      </c>
      <c r="V688">
        <v>6</v>
      </c>
      <c r="W688">
        <v>28.1</v>
      </c>
      <c r="X688">
        <v>1366417754</v>
      </c>
      <c r="Y688">
        <v>5.36</v>
      </c>
      <c r="Z688">
        <v>471031528</v>
      </c>
      <c r="AA688">
        <v>20.593684</v>
      </c>
      <c r="AB688">
        <v>78.962879999999998</v>
      </c>
    </row>
    <row r="689" spans="1:28" x14ac:dyDescent="0.3">
      <c r="A689">
        <v>688</v>
      </c>
      <c r="B689" t="s">
        <v>939</v>
      </c>
      <c r="C689">
        <v>15000000</v>
      </c>
      <c r="D689">
        <v>9996133066</v>
      </c>
      <c r="E689" t="s">
        <v>996</v>
      </c>
      <c r="F689" t="s">
        <v>1224</v>
      </c>
      <c r="G689">
        <v>68</v>
      </c>
      <c r="H689" t="s">
        <v>987</v>
      </c>
      <c r="I689" t="s">
        <v>987</v>
      </c>
      <c r="J689" t="s">
        <v>1022</v>
      </c>
      <c r="K689">
        <v>4056600</v>
      </c>
      <c r="L689" t="s">
        <v>987</v>
      </c>
      <c r="M689">
        <v>5289</v>
      </c>
      <c r="N689" t="s">
        <v>987</v>
      </c>
      <c r="O689">
        <v>0</v>
      </c>
      <c r="P689">
        <v>0</v>
      </c>
      <c r="Q689">
        <v>0</v>
      </c>
      <c r="R689">
        <v>0</v>
      </c>
      <c r="S689" t="s">
        <v>987</v>
      </c>
      <c r="T689">
        <v>2020</v>
      </c>
      <c r="U689" t="s">
        <v>1005</v>
      </c>
      <c r="V689">
        <v>2</v>
      </c>
      <c r="W689" t="s">
        <v>987</v>
      </c>
      <c r="X689" t="s">
        <v>987</v>
      </c>
      <c r="Y689" t="s">
        <v>987</v>
      </c>
      <c r="Z689" t="s">
        <v>987</v>
      </c>
      <c r="AA689" t="s">
        <v>987</v>
      </c>
      <c r="AB689" t="s">
        <v>987</v>
      </c>
    </row>
    <row r="690" spans="1:28" x14ac:dyDescent="0.3">
      <c r="A690">
        <v>689</v>
      </c>
      <c r="B690" t="s">
        <v>119</v>
      </c>
      <c r="C690">
        <v>15000000</v>
      </c>
      <c r="D690">
        <v>10239836582</v>
      </c>
      <c r="E690" t="s">
        <v>988</v>
      </c>
      <c r="F690" t="s">
        <v>119</v>
      </c>
      <c r="G690">
        <v>1803</v>
      </c>
      <c r="H690" t="s">
        <v>984</v>
      </c>
      <c r="I690" t="s">
        <v>985</v>
      </c>
      <c r="J690" t="s">
        <v>1044</v>
      </c>
      <c r="K690">
        <v>423</v>
      </c>
      <c r="L690">
        <v>151</v>
      </c>
      <c r="M690">
        <v>29</v>
      </c>
      <c r="N690">
        <v>312858000</v>
      </c>
      <c r="O690">
        <v>78200</v>
      </c>
      <c r="P690">
        <v>1300000</v>
      </c>
      <c r="Q690">
        <v>938600</v>
      </c>
      <c r="R690">
        <v>15000000</v>
      </c>
      <c r="S690">
        <v>200000</v>
      </c>
      <c r="T690">
        <v>2008</v>
      </c>
      <c r="U690" t="s">
        <v>995</v>
      </c>
      <c r="V690">
        <v>26</v>
      </c>
      <c r="W690">
        <v>88.2</v>
      </c>
      <c r="X690">
        <v>328239523</v>
      </c>
      <c r="Y690">
        <v>14.7</v>
      </c>
      <c r="Z690">
        <v>270663028</v>
      </c>
      <c r="AA690">
        <v>37.090240000000001</v>
      </c>
      <c r="AB690">
        <v>-95.712890999999999</v>
      </c>
    </row>
    <row r="691" spans="1:28" x14ac:dyDescent="0.3">
      <c r="A691">
        <v>690</v>
      </c>
      <c r="B691" t="s">
        <v>309</v>
      </c>
      <c r="C691">
        <v>15000000</v>
      </c>
      <c r="D691">
        <v>11827310821</v>
      </c>
      <c r="E691" t="s">
        <v>1026</v>
      </c>
      <c r="F691" t="s">
        <v>309</v>
      </c>
      <c r="G691">
        <v>269050</v>
      </c>
      <c r="H691" t="s">
        <v>1081</v>
      </c>
      <c r="I691" t="s">
        <v>1082</v>
      </c>
      <c r="J691" t="s">
        <v>1027</v>
      </c>
      <c r="K691">
        <v>331</v>
      </c>
      <c r="L691">
        <v>25</v>
      </c>
      <c r="M691">
        <v>17</v>
      </c>
      <c r="N691">
        <v>113064000</v>
      </c>
      <c r="O691">
        <v>28300</v>
      </c>
      <c r="P691">
        <v>452300</v>
      </c>
      <c r="Q691">
        <v>339200</v>
      </c>
      <c r="R691">
        <v>5400000</v>
      </c>
      <c r="S691">
        <v>100000</v>
      </c>
      <c r="T691">
        <v>2013</v>
      </c>
      <c r="U691" t="s">
        <v>1010</v>
      </c>
      <c r="V691">
        <v>23</v>
      </c>
      <c r="W691">
        <v>36.299999999999997</v>
      </c>
      <c r="X691">
        <v>270203917</v>
      </c>
      <c r="Y691">
        <v>4.6900000000000004</v>
      </c>
      <c r="Z691">
        <v>151509724</v>
      </c>
      <c r="AA691">
        <v>-0.78927499999999995</v>
      </c>
      <c r="AB691">
        <v>113.92132700000001</v>
      </c>
    </row>
    <row r="692" spans="1:28" x14ac:dyDescent="0.3">
      <c r="A692">
        <v>691</v>
      </c>
      <c r="B692" t="s">
        <v>128</v>
      </c>
      <c r="C692">
        <v>15000000</v>
      </c>
      <c r="D692">
        <v>13562853889</v>
      </c>
      <c r="E692" t="s">
        <v>1044</v>
      </c>
      <c r="F692" t="s">
        <v>128</v>
      </c>
      <c r="G692">
        <v>1788</v>
      </c>
      <c r="H692" t="s">
        <v>997</v>
      </c>
      <c r="I692" t="s">
        <v>998</v>
      </c>
      <c r="J692" t="s">
        <v>1044</v>
      </c>
      <c r="K692">
        <v>277</v>
      </c>
      <c r="L692">
        <v>5</v>
      </c>
      <c r="M692">
        <v>29</v>
      </c>
      <c r="N692">
        <v>282372000</v>
      </c>
      <c r="O692">
        <v>70600</v>
      </c>
      <c r="P692">
        <v>1100000</v>
      </c>
      <c r="Q692">
        <v>847100</v>
      </c>
      <c r="R692">
        <v>13600000</v>
      </c>
      <c r="S692">
        <v>900000</v>
      </c>
      <c r="T692">
        <v>2014</v>
      </c>
      <c r="U692" t="s">
        <v>1015</v>
      </c>
      <c r="V692">
        <v>23</v>
      </c>
      <c r="W692">
        <v>63.2</v>
      </c>
      <c r="X692">
        <v>126226568</v>
      </c>
      <c r="Y692">
        <v>2.29</v>
      </c>
      <c r="Z692">
        <v>115782416</v>
      </c>
      <c r="AA692">
        <v>36.204824000000002</v>
      </c>
      <c r="AB692">
        <v>138.25292400000001</v>
      </c>
    </row>
    <row r="693" spans="1:28" x14ac:dyDescent="0.3">
      <c r="A693">
        <v>692</v>
      </c>
      <c r="B693" t="s">
        <v>202</v>
      </c>
      <c r="C693">
        <v>15000000</v>
      </c>
      <c r="D693">
        <v>11506702632</v>
      </c>
      <c r="E693" t="s">
        <v>977</v>
      </c>
      <c r="F693" t="s">
        <v>202</v>
      </c>
      <c r="G693">
        <v>340</v>
      </c>
      <c r="H693" t="s">
        <v>1019</v>
      </c>
      <c r="I693" t="s">
        <v>1020</v>
      </c>
      <c r="J693" t="s">
        <v>977</v>
      </c>
      <c r="K693">
        <v>347</v>
      </c>
      <c r="L693">
        <v>36</v>
      </c>
      <c r="M693">
        <v>128</v>
      </c>
      <c r="N693">
        <v>182871000</v>
      </c>
      <c r="O693">
        <v>45700</v>
      </c>
      <c r="P693">
        <v>731500</v>
      </c>
      <c r="Q693">
        <v>548600</v>
      </c>
      <c r="R693">
        <v>8800000</v>
      </c>
      <c r="S693" t="s">
        <v>987</v>
      </c>
      <c r="T693">
        <v>2012</v>
      </c>
      <c r="U693" t="s">
        <v>999</v>
      </c>
      <c r="V693">
        <v>3</v>
      </c>
      <c r="W693">
        <v>51.3</v>
      </c>
      <c r="X693">
        <v>212559417</v>
      </c>
      <c r="Y693">
        <v>12.08</v>
      </c>
      <c r="Z693">
        <v>183241641</v>
      </c>
      <c r="AA693">
        <v>-14.235004</v>
      </c>
      <c r="AB693">
        <v>-51.925280000000001</v>
      </c>
    </row>
    <row r="694" spans="1:28" x14ac:dyDescent="0.3">
      <c r="A694">
        <v>693</v>
      </c>
      <c r="B694" t="s">
        <v>279</v>
      </c>
      <c r="C694">
        <v>15000000</v>
      </c>
      <c r="D694">
        <v>8932038210</v>
      </c>
      <c r="E694" t="s">
        <v>988</v>
      </c>
      <c r="F694" t="s">
        <v>279</v>
      </c>
      <c r="G694">
        <v>3168</v>
      </c>
      <c r="H694" t="s">
        <v>978</v>
      </c>
      <c r="I694" t="s">
        <v>979</v>
      </c>
      <c r="J694" t="s">
        <v>988</v>
      </c>
      <c r="K694">
        <v>544</v>
      </c>
      <c r="L694">
        <v>104</v>
      </c>
      <c r="M694">
        <v>146</v>
      </c>
      <c r="N694">
        <v>130731000</v>
      </c>
      <c r="O694">
        <v>32700</v>
      </c>
      <c r="P694">
        <v>522900</v>
      </c>
      <c r="Q694">
        <v>392200</v>
      </c>
      <c r="R694">
        <v>6300000</v>
      </c>
      <c r="S694">
        <v>200000</v>
      </c>
      <c r="T694">
        <v>2017</v>
      </c>
      <c r="U694" t="s">
        <v>999</v>
      </c>
      <c r="V694">
        <v>7</v>
      </c>
      <c r="W694">
        <v>28.1</v>
      </c>
      <c r="X694">
        <v>1366417754</v>
      </c>
      <c r="Y694">
        <v>5.36</v>
      </c>
      <c r="Z694">
        <v>471031528</v>
      </c>
      <c r="AA694">
        <v>20.593684</v>
      </c>
      <c r="AB694">
        <v>78.962879999999998</v>
      </c>
    </row>
    <row r="695" spans="1:28" x14ac:dyDescent="0.3">
      <c r="A695">
        <v>694</v>
      </c>
      <c r="B695" t="s">
        <v>296</v>
      </c>
      <c r="C695">
        <v>14900000</v>
      </c>
      <c r="D695">
        <v>10069000444</v>
      </c>
      <c r="E695" t="s">
        <v>977</v>
      </c>
      <c r="F695" t="s">
        <v>296</v>
      </c>
      <c r="G695">
        <v>419</v>
      </c>
      <c r="H695" t="s">
        <v>984</v>
      </c>
      <c r="I695" t="s">
        <v>985</v>
      </c>
      <c r="J695" t="s">
        <v>977</v>
      </c>
      <c r="K695">
        <v>435</v>
      </c>
      <c r="L695">
        <v>152</v>
      </c>
      <c r="M695">
        <v>129</v>
      </c>
      <c r="N695">
        <v>119812000</v>
      </c>
      <c r="O695">
        <v>30000</v>
      </c>
      <c r="P695">
        <v>479200</v>
      </c>
      <c r="Q695">
        <v>359400</v>
      </c>
      <c r="R695">
        <v>5800000</v>
      </c>
      <c r="S695">
        <v>100000</v>
      </c>
      <c r="T695">
        <v>2007</v>
      </c>
      <c r="U695" t="s">
        <v>989</v>
      </c>
      <c r="V695">
        <v>8</v>
      </c>
      <c r="W695">
        <v>88.2</v>
      </c>
      <c r="X695">
        <v>328239523</v>
      </c>
      <c r="Y695">
        <v>14.7</v>
      </c>
      <c r="Z695">
        <v>270663028</v>
      </c>
      <c r="AA695">
        <v>37.090240000000001</v>
      </c>
      <c r="AB695">
        <v>-95.712890999999999</v>
      </c>
    </row>
    <row r="696" spans="1:28" x14ac:dyDescent="0.3">
      <c r="A696">
        <v>695</v>
      </c>
      <c r="B696" t="s">
        <v>530</v>
      </c>
      <c r="C696">
        <v>14900000</v>
      </c>
      <c r="D696">
        <v>8074260978</v>
      </c>
      <c r="E696" t="s">
        <v>988</v>
      </c>
      <c r="F696" t="s">
        <v>530</v>
      </c>
      <c r="G696">
        <v>66362</v>
      </c>
      <c r="H696" t="s">
        <v>1081</v>
      </c>
      <c r="I696" t="s">
        <v>1082</v>
      </c>
      <c r="J696" t="s">
        <v>988</v>
      </c>
      <c r="K696">
        <v>639</v>
      </c>
      <c r="L696">
        <v>26</v>
      </c>
      <c r="M696">
        <v>146</v>
      </c>
      <c r="N696">
        <v>43581000</v>
      </c>
      <c r="O696">
        <v>10900</v>
      </c>
      <c r="P696">
        <v>174300</v>
      </c>
      <c r="Q696">
        <v>130700</v>
      </c>
      <c r="R696">
        <v>2100000</v>
      </c>
      <c r="S696">
        <v>100000</v>
      </c>
      <c r="T696">
        <v>2012</v>
      </c>
      <c r="U696" t="s">
        <v>1029</v>
      </c>
      <c r="V696">
        <v>29</v>
      </c>
      <c r="W696">
        <v>36.299999999999997</v>
      </c>
      <c r="X696">
        <v>270203917</v>
      </c>
      <c r="Y696">
        <v>4.6900000000000004</v>
      </c>
      <c r="Z696">
        <v>151509724</v>
      </c>
      <c r="AA696">
        <v>-0.78927499999999995</v>
      </c>
      <c r="AB696">
        <v>113.92132700000001</v>
      </c>
    </row>
    <row r="697" spans="1:28" x14ac:dyDescent="0.3">
      <c r="A697">
        <v>696</v>
      </c>
      <c r="B697" t="s">
        <v>718</v>
      </c>
      <c r="C697">
        <v>14900000</v>
      </c>
      <c r="D697">
        <v>4033400167</v>
      </c>
      <c r="E697" t="s">
        <v>988</v>
      </c>
      <c r="F697" t="s">
        <v>718</v>
      </c>
      <c r="G697">
        <v>86</v>
      </c>
      <c r="H697" t="s">
        <v>984</v>
      </c>
      <c r="I697" t="s">
        <v>985</v>
      </c>
      <c r="J697" t="s">
        <v>988</v>
      </c>
      <c r="K697">
        <v>1886</v>
      </c>
      <c r="L697">
        <v>152</v>
      </c>
      <c r="M697">
        <v>147</v>
      </c>
      <c r="N697">
        <v>11043000</v>
      </c>
      <c r="O697">
        <v>2800</v>
      </c>
      <c r="P697">
        <v>44200</v>
      </c>
      <c r="Q697">
        <v>33100</v>
      </c>
      <c r="R697">
        <v>530100</v>
      </c>
      <c r="S697" t="s">
        <v>987</v>
      </c>
      <c r="T697">
        <v>2006</v>
      </c>
      <c r="U697" t="s">
        <v>989</v>
      </c>
      <c r="V697">
        <v>8</v>
      </c>
      <c r="W697">
        <v>88.2</v>
      </c>
      <c r="X697">
        <v>328239523</v>
      </c>
      <c r="Y697">
        <v>14.7</v>
      </c>
      <c r="Z697">
        <v>270663028</v>
      </c>
      <c r="AA697">
        <v>37.090240000000001</v>
      </c>
      <c r="AB697">
        <v>-95.712890999999999</v>
      </c>
    </row>
    <row r="698" spans="1:28" x14ac:dyDescent="0.3">
      <c r="A698">
        <v>697</v>
      </c>
      <c r="B698" t="s">
        <v>464</v>
      </c>
      <c r="C698">
        <v>14900000</v>
      </c>
      <c r="D698">
        <v>4395184343</v>
      </c>
      <c r="E698" t="s">
        <v>977</v>
      </c>
      <c r="F698" t="s">
        <v>464</v>
      </c>
      <c r="G698">
        <v>127</v>
      </c>
      <c r="H698" t="s">
        <v>984</v>
      </c>
      <c r="I698" t="s">
        <v>985</v>
      </c>
      <c r="J698" t="s">
        <v>977</v>
      </c>
      <c r="K698">
        <v>1656</v>
      </c>
      <c r="L698">
        <v>152</v>
      </c>
      <c r="M698">
        <v>129</v>
      </c>
      <c r="N698">
        <v>56358000</v>
      </c>
      <c r="O698">
        <v>14100</v>
      </c>
      <c r="P698">
        <v>225400</v>
      </c>
      <c r="Q698">
        <v>169100</v>
      </c>
      <c r="R698">
        <v>2700000</v>
      </c>
      <c r="S698">
        <v>100000</v>
      </c>
      <c r="T698">
        <v>2007</v>
      </c>
      <c r="U698" t="s">
        <v>1029</v>
      </c>
      <c r="V698">
        <v>3</v>
      </c>
      <c r="W698">
        <v>88.2</v>
      </c>
      <c r="X698">
        <v>328239523</v>
      </c>
      <c r="Y698">
        <v>14.7</v>
      </c>
      <c r="Z698">
        <v>270663028</v>
      </c>
      <c r="AA698">
        <v>37.090240000000001</v>
      </c>
      <c r="AB698">
        <v>-95.712890999999999</v>
      </c>
    </row>
    <row r="699" spans="1:28" x14ac:dyDescent="0.3">
      <c r="A699">
        <v>698</v>
      </c>
      <c r="B699" t="s">
        <v>699</v>
      </c>
      <c r="C699">
        <v>14900000</v>
      </c>
      <c r="D699">
        <v>4977284539</v>
      </c>
      <c r="E699" t="s">
        <v>988</v>
      </c>
      <c r="F699" t="s">
        <v>699</v>
      </c>
      <c r="G699">
        <v>8420</v>
      </c>
      <c r="H699" t="s">
        <v>1065</v>
      </c>
      <c r="I699" t="s">
        <v>1066</v>
      </c>
      <c r="J699" t="s">
        <v>986</v>
      </c>
      <c r="K699">
        <v>1377</v>
      </c>
      <c r="L699">
        <v>13</v>
      </c>
      <c r="M699">
        <v>49</v>
      </c>
      <c r="N699">
        <v>13857000</v>
      </c>
      <c r="O699">
        <v>3500</v>
      </c>
      <c r="P699">
        <v>55400</v>
      </c>
      <c r="Q699">
        <v>41600</v>
      </c>
      <c r="R699">
        <v>665200</v>
      </c>
      <c r="S699">
        <v>100000</v>
      </c>
      <c r="T699">
        <v>2012</v>
      </c>
      <c r="U699" t="s">
        <v>989</v>
      </c>
      <c r="V699">
        <v>15</v>
      </c>
      <c r="W699">
        <v>88.9</v>
      </c>
      <c r="X699">
        <v>47076781</v>
      </c>
      <c r="Y699">
        <v>13.96</v>
      </c>
      <c r="Z699">
        <v>37927409</v>
      </c>
      <c r="AA699">
        <v>40.463667000000001</v>
      </c>
      <c r="AB699">
        <v>-3.7492200000000002</v>
      </c>
    </row>
    <row r="700" spans="1:28" x14ac:dyDescent="0.3">
      <c r="A700">
        <v>699</v>
      </c>
      <c r="B700" t="s">
        <v>1225</v>
      </c>
      <c r="C700">
        <v>14900000</v>
      </c>
      <c r="D700">
        <v>5549770244</v>
      </c>
      <c r="E700" t="s">
        <v>988</v>
      </c>
      <c r="F700" t="s">
        <v>1225</v>
      </c>
      <c r="G700">
        <v>27944</v>
      </c>
      <c r="H700" t="s">
        <v>1048</v>
      </c>
      <c r="I700" t="s">
        <v>1049</v>
      </c>
      <c r="J700" t="s">
        <v>988</v>
      </c>
      <c r="K700">
        <v>1181</v>
      </c>
      <c r="L700">
        <v>12</v>
      </c>
      <c r="M700">
        <v>147</v>
      </c>
      <c r="N700">
        <v>49556000</v>
      </c>
      <c r="O700">
        <v>12400</v>
      </c>
      <c r="P700">
        <v>198200</v>
      </c>
      <c r="Q700">
        <v>148700</v>
      </c>
      <c r="R700">
        <v>2400000</v>
      </c>
      <c r="S700">
        <v>100000</v>
      </c>
      <c r="T700">
        <v>2011</v>
      </c>
      <c r="U700" t="s">
        <v>1025</v>
      </c>
      <c r="V700">
        <v>17</v>
      </c>
      <c r="W700">
        <v>49.3</v>
      </c>
      <c r="X700">
        <v>69625582</v>
      </c>
      <c r="Y700">
        <v>0.75</v>
      </c>
      <c r="Z700">
        <v>35294600</v>
      </c>
      <c r="AA700">
        <v>15.870032</v>
      </c>
      <c r="AB700">
        <v>100.992541</v>
      </c>
    </row>
    <row r="701" spans="1:28" x14ac:dyDescent="0.3">
      <c r="A701">
        <v>700</v>
      </c>
      <c r="B701" t="s">
        <v>102</v>
      </c>
      <c r="C701">
        <v>14900000</v>
      </c>
      <c r="D701">
        <v>15913320995</v>
      </c>
      <c r="E701" t="s">
        <v>994</v>
      </c>
      <c r="F701" t="s">
        <v>102</v>
      </c>
      <c r="G701">
        <v>1363</v>
      </c>
      <c r="H701" t="s">
        <v>987</v>
      </c>
      <c r="I701" t="s">
        <v>987</v>
      </c>
      <c r="J701" t="s">
        <v>1002</v>
      </c>
      <c r="K701">
        <v>192</v>
      </c>
      <c r="L701" t="s">
        <v>987</v>
      </c>
      <c r="M701">
        <v>45</v>
      </c>
      <c r="N701">
        <v>346653000</v>
      </c>
      <c r="O701">
        <v>86700</v>
      </c>
      <c r="P701">
        <v>1400000</v>
      </c>
      <c r="Q701">
        <v>1000000</v>
      </c>
      <c r="R701">
        <v>16600000</v>
      </c>
      <c r="S701">
        <v>400000</v>
      </c>
      <c r="T701">
        <v>2021</v>
      </c>
      <c r="U701" t="s">
        <v>980</v>
      </c>
      <c r="V701">
        <v>5</v>
      </c>
      <c r="W701" t="s">
        <v>987</v>
      </c>
      <c r="X701" t="s">
        <v>987</v>
      </c>
      <c r="Y701" t="s">
        <v>987</v>
      </c>
      <c r="Z701" t="s">
        <v>987</v>
      </c>
      <c r="AA701" t="s">
        <v>987</v>
      </c>
      <c r="AB701" t="s">
        <v>987</v>
      </c>
    </row>
    <row r="702" spans="1:28" x14ac:dyDescent="0.3">
      <c r="A702">
        <v>701</v>
      </c>
      <c r="B702" t="s">
        <v>1226</v>
      </c>
      <c r="C702">
        <v>14900000</v>
      </c>
      <c r="D702">
        <v>439098</v>
      </c>
      <c r="E702" t="s">
        <v>994</v>
      </c>
      <c r="F702" t="s">
        <v>1226</v>
      </c>
      <c r="G702">
        <v>1</v>
      </c>
      <c r="H702" t="s">
        <v>1000</v>
      </c>
      <c r="I702" t="s">
        <v>1001</v>
      </c>
      <c r="J702" t="s">
        <v>1027</v>
      </c>
      <c r="K702">
        <v>3609784</v>
      </c>
      <c r="L702">
        <v>10</v>
      </c>
      <c r="M702">
        <v>19</v>
      </c>
      <c r="N702">
        <v>7697</v>
      </c>
      <c r="O702">
        <v>2</v>
      </c>
      <c r="P702">
        <v>31</v>
      </c>
      <c r="Q702">
        <v>23</v>
      </c>
      <c r="R702">
        <v>369</v>
      </c>
      <c r="S702" t="s">
        <v>987</v>
      </c>
      <c r="T702">
        <v>2008</v>
      </c>
      <c r="U702" t="s">
        <v>1010</v>
      </c>
      <c r="V702">
        <v>11</v>
      </c>
      <c r="W702">
        <v>81.900000000000006</v>
      </c>
      <c r="X702">
        <v>144373535</v>
      </c>
      <c r="Y702">
        <v>4.59</v>
      </c>
      <c r="Z702">
        <v>107683889</v>
      </c>
      <c r="AA702">
        <v>61.524009999999997</v>
      </c>
      <c r="AB702">
        <v>105.31875599999999</v>
      </c>
    </row>
    <row r="703" spans="1:28" x14ac:dyDescent="0.3">
      <c r="A703">
        <v>702</v>
      </c>
      <c r="B703" t="s">
        <v>547</v>
      </c>
      <c r="C703">
        <v>14900000</v>
      </c>
      <c r="D703">
        <v>5956193599</v>
      </c>
      <c r="E703" t="s">
        <v>996</v>
      </c>
      <c r="F703" t="s">
        <v>547</v>
      </c>
      <c r="G703">
        <v>4175</v>
      </c>
      <c r="H703" t="s">
        <v>1019</v>
      </c>
      <c r="I703" t="s">
        <v>1020</v>
      </c>
      <c r="J703" t="s">
        <v>986</v>
      </c>
      <c r="K703">
        <v>1066</v>
      </c>
      <c r="L703">
        <v>37</v>
      </c>
      <c r="M703">
        <v>49</v>
      </c>
      <c r="N703">
        <v>39775000</v>
      </c>
      <c r="O703">
        <v>9900</v>
      </c>
      <c r="P703">
        <v>159100</v>
      </c>
      <c r="Q703">
        <v>119300</v>
      </c>
      <c r="R703">
        <v>1900000</v>
      </c>
      <c r="S703">
        <v>100000</v>
      </c>
      <c r="T703">
        <v>2011</v>
      </c>
      <c r="U703" t="s">
        <v>1015</v>
      </c>
      <c r="V703">
        <v>13</v>
      </c>
      <c r="W703">
        <v>51.3</v>
      </c>
      <c r="X703">
        <v>212559417</v>
      </c>
      <c r="Y703">
        <v>12.08</v>
      </c>
      <c r="Z703">
        <v>183241641</v>
      </c>
      <c r="AA703">
        <v>-14.235004</v>
      </c>
      <c r="AB703">
        <v>-51.925280000000001</v>
      </c>
    </row>
    <row r="704" spans="1:28" x14ac:dyDescent="0.3">
      <c r="A704">
        <v>703</v>
      </c>
      <c r="B704" t="s">
        <v>1227</v>
      </c>
      <c r="C704">
        <v>14900000</v>
      </c>
      <c r="D704">
        <v>8615618825</v>
      </c>
      <c r="E704" t="s">
        <v>988</v>
      </c>
      <c r="F704" t="s">
        <v>1228</v>
      </c>
      <c r="G704">
        <v>93</v>
      </c>
      <c r="H704" t="s">
        <v>997</v>
      </c>
      <c r="I704" t="s">
        <v>998</v>
      </c>
      <c r="J704" t="s">
        <v>1077</v>
      </c>
      <c r="K704">
        <v>3468229</v>
      </c>
      <c r="L704">
        <v>3508</v>
      </c>
      <c r="M704">
        <v>3271</v>
      </c>
      <c r="N704">
        <v>2477</v>
      </c>
      <c r="O704">
        <v>0.62</v>
      </c>
      <c r="P704">
        <v>10</v>
      </c>
      <c r="Q704">
        <v>7</v>
      </c>
      <c r="R704">
        <v>119</v>
      </c>
      <c r="S704">
        <v>9</v>
      </c>
      <c r="T704">
        <v>2012</v>
      </c>
      <c r="U704" t="s">
        <v>1029</v>
      </c>
      <c r="V704">
        <v>19</v>
      </c>
      <c r="W704">
        <v>63.2</v>
      </c>
      <c r="X704">
        <v>126226568</v>
      </c>
      <c r="Y704">
        <v>2.29</v>
      </c>
      <c r="Z704">
        <v>115782416</v>
      </c>
      <c r="AA704">
        <v>36.204824000000002</v>
      </c>
      <c r="AB704">
        <v>138.25292400000001</v>
      </c>
    </row>
    <row r="705" spans="1:28" x14ac:dyDescent="0.3">
      <c r="A705">
        <v>704</v>
      </c>
      <c r="B705" t="s">
        <v>453</v>
      </c>
      <c r="C705">
        <v>14800000</v>
      </c>
      <c r="D705">
        <v>13356517783</v>
      </c>
      <c r="E705" t="s">
        <v>977</v>
      </c>
      <c r="F705" t="s">
        <v>453</v>
      </c>
      <c r="G705">
        <v>1210</v>
      </c>
      <c r="H705" t="s">
        <v>984</v>
      </c>
      <c r="I705" t="s">
        <v>985</v>
      </c>
      <c r="J705" t="s">
        <v>988</v>
      </c>
      <c r="K705">
        <v>276</v>
      </c>
      <c r="L705">
        <v>153</v>
      </c>
      <c r="M705">
        <v>148</v>
      </c>
      <c r="N705">
        <v>61205000</v>
      </c>
      <c r="O705">
        <v>15300</v>
      </c>
      <c r="P705">
        <v>244800</v>
      </c>
      <c r="Q705">
        <v>183600</v>
      </c>
      <c r="R705">
        <v>2900000</v>
      </c>
      <c r="S705" t="s">
        <v>987</v>
      </c>
      <c r="T705">
        <v>2006</v>
      </c>
      <c r="U705" t="s">
        <v>1008</v>
      </c>
      <c r="V705">
        <v>9</v>
      </c>
      <c r="W705">
        <v>88.2</v>
      </c>
      <c r="X705">
        <v>328239523</v>
      </c>
      <c r="Y705">
        <v>14.7</v>
      </c>
      <c r="Z705">
        <v>270663028</v>
      </c>
      <c r="AA705">
        <v>37.090240000000001</v>
      </c>
      <c r="AB705">
        <v>-95.712890999999999</v>
      </c>
    </row>
    <row r="706" spans="1:28" x14ac:dyDescent="0.3">
      <c r="A706">
        <v>705</v>
      </c>
      <c r="B706" t="s">
        <v>746</v>
      </c>
      <c r="C706">
        <v>14800000</v>
      </c>
      <c r="D706">
        <v>1833519700</v>
      </c>
      <c r="E706" t="s">
        <v>990</v>
      </c>
      <c r="F706" t="s">
        <v>746</v>
      </c>
      <c r="G706">
        <v>1481</v>
      </c>
      <c r="H706" t="s">
        <v>984</v>
      </c>
      <c r="I706" t="s">
        <v>985</v>
      </c>
      <c r="J706" t="s">
        <v>990</v>
      </c>
      <c r="K706">
        <v>5533</v>
      </c>
      <c r="L706">
        <v>153</v>
      </c>
      <c r="M706">
        <v>35</v>
      </c>
      <c r="N706">
        <v>7177000</v>
      </c>
      <c r="O706">
        <v>1800</v>
      </c>
      <c r="P706">
        <v>28700</v>
      </c>
      <c r="Q706">
        <v>21500</v>
      </c>
      <c r="R706">
        <v>344500</v>
      </c>
      <c r="S706" t="s">
        <v>987</v>
      </c>
      <c r="T706">
        <v>2006</v>
      </c>
      <c r="U706" t="s">
        <v>995</v>
      </c>
      <c r="V706">
        <v>20</v>
      </c>
      <c r="W706">
        <v>88.2</v>
      </c>
      <c r="X706">
        <v>328239523</v>
      </c>
      <c r="Y706">
        <v>14.7</v>
      </c>
      <c r="Z706">
        <v>270663028</v>
      </c>
      <c r="AA706">
        <v>37.090240000000001</v>
      </c>
      <c r="AB706">
        <v>-95.712890999999999</v>
      </c>
    </row>
    <row r="707" spans="1:28" x14ac:dyDescent="0.3">
      <c r="A707">
        <v>706</v>
      </c>
      <c r="B707" t="s">
        <v>644</v>
      </c>
      <c r="C707">
        <v>14800000</v>
      </c>
      <c r="D707">
        <v>3587576784</v>
      </c>
      <c r="E707" t="s">
        <v>977</v>
      </c>
      <c r="F707" t="s">
        <v>644</v>
      </c>
      <c r="G707">
        <v>195</v>
      </c>
      <c r="H707" t="s">
        <v>984</v>
      </c>
      <c r="I707" t="s">
        <v>985</v>
      </c>
      <c r="J707" t="s">
        <v>977</v>
      </c>
      <c r="K707">
        <v>2226</v>
      </c>
      <c r="L707">
        <v>153</v>
      </c>
      <c r="M707">
        <v>130</v>
      </c>
      <c r="N707">
        <v>22980000</v>
      </c>
      <c r="O707">
        <v>5700</v>
      </c>
      <c r="P707">
        <v>91900</v>
      </c>
      <c r="Q707">
        <v>68900</v>
      </c>
      <c r="R707">
        <v>1100000</v>
      </c>
      <c r="S707" t="s">
        <v>987</v>
      </c>
      <c r="T707">
        <v>2010</v>
      </c>
      <c r="U707" t="s">
        <v>995</v>
      </c>
      <c r="V707">
        <v>31</v>
      </c>
      <c r="W707">
        <v>88.2</v>
      </c>
      <c r="X707">
        <v>328239523</v>
      </c>
      <c r="Y707">
        <v>14.7</v>
      </c>
      <c r="Z707">
        <v>270663028</v>
      </c>
      <c r="AA707">
        <v>37.090240000000001</v>
      </c>
      <c r="AB707">
        <v>-95.712890999999999</v>
      </c>
    </row>
    <row r="708" spans="1:28" x14ac:dyDescent="0.3">
      <c r="A708">
        <v>707</v>
      </c>
      <c r="B708" t="s">
        <v>655</v>
      </c>
      <c r="C708">
        <v>14800000</v>
      </c>
      <c r="D708">
        <v>5269059435</v>
      </c>
      <c r="E708" t="s">
        <v>996</v>
      </c>
      <c r="F708" t="s">
        <v>655</v>
      </c>
      <c r="G708">
        <v>3834</v>
      </c>
      <c r="H708" t="s">
        <v>1114</v>
      </c>
      <c r="I708" t="s">
        <v>1115</v>
      </c>
      <c r="J708" t="s">
        <v>986</v>
      </c>
      <c r="K708">
        <v>1253</v>
      </c>
      <c r="L708">
        <v>7</v>
      </c>
      <c r="M708">
        <v>50</v>
      </c>
      <c r="N708">
        <v>21072000</v>
      </c>
      <c r="O708">
        <v>5300</v>
      </c>
      <c r="P708">
        <v>84300</v>
      </c>
      <c r="Q708">
        <v>63200</v>
      </c>
      <c r="R708">
        <v>1000000</v>
      </c>
      <c r="S708" t="s">
        <v>987</v>
      </c>
      <c r="T708">
        <v>2013</v>
      </c>
      <c r="U708" t="s">
        <v>980</v>
      </c>
      <c r="V708">
        <v>19</v>
      </c>
      <c r="W708">
        <v>113.1</v>
      </c>
      <c r="X708">
        <v>25766605</v>
      </c>
      <c r="Y708">
        <v>5.27</v>
      </c>
      <c r="Z708">
        <v>21844756</v>
      </c>
      <c r="AA708">
        <v>-25.274398000000001</v>
      </c>
      <c r="AB708">
        <v>133.775136</v>
      </c>
    </row>
    <row r="709" spans="1:28" x14ac:dyDescent="0.3">
      <c r="A709">
        <v>708</v>
      </c>
      <c r="B709" t="s">
        <v>1229</v>
      </c>
      <c r="C709">
        <v>14800000</v>
      </c>
      <c r="D709">
        <v>7018015062</v>
      </c>
      <c r="E709" t="s">
        <v>1011</v>
      </c>
      <c r="F709" t="s">
        <v>1229</v>
      </c>
      <c r="G709">
        <v>2387</v>
      </c>
      <c r="H709" t="s">
        <v>1152</v>
      </c>
      <c r="I709" t="s">
        <v>1153</v>
      </c>
      <c r="J709" t="s">
        <v>1053</v>
      </c>
      <c r="K709">
        <v>828</v>
      </c>
      <c r="L709">
        <v>3</v>
      </c>
      <c r="M709">
        <v>25</v>
      </c>
      <c r="N709">
        <v>47117000</v>
      </c>
      <c r="O709">
        <v>11800</v>
      </c>
      <c r="P709">
        <v>188500</v>
      </c>
      <c r="Q709">
        <v>141400</v>
      </c>
      <c r="R709">
        <v>2300000</v>
      </c>
      <c r="S709" t="s">
        <v>987</v>
      </c>
      <c r="T709">
        <v>2015</v>
      </c>
      <c r="U709" t="s">
        <v>1025</v>
      </c>
      <c r="V709">
        <v>12</v>
      </c>
      <c r="W709">
        <v>82.7</v>
      </c>
      <c r="X709">
        <v>44385155</v>
      </c>
      <c r="Y709">
        <v>8.8800000000000008</v>
      </c>
      <c r="Z709">
        <v>30835699</v>
      </c>
      <c r="AA709">
        <v>48.379432999999999</v>
      </c>
      <c r="AB709">
        <v>31.165579999999999</v>
      </c>
    </row>
    <row r="710" spans="1:28" x14ac:dyDescent="0.3">
      <c r="A710">
        <v>709</v>
      </c>
      <c r="B710" t="s">
        <v>483</v>
      </c>
      <c r="C710">
        <v>14800000</v>
      </c>
      <c r="D710">
        <v>8649303688</v>
      </c>
      <c r="E710" t="s">
        <v>994</v>
      </c>
      <c r="F710" t="s">
        <v>483</v>
      </c>
      <c r="G710">
        <v>233</v>
      </c>
      <c r="H710" t="s">
        <v>984</v>
      </c>
      <c r="I710" t="s">
        <v>985</v>
      </c>
      <c r="J710" t="s">
        <v>977</v>
      </c>
      <c r="K710">
        <v>580</v>
      </c>
      <c r="L710">
        <v>153</v>
      </c>
      <c r="M710">
        <v>130</v>
      </c>
      <c r="N710">
        <v>51645000</v>
      </c>
      <c r="O710">
        <v>12900</v>
      </c>
      <c r="P710">
        <v>206600</v>
      </c>
      <c r="Q710">
        <v>154900</v>
      </c>
      <c r="R710">
        <v>2500000</v>
      </c>
      <c r="S710" t="s">
        <v>987</v>
      </c>
      <c r="T710">
        <v>2008</v>
      </c>
      <c r="U710" t="s">
        <v>1008</v>
      </c>
      <c r="V710">
        <v>4</v>
      </c>
      <c r="W710">
        <v>88.2</v>
      </c>
      <c r="X710">
        <v>328239523</v>
      </c>
      <c r="Y710">
        <v>14.7</v>
      </c>
      <c r="Z710">
        <v>270663028</v>
      </c>
      <c r="AA710">
        <v>37.090240000000001</v>
      </c>
      <c r="AB710">
        <v>-95.712890999999999</v>
      </c>
    </row>
    <row r="711" spans="1:28" x14ac:dyDescent="0.3">
      <c r="A711">
        <v>710</v>
      </c>
      <c r="B711" t="s">
        <v>384</v>
      </c>
      <c r="C711">
        <v>14800000</v>
      </c>
      <c r="D711">
        <v>9076642765</v>
      </c>
      <c r="E711" t="s">
        <v>977</v>
      </c>
      <c r="F711" t="s">
        <v>384</v>
      </c>
      <c r="G711">
        <v>318</v>
      </c>
      <c r="H711" t="s">
        <v>1019</v>
      </c>
      <c r="I711" t="s">
        <v>1020</v>
      </c>
      <c r="J711" t="s">
        <v>977</v>
      </c>
      <c r="K711">
        <v>529</v>
      </c>
      <c r="L711">
        <v>38</v>
      </c>
      <c r="M711">
        <v>130</v>
      </c>
      <c r="N711">
        <v>88120000</v>
      </c>
      <c r="O711">
        <v>22000</v>
      </c>
      <c r="P711">
        <v>352500</v>
      </c>
      <c r="Q711">
        <v>264400</v>
      </c>
      <c r="R711">
        <v>4200000</v>
      </c>
      <c r="S711" t="s">
        <v>987</v>
      </c>
      <c r="T711">
        <v>2008</v>
      </c>
      <c r="U711" t="s">
        <v>1015</v>
      </c>
      <c r="V711">
        <v>29</v>
      </c>
      <c r="W711">
        <v>51.3</v>
      </c>
      <c r="X711">
        <v>212559417</v>
      </c>
      <c r="Y711">
        <v>12.08</v>
      </c>
      <c r="Z711">
        <v>183241641</v>
      </c>
      <c r="AA711">
        <v>-14.235004</v>
      </c>
      <c r="AB711">
        <v>-51.925280000000001</v>
      </c>
    </row>
    <row r="712" spans="1:28" x14ac:dyDescent="0.3">
      <c r="A712">
        <v>711</v>
      </c>
      <c r="B712" t="s">
        <v>917</v>
      </c>
      <c r="C712">
        <v>14800000</v>
      </c>
      <c r="D712">
        <v>9383431376</v>
      </c>
      <c r="E712" t="s">
        <v>977</v>
      </c>
      <c r="F712" t="s">
        <v>1230</v>
      </c>
      <c r="G712">
        <v>0</v>
      </c>
      <c r="H712" t="s">
        <v>987</v>
      </c>
      <c r="I712" t="s">
        <v>987</v>
      </c>
      <c r="J712" t="s">
        <v>987</v>
      </c>
      <c r="K712">
        <v>4057944</v>
      </c>
      <c r="L712" t="s">
        <v>987</v>
      </c>
      <c r="M712" t="s">
        <v>987</v>
      </c>
      <c r="N712" t="s">
        <v>987</v>
      </c>
      <c r="O712">
        <v>0</v>
      </c>
      <c r="P712">
        <v>0</v>
      </c>
      <c r="Q712">
        <v>0</v>
      </c>
      <c r="R712">
        <v>0</v>
      </c>
      <c r="S712" t="s">
        <v>987</v>
      </c>
      <c r="T712">
        <v>2013</v>
      </c>
      <c r="U712" t="s">
        <v>1008</v>
      </c>
      <c r="V712">
        <v>14</v>
      </c>
      <c r="W712" t="s">
        <v>987</v>
      </c>
      <c r="X712" t="s">
        <v>987</v>
      </c>
      <c r="Y712" t="s">
        <v>987</v>
      </c>
      <c r="Z712" t="s">
        <v>987</v>
      </c>
      <c r="AA712" t="s">
        <v>987</v>
      </c>
      <c r="AB712" t="s">
        <v>987</v>
      </c>
    </row>
    <row r="713" spans="1:28" x14ac:dyDescent="0.3">
      <c r="A713">
        <v>712</v>
      </c>
      <c r="B713" t="s">
        <v>803</v>
      </c>
      <c r="C713">
        <v>14800000</v>
      </c>
      <c r="D713">
        <v>272678287</v>
      </c>
      <c r="E713" t="s">
        <v>994</v>
      </c>
      <c r="F713" t="s">
        <v>803</v>
      </c>
      <c r="G713">
        <v>34</v>
      </c>
      <c r="H713" t="s">
        <v>1130</v>
      </c>
      <c r="I713" t="s">
        <v>1131</v>
      </c>
      <c r="J713" t="s">
        <v>986</v>
      </c>
      <c r="K713">
        <v>3968552</v>
      </c>
      <c r="L713">
        <v>2600</v>
      </c>
      <c r="M713">
        <v>4443</v>
      </c>
      <c r="N713">
        <v>37883</v>
      </c>
      <c r="O713">
        <v>9</v>
      </c>
      <c r="P713">
        <v>152</v>
      </c>
      <c r="Q713">
        <v>114</v>
      </c>
      <c r="R713">
        <v>1800</v>
      </c>
      <c r="S713">
        <v>3580</v>
      </c>
      <c r="T713">
        <v>2015</v>
      </c>
      <c r="U713" t="s">
        <v>1003</v>
      </c>
      <c r="V713">
        <v>31</v>
      </c>
      <c r="W713">
        <v>70.2</v>
      </c>
      <c r="X713">
        <v>83132799</v>
      </c>
      <c r="Y713">
        <v>3.04</v>
      </c>
      <c r="Z713">
        <v>64324835</v>
      </c>
      <c r="AA713">
        <v>51.165691000000002</v>
      </c>
      <c r="AB713">
        <v>10.451525999999999</v>
      </c>
    </row>
    <row r="714" spans="1:28" x14ac:dyDescent="0.3">
      <c r="A714">
        <v>713</v>
      </c>
      <c r="B714" t="s">
        <v>17</v>
      </c>
      <c r="C714">
        <v>14800000</v>
      </c>
      <c r="D714">
        <v>15788208522</v>
      </c>
      <c r="E714" t="s">
        <v>987</v>
      </c>
      <c r="F714" t="s">
        <v>17</v>
      </c>
      <c r="G714">
        <v>2222</v>
      </c>
      <c r="H714" t="s">
        <v>984</v>
      </c>
      <c r="I714" t="s">
        <v>985</v>
      </c>
      <c r="J714" t="s">
        <v>1002</v>
      </c>
      <c r="K714">
        <v>195</v>
      </c>
      <c r="L714">
        <v>152</v>
      </c>
      <c r="M714">
        <v>46</v>
      </c>
      <c r="N714">
        <v>1203000000</v>
      </c>
      <c r="O714">
        <v>300800</v>
      </c>
      <c r="P714">
        <v>4800000</v>
      </c>
      <c r="Q714">
        <v>3600000</v>
      </c>
      <c r="R714">
        <v>57800000</v>
      </c>
      <c r="S714">
        <v>1700000</v>
      </c>
      <c r="T714">
        <v>2021</v>
      </c>
      <c r="U714" t="s">
        <v>980</v>
      </c>
      <c r="V714">
        <v>24</v>
      </c>
      <c r="W714">
        <v>88.2</v>
      </c>
      <c r="X714">
        <v>328239523</v>
      </c>
      <c r="Y714">
        <v>14.7</v>
      </c>
      <c r="Z714">
        <v>270663028</v>
      </c>
      <c r="AA714">
        <v>37.090240000000001</v>
      </c>
      <c r="AB714">
        <v>-95.712890999999999</v>
      </c>
    </row>
    <row r="715" spans="1:28" x14ac:dyDescent="0.3">
      <c r="A715">
        <v>714</v>
      </c>
      <c r="B715" t="s">
        <v>478</v>
      </c>
      <c r="C715">
        <v>14800000</v>
      </c>
      <c r="D715">
        <v>8866012877</v>
      </c>
      <c r="E715" t="s">
        <v>994</v>
      </c>
      <c r="F715" t="s">
        <v>478</v>
      </c>
      <c r="G715">
        <v>3867</v>
      </c>
      <c r="H715" t="s">
        <v>984</v>
      </c>
      <c r="I715" t="s">
        <v>985</v>
      </c>
      <c r="J715" t="s">
        <v>1053</v>
      </c>
      <c r="K715">
        <v>554</v>
      </c>
      <c r="L715">
        <v>153</v>
      </c>
      <c r="M715">
        <v>25</v>
      </c>
      <c r="N715">
        <v>53181000</v>
      </c>
      <c r="O715">
        <v>13300</v>
      </c>
      <c r="P715">
        <v>212700</v>
      </c>
      <c r="Q715">
        <v>159500</v>
      </c>
      <c r="R715">
        <v>2600000</v>
      </c>
      <c r="S715" t="s">
        <v>987</v>
      </c>
      <c r="T715">
        <v>2019</v>
      </c>
      <c r="U715" t="s">
        <v>1008</v>
      </c>
      <c r="V715">
        <v>7</v>
      </c>
      <c r="W715">
        <v>88.2</v>
      </c>
      <c r="X715">
        <v>328239523</v>
      </c>
      <c r="Y715">
        <v>14.7</v>
      </c>
      <c r="Z715">
        <v>270663028</v>
      </c>
      <c r="AA715">
        <v>37.090240000000001</v>
      </c>
      <c r="AB715">
        <v>-95.712890999999999</v>
      </c>
    </row>
    <row r="716" spans="1:28" x14ac:dyDescent="0.3">
      <c r="A716">
        <v>715</v>
      </c>
      <c r="B716" t="s">
        <v>1231</v>
      </c>
      <c r="C716">
        <v>14700000</v>
      </c>
      <c r="D716">
        <v>2230986039</v>
      </c>
      <c r="E716" t="s">
        <v>988</v>
      </c>
      <c r="F716" t="s">
        <v>1231</v>
      </c>
      <c r="G716">
        <v>1385</v>
      </c>
      <c r="H716" t="s">
        <v>1071</v>
      </c>
      <c r="I716" t="s">
        <v>1072</v>
      </c>
      <c r="J716" t="s">
        <v>988</v>
      </c>
      <c r="K716">
        <v>4276</v>
      </c>
      <c r="L716">
        <v>5</v>
      </c>
      <c r="M716">
        <v>149</v>
      </c>
      <c r="N716">
        <v>2694000</v>
      </c>
      <c r="O716">
        <v>673</v>
      </c>
      <c r="P716">
        <v>10800</v>
      </c>
      <c r="Q716">
        <v>8100</v>
      </c>
      <c r="R716">
        <v>129300</v>
      </c>
      <c r="S716" t="s">
        <v>987</v>
      </c>
      <c r="T716">
        <v>2016</v>
      </c>
      <c r="U716" t="s">
        <v>995</v>
      </c>
      <c r="V716">
        <v>27</v>
      </c>
      <c r="W716">
        <v>68</v>
      </c>
      <c r="X716">
        <v>34268528</v>
      </c>
      <c r="Y716">
        <v>5.93</v>
      </c>
      <c r="Z716">
        <v>28807838</v>
      </c>
      <c r="AA716">
        <v>23.885942</v>
      </c>
      <c r="AB716">
        <v>45.079161999999997</v>
      </c>
    </row>
    <row r="717" spans="1:28" x14ac:dyDescent="0.3">
      <c r="A717">
        <v>716</v>
      </c>
      <c r="B717" t="s">
        <v>761</v>
      </c>
      <c r="C717">
        <v>14700000</v>
      </c>
      <c r="D717">
        <v>1321380490</v>
      </c>
      <c r="E717" t="s">
        <v>988</v>
      </c>
      <c r="F717" t="s">
        <v>761</v>
      </c>
      <c r="G717">
        <v>85</v>
      </c>
      <c r="H717" t="s">
        <v>984</v>
      </c>
      <c r="I717" t="s">
        <v>985</v>
      </c>
      <c r="J717" t="s">
        <v>988</v>
      </c>
      <c r="K717">
        <v>8317</v>
      </c>
      <c r="L717">
        <v>154</v>
      </c>
      <c r="M717">
        <v>149</v>
      </c>
      <c r="N717">
        <v>4781000</v>
      </c>
      <c r="O717">
        <v>1200</v>
      </c>
      <c r="P717">
        <v>19100</v>
      </c>
      <c r="Q717">
        <v>14300</v>
      </c>
      <c r="R717">
        <v>229500</v>
      </c>
      <c r="S717" t="s">
        <v>987</v>
      </c>
      <c r="T717">
        <v>2017</v>
      </c>
      <c r="U717" t="s">
        <v>991</v>
      </c>
      <c r="V717">
        <v>5</v>
      </c>
      <c r="W717">
        <v>88.2</v>
      </c>
      <c r="X717">
        <v>328239523</v>
      </c>
      <c r="Y717">
        <v>14.7</v>
      </c>
      <c r="Z717">
        <v>270663028</v>
      </c>
      <c r="AA717">
        <v>37.090240000000001</v>
      </c>
      <c r="AB717">
        <v>-95.712890999999999</v>
      </c>
    </row>
    <row r="718" spans="1:28" x14ac:dyDescent="0.3">
      <c r="A718">
        <v>717</v>
      </c>
      <c r="B718" t="s">
        <v>796</v>
      </c>
      <c r="C718">
        <v>14700000</v>
      </c>
      <c r="D718">
        <v>1506796393</v>
      </c>
      <c r="E718" t="s">
        <v>988</v>
      </c>
      <c r="F718" t="s">
        <v>1232</v>
      </c>
      <c r="G718">
        <v>554</v>
      </c>
      <c r="H718" t="s">
        <v>1065</v>
      </c>
      <c r="I718" t="s">
        <v>1066</v>
      </c>
      <c r="J718" t="s">
        <v>988</v>
      </c>
      <c r="K718">
        <v>325721</v>
      </c>
      <c r="L718">
        <v>1549</v>
      </c>
      <c r="M718">
        <v>2275</v>
      </c>
      <c r="N718">
        <v>226420</v>
      </c>
      <c r="O718">
        <v>57</v>
      </c>
      <c r="P718">
        <v>906</v>
      </c>
      <c r="Q718">
        <v>679</v>
      </c>
      <c r="R718">
        <v>10900</v>
      </c>
      <c r="S718">
        <v>600</v>
      </c>
      <c r="T718">
        <v>2010</v>
      </c>
      <c r="U718" t="s">
        <v>989</v>
      </c>
      <c r="V718">
        <v>19</v>
      </c>
      <c r="W718">
        <v>88.9</v>
      </c>
      <c r="X718">
        <v>47076781</v>
      </c>
      <c r="Y718">
        <v>13.96</v>
      </c>
      <c r="Z718">
        <v>37927409</v>
      </c>
      <c r="AA718">
        <v>40.463667000000001</v>
      </c>
      <c r="AB718">
        <v>-3.7492200000000002</v>
      </c>
    </row>
    <row r="719" spans="1:28" x14ac:dyDescent="0.3">
      <c r="A719">
        <v>718</v>
      </c>
      <c r="B719" t="s">
        <v>664</v>
      </c>
      <c r="C719">
        <v>14700000</v>
      </c>
      <c r="D719">
        <v>2465473772</v>
      </c>
      <c r="E719" t="s">
        <v>988</v>
      </c>
      <c r="F719" t="s">
        <v>664</v>
      </c>
      <c r="G719">
        <v>317</v>
      </c>
      <c r="H719" t="s">
        <v>984</v>
      </c>
      <c r="I719" t="s">
        <v>985</v>
      </c>
      <c r="J719" t="s">
        <v>990</v>
      </c>
      <c r="K719">
        <v>3746</v>
      </c>
      <c r="L719">
        <v>154</v>
      </c>
      <c r="M719">
        <v>36</v>
      </c>
      <c r="N719">
        <v>18978000</v>
      </c>
      <c r="O719">
        <v>4700</v>
      </c>
      <c r="P719">
        <v>75900</v>
      </c>
      <c r="Q719">
        <v>56900</v>
      </c>
      <c r="R719">
        <v>911000</v>
      </c>
      <c r="S719" t="s">
        <v>987</v>
      </c>
      <c r="T719">
        <v>2010</v>
      </c>
      <c r="U719" t="s">
        <v>1010</v>
      </c>
      <c r="V719">
        <v>15</v>
      </c>
      <c r="W719">
        <v>88.2</v>
      </c>
      <c r="X719">
        <v>328239523</v>
      </c>
      <c r="Y719">
        <v>14.7</v>
      </c>
      <c r="Z719">
        <v>270663028</v>
      </c>
      <c r="AA719">
        <v>37.090240000000001</v>
      </c>
      <c r="AB719">
        <v>-95.712890999999999</v>
      </c>
    </row>
    <row r="720" spans="1:28" x14ac:dyDescent="0.3">
      <c r="A720">
        <v>719</v>
      </c>
      <c r="B720" t="s">
        <v>414</v>
      </c>
      <c r="C720">
        <v>14700000</v>
      </c>
      <c r="D720">
        <v>4029253667</v>
      </c>
      <c r="E720" t="s">
        <v>990</v>
      </c>
      <c r="F720" t="s">
        <v>414</v>
      </c>
      <c r="G720">
        <v>43564</v>
      </c>
      <c r="H720" t="s">
        <v>978</v>
      </c>
      <c r="I720" t="s">
        <v>979</v>
      </c>
      <c r="J720" t="s">
        <v>990</v>
      </c>
      <c r="K720">
        <v>1879</v>
      </c>
      <c r="L720">
        <v>106</v>
      </c>
      <c r="M720">
        <v>36</v>
      </c>
      <c r="N720">
        <v>74483000</v>
      </c>
      <c r="O720">
        <v>18600</v>
      </c>
      <c r="P720">
        <v>297900</v>
      </c>
      <c r="Q720">
        <v>223400</v>
      </c>
      <c r="R720">
        <v>3600000</v>
      </c>
      <c r="S720">
        <v>200000</v>
      </c>
      <c r="T720">
        <v>2015</v>
      </c>
      <c r="U720" t="s">
        <v>1008</v>
      </c>
      <c r="V720">
        <v>22</v>
      </c>
      <c r="W720">
        <v>28.1</v>
      </c>
      <c r="X720">
        <v>1366417754</v>
      </c>
      <c r="Y720">
        <v>5.36</v>
      </c>
      <c r="Z720">
        <v>471031528</v>
      </c>
      <c r="AA720">
        <v>20.593684</v>
      </c>
      <c r="AB720">
        <v>78.962879999999998</v>
      </c>
    </row>
    <row r="721" spans="1:28" x14ac:dyDescent="0.3">
      <c r="A721">
        <v>720</v>
      </c>
      <c r="B721" t="s">
        <v>571</v>
      </c>
      <c r="C721">
        <v>14700000</v>
      </c>
      <c r="D721">
        <v>6751985988</v>
      </c>
      <c r="E721" t="s">
        <v>1044</v>
      </c>
      <c r="F721" t="s">
        <v>571</v>
      </c>
      <c r="G721">
        <v>698</v>
      </c>
      <c r="H721" t="s">
        <v>984</v>
      </c>
      <c r="I721" t="s">
        <v>985</v>
      </c>
      <c r="J721" t="s">
        <v>988</v>
      </c>
      <c r="K721">
        <v>885</v>
      </c>
      <c r="L721">
        <v>154</v>
      </c>
      <c r="M721">
        <v>149</v>
      </c>
      <c r="N721">
        <v>36338000</v>
      </c>
      <c r="O721">
        <v>9100</v>
      </c>
      <c r="P721">
        <v>145400</v>
      </c>
      <c r="Q721">
        <v>109000</v>
      </c>
      <c r="R721">
        <v>1700000</v>
      </c>
      <c r="S721">
        <v>100000</v>
      </c>
      <c r="T721">
        <v>2006</v>
      </c>
      <c r="U721" t="s">
        <v>980</v>
      </c>
      <c r="V721">
        <v>26</v>
      </c>
      <c r="W721">
        <v>88.2</v>
      </c>
      <c r="X721">
        <v>328239523</v>
      </c>
      <c r="Y721">
        <v>14.7</v>
      </c>
      <c r="Z721">
        <v>270663028</v>
      </c>
      <c r="AA721">
        <v>37.090240000000001</v>
      </c>
      <c r="AB721">
        <v>-95.712890999999999</v>
      </c>
    </row>
    <row r="722" spans="1:28" x14ac:dyDescent="0.3">
      <c r="A722">
        <v>721</v>
      </c>
      <c r="B722" t="s">
        <v>922</v>
      </c>
      <c r="C722">
        <v>14700000</v>
      </c>
      <c r="D722">
        <v>7255848125</v>
      </c>
      <c r="E722" t="s">
        <v>1044</v>
      </c>
      <c r="F722" t="s">
        <v>922</v>
      </c>
      <c r="G722">
        <v>4340</v>
      </c>
      <c r="H722" t="s">
        <v>984</v>
      </c>
      <c r="I722" t="s">
        <v>985</v>
      </c>
      <c r="J722" t="s">
        <v>1044</v>
      </c>
      <c r="K722">
        <v>798</v>
      </c>
      <c r="L722">
        <v>154</v>
      </c>
      <c r="M722">
        <v>30</v>
      </c>
      <c r="N722">
        <v>55583000</v>
      </c>
      <c r="O722">
        <v>0</v>
      </c>
      <c r="P722">
        <v>0</v>
      </c>
      <c r="Q722">
        <v>0</v>
      </c>
      <c r="R722">
        <v>0</v>
      </c>
      <c r="S722" t="s">
        <v>987</v>
      </c>
      <c r="T722">
        <v>2006</v>
      </c>
      <c r="U722" t="s">
        <v>1025</v>
      </c>
      <c r="V722">
        <v>9</v>
      </c>
      <c r="W722">
        <v>88.2</v>
      </c>
      <c r="X722">
        <v>328239523</v>
      </c>
      <c r="Y722">
        <v>14.7</v>
      </c>
      <c r="Z722">
        <v>270663028</v>
      </c>
      <c r="AA722">
        <v>37.090240000000001</v>
      </c>
      <c r="AB722">
        <v>-95.712890999999999</v>
      </c>
    </row>
    <row r="723" spans="1:28" x14ac:dyDescent="0.3">
      <c r="A723">
        <v>722</v>
      </c>
      <c r="B723" t="s">
        <v>403</v>
      </c>
      <c r="C723">
        <v>14700000</v>
      </c>
      <c r="D723">
        <v>8882319696</v>
      </c>
      <c r="E723" t="s">
        <v>990</v>
      </c>
      <c r="F723" t="s">
        <v>403</v>
      </c>
      <c r="G723">
        <v>1996</v>
      </c>
      <c r="H723" t="s">
        <v>984</v>
      </c>
      <c r="I723" t="s">
        <v>985</v>
      </c>
      <c r="J723" t="s">
        <v>990</v>
      </c>
      <c r="K723">
        <v>552</v>
      </c>
      <c r="L723">
        <v>154</v>
      </c>
      <c r="M723">
        <v>36</v>
      </c>
      <c r="N723">
        <v>79402000</v>
      </c>
      <c r="O723">
        <v>19900</v>
      </c>
      <c r="P723">
        <v>317600</v>
      </c>
      <c r="Q723">
        <v>238200</v>
      </c>
      <c r="R723">
        <v>3800000</v>
      </c>
      <c r="S723">
        <v>100000</v>
      </c>
      <c r="T723">
        <v>2012</v>
      </c>
      <c r="U723" t="s">
        <v>1003</v>
      </c>
      <c r="V723">
        <v>28</v>
      </c>
      <c r="W723">
        <v>88.2</v>
      </c>
      <c r="X723">
        <v>328239523</v>
      </c>
      <c r="Y723">
        <v>14.7</v>
      </c>
      <c r="Z723">
        <v>270663028</v>
      </c>
      <c r="AA723">
        <v>37.090240000000001</v>
      </c>
      <c r="AB723">
        <v>-95.712890999999999</v>
      </c>
    </row>
    <row r="724" spans="1:28" x14ac:dyDescent="0.3">
      <c r="A724">
        <v>723</v>
      </c>
      <c r="B724" t="s">
        <v>101</v>
      </c>
      <c r="C724">
        <v>14700000</v>
      </c>
      <c r="D724">
        <v>12362331529</v>
      </c>
      <c r="E724" t="s">
        <v>988</v>
      </c>
      <c r="F724" t="s">
        <v>101</v>
      </c>
      <c r="G724">
        <v>23490</v>
      </c>
      <c r="H724" t="s">
        <v>978</v>
      </c>
      <c r="I724" t="s">
        <v>979</v>
      </c>
      <c r="J724" t="s">
        <v>988</v>
      </c>
      <c r="K724">
        <v>310</v>
      </c>
      <c r="L724">
        <v>105</v>
      </c>
      <c r="M724">
        <v>148</v>
      </c>
      <c r="N724">
        <v>347603000</v>
      </c>
      <c r="O724">
        <v>86900</v>
      </c>
      <c r="P724">
        <v>1400000</v>
      </c>
      <c r="Q724">
        <v>1000000</v>
      </c>
      <c r="R724">
        <v>16700000</v>
      </c>
      <c r="S724">
        <v>400000</v>
      </c>
      <c r="T724">
        <v>2013</v>
      </c>
      <c r="U724" t="s">
        <v>1029</v>
      </c>
      <c r="V724">
        <v>28</v>
      </c>
      <c r="W724">
        <v>28.1</v>
      </c>
      <c r="X724">
        <v>1366417754</v>
      </c>
      <c r="Y724">
        <v>5.36</v>
      </c>
      <c r="Z724">
        <v>471031528</v>
      </c>
      <c r="AA724">
        <v>20.593684</v>
      </c>
      <c r="AB724">
        <v>78.962879999999998</v>
      </c>
    </row>
    <row r="725" spans="1:28" x14ac:dyDescent="0.3">
      <c r="A725">
        <v>724</v>
      </c>
      <c r="B725" t="s">
        <v>199</v>
      </c>
      <c r="C725">
        <v>14700000</v>
      </c>
      <c r="D725">
        <v>12961669452</v>
      </c>
      <c r="E725" t="s">
        <v>1026</v>
      </c>
      <c r="F725" t="s">
        <v>199</v>
      </c>
      <c r="G725">
        <v>80830</v>
      </c>
      <c r="H725" t="s">
        <v>984</v>
      </c>
      <c r="I725" t="s">
        <v>985</v>
      </c>
      <c r="J725" t="s">
        <v>1027</v>
      </c>
      <c r="K725">
        <v>289</v>
      </c>
      <c r="L725">
        <v>154</v>
      </c>
      <c r="M725">
        <v>18</v>
      </c>
      <c r="N725">
        <v>185709000</v>
      </c>
      <c r="O725">
        <v>46400</v>
      </c>
      <c r="P725">
        <v>742800</v>
      </c>
      <c r="Q725">
        <v>557100</v>
      </c>
      <c r="R725">
        <v>8900000</v>
      </c>
      <c r="S725">
        <v>100000</v>
      </c>
      <c r="T725">
        <v>2006</v>
      </c>
      <c r="U725" t="s">
        <v>1010</v>
      </c>
      <c r="V725">
        <v>7</v>
      </c>
      <c r="W725">
        <v>88.2</v>
      </c>
      <c r="X725">
        <v>328239523</v>
      </c>
      <c r="Y725">
        <v>14.7</v>
      </c>
      <c r="Z725">
        <v>270663028</v>
      </c>
      <c r="AA725">
        <v>37.090240000000001</v>
      </c>
      <c r="AB725">
        <v>-95.712890999999999</v>
      </c>
    </row>
    <row r="726" spans="1:28" x14ac:dyDescent="0.3">
      <c r="A726">
        <v>725</v>
      </c>
      <c r="B726" t="s">
        <v>543</v>
      </c>
      <c r="C726">
        <v>14700000</v>
      </c>
      <c r="D726">
        <v>4684983333</v>
      </c>
      <c r="E726" t="s">
        <v>977</v>
      </c>
      <c r="F726" t="s">
        <v>543</v>
      </c>
      <c r="G726">
        <v>3978</v>
      </c>
      <c r="H726" t="s">
        <v>1019</v>
      </c>
      <c r="I726" t="s">
        <v>1020</v>
      </c>
      <c r="J726" t="s">
        <v>988</v>
      </c>
      <c r="K726">
        <v>1501</v>
      </c>
      <c r="L726">
        <v>39</v>
      </c>
      <c r="M726">
        <v>149</v>
      </c>
      <c r="N726">
        <v>40975000</v>
      </c>
      <c r="O726">
        <v>10200</v>
      </c>
      <c r="P726">
        <v>163900</v>
      </c>
      <c r="Q726">
        <v>122900</v>
      </c>
      <c r="R726">
        <v>2000000</v>
      </c>
      <c r="S726">
        <v>100000</v>
      </c>
      <c r="T726">
        <v>2014</v>
      </c>
      <c r="U726" t="s">
        <v>995</v>
      </c>
      <c r="V726">
        <v>27</v>
      </c>
      <c r="W726">
        <v>51.3</v>
      </c>
      <c r="X726">
        <v>212559417</v>
      </c>
      <c r="Y726">
        <v>12.08</v>
      </c>
      <c r="Z726">
        <v>183241641</v>
      </c>
      <c r="AA726">
        <v>-14.235004</v>
      </c>
      <c r="AB726">
        <v>-51.925280000000001</v>
      </c>
    </row>
    <row r="727" spans="1:28" x14ac:dyDescent="0.3">
      <c r="A727">
        <v>726</v>
      </c>
      <c r="B727" t="s">
        <v>680</v>
      </c>
      <c r="C727">
        <v>14600000</v>
      </c>
      <c r="D727">
        <v>2613197447</v>
      </c>
      <c r="E727" t="s">
        <v>988</v>
      </c>
      <c r="F727" t="s">
        <v>680</v>
      </c>
      <c r="G727">
        <v>490</v>
      </c>
      <c r="H727" t="s">
        <v>1233</v>
      </c>
      <c r="I727" t="s">
        <v>1234</v>
      </c>
      <c r="J727" t="s">
        <v>988</v>
      </c>
      <c r="K727">
        <v>3458</v>
      </c>
      <c r="L727">
        <v>1</v>
      </c>
      <c r="M727">
        <v>150</v>
      </c>
      <c r="N727">
        <v>16409000</v>
      </c>
      <c r="O727">
        <v>4100</v>
      </c>
      <c r="P727">
        <v>65600</v>
      </c>
      <c r="Q727">
        <v>49200</v>
      </c>
      <c r="R727">
        <v>787600</v>
      </c>
      <c r="S727">
        <v>100000</v>
      </c>
      <c r="T727">
        <v>2014</v>
      </c>
      <c r="U727" t="s">
        <v>1005</v>
      </c>
      <c r="V727">
        <v>29</v>
      </c>
      <c r="W727">
        <v>44.9</v>
      </c>
      <c r="X727">
        <v>17373662</v>
      </c>
      <c r="Y727">
        <v>3.97</v>
      </c>
      <c r="Z727">
        <v>11116711</v>
      </c>
      <c r="AA727">
        <v>-1.8312390000000001</v>
      </c>
      <c r="AB727">
        <v>-78.183406000000005</v>
      </c>
    </row>
    <row r="728" spans="1:28" x14ac:dyDescent="0.3">
      <c r="A728">
        <v>727</v>
      </c>
      <c r="B728" t="s">
        <v>451</v>
      </c>
      <c r="C728">
        <v>14600000</v>
      </c>
      <c r="D728">
        <v>3337074920</v>
      </c>
      <c r="E728" t="s">
        <v>994</v>
      </c>
      <c r="F728" t="s">
        <v>451</v>
      </c>
      <c r="G728">
        <v>961</v>
      </c>
      <c r="H728" t="s">
        <v>1065</v>
      </c>
      <c r="I728" t="s">
        <v>1066</v>
      </c>
      <c r="J728" t="s">
        <v>986</v>
      </c>
      <c r="K728">
        <v>2455</v>
      </c>
      <c r="L728">
        <v>14</v>
      </c>
      <c r="M728">
        <v>51</v>
      </c>
      <c r="N728">
        <v>60568000</v>
      </c>
      <c r="O728">
        <v>15100</v>
      </c>
      <c r="P728">
        <v>242300</v>
      </c>
      <c r="Q728">
        <v>181700</v>
      </c>
      <c r="R728">
        <v>2900000</v>
      </c>
      <c r="S728" t="s">
        <v>987</v>
      </c>
      <c r="T728">
        <v>2013</v>
      </c>
      <c r="U728" t="s">
        <v>1005</v>
      </c>
      <c r="V728">
        <v>12</v>
      </c>
      <c r="W728">
        <v>88.9</v>
      </c>
      <c r="X728">
        <v>47076781</v>
      </c>
      <c r="Y728">
        <v>13.96</v>
      </c>
      <c r="Z728">
        <v>37927409</v>
      </c>
      <c r="AA728">
        <v>40.463667000000001</v>
      </c>
      <c r="AB728">
        <v>-3.7492200000000002</v>
      </c>
    </row>
    <row r="729" spans="1:28" x14ac:dyDescent="0.3">
      <c r="A729">
        <v>728</v>
      </c>
      <c r="B729" t="s">
        <v>367</v>
      </c>
      <c r="C729">
        <v>14600000</v>
      </c>
      <c r="D729">
        <v>3603556207</v>
      </c>
      <c r="E729" t="s">
        <v>996</v>
      </c>
      <c r="F729" t="s">
        <v>367</v>
      </c>
      <c r="G729">
        <v>1244</v>
      </c>
      <c r="H729" t="s">
        <v>984</v>
      </c>
      <c r="I729" t="s">
        <v>985</v>
      </c>
      <c r="J729" t="s">
        <v>988</v>
      </c>
      <c r="K729">
        <v>2223</v>
      </c>
      <c r="L729">
        <v>155</v>
      </c>
      <c r="M729">
        <v>150</v>
      </c>
      <c r="N729">
        <v>92594000</v>
      </c>
      <c r="O729">
        <v>23100</v>
      </c>
      <c r="P729">
        <v>370400</v>
      </c>
      <c r="Q729">
        <v>277800</v>
      </c>
      <c r="R729">
        <v>4400000</v>
      </c>
      <c r="S729">
        <v>400000</v>
      </c>
      <c r="T729">
        <v>2012</v>
      </c>
      <c r="U729" t="s">
        <v>1015</v>
      </c>
      <c r="V729">
        <v>9</v>
      </c>
      <c r="W729">
        <v>88.2</v>
      </c>
      <c r="X729">
        <v>328239523</v>
      </c>
      <c r="Y729">
        <v>14.7</v>
      </c>
      <c r="Z729">
        <v>270663028</v>
      </c>
      <c r="AA729">
        <v>37.090240000000001</v>
      </c>
      <c r="AB729">
        <v>-95.712890999999999</v>
      </c>
    </row>
    <row r="730" spans="1:28" x14ac:dyDescent="0.3">
      <c r="A730">
        <v>729</v>
      </c>
      <c r="B730" t="s">
        <v>726</v>
      </c>
      <c r="C730">
        <v>14600000</v>
      </c>
      <c r="D730">
        <v>4622581344</v>
      </c>
      <c r="E730" t="s">
        <v>994</v>
      </c>
      <c r="F730" t="s">
        <v>726</v>
      </c>
      <c r="G730">
        <v>951</v>
      </c>
      <c r="H730" t="s">
        <v>1019</v>
      </c>
      <c r="I730" t="s">
        <v>1020</v>
      </c>
      <c r="J730" t="s">
        <v>988</v>
      </c>
      <c r="K730">
        <v>1534</v>
      </c>
      <c r="L730">
        <v>40</v>
      </c>
      <c r="M730">
        <v>150</v>
      </c>
      <c r="N730">
        <v>10547000</v>
      </c>
      <c r="O730">
        <v>2600</v>
      </c>
      <c r="P730">
        <v>42200</v>
      </c>
      <c r="Q730">
        <v>31600</v>
      </c>
      <c r="R730">
        <v>506300</v>
      </c>
      <c r="S730" t="s">
        <v>987</v>
      </c>
      <c r="T730">
        <v>2015</v>
      </c>
      <c r="U730" t="s">
        <v>1029</v>
      </c>
      <c r="V730">
        <v>21</v>
      </c>
      <c r="W730">
        <v>51.3</v>
      </c>
      <c r="X730">
        <v>212559417</v>
      </c>
      <c r="Y730">
        <v>12.08</v>
      </c>
      <c r="Z730">
        <v>183241641</v>
      </c>
      <c r="AA730">
        <v>-14.235004</v>
      </c>
      <c r="AB730">
        <v>-51.925280000000001</v>
      </c>
    </row>
    <row r="731" spans="1:28" x14ac:dyDescent="0.3">
      <c r="A731">
        <v>730</v>
      </c>
      <c r="B731" t="s">
        <v>243</v>
      </c>
      <c r="C731">
        <v>14600000</v>
      </c>
      <c r="D731">
        <v>5766647017</v>
      </c>
      <c r="E731" t="s">
        <v>996</v>
      </c>
      <c r="F731" t="s">
        <v>245</v>
      </c>
      <c r="G731">
        <v>4009</v>
      </c>
      <c r="H731" t="s">
        <v>984</v>
      </c>
      <c r="I731" t="s">
        <v>985</v>
      </c>
      <c r="J731" t="s">
        <v>988</v>
      </c>
      <c r="K731">
        <v>621</v>
      </c>
      <c r="L731">
        <v>78</v>
      </c>
      <c r="M731">
        <v>72</v>
      </c>
      <c r="N731">
        <v>151697000</v>
      </c>
      <c r="O731">
        <v>37900</v>
      </c>
      <c r="P731">
        <v>606800</v>
      </c>
      <c r="Q731">
        <v>455100</v>
      </c>
      <c r="R731">
        <v>7300000</v>
      </c>
      <c r="S731">
        <v>200000</v>
      </c>
      <c r="T731">
        <v>2012</v>
      </c>
      <c r="U731" t="s">
        <v>1015</v>
      </c>
      <c r="V731">
        <v>4</v>
      </c>
      <c r="W731">
        <v>88.2</v>
      </c>
      <c r="X731">
        <v>328239523</v>
      </c>
      <c r="Y731">
        <v>14.7</v>
      </c>
      <c r="Z731">
        <v>270663028</v>
      </c>
      <c r="AA731">
        <v>37.090240000000001</v>
      </c>
      <c r="AB731">
        <v>-95.712890999999999</v>
      </c>
    </row>
    <row r="732" spans="1:28" x14ac:dyDescent="0.3">
      <c r="A732">
        <v>731</v>
      </c>
      <c r="B732" t="s">
        <v>566</v>
      </c>
      <c r="C732">
        <v>14600000</v>
      </c>
      <c r="D732">
        <v>6017932195</v>
      </c>
      <c r="E732" t="s">
        <v>977</v>
      </c>
      <c r="F732" t="s">
        <v>566</v>
      </c>
      <c r="G732">
        <v>365</v>
      </c>
      <c r="H732" t="s">
        <v>984</v>
      </c>
      <c r="I732" t="s">
        <v>985</v>
      </c>
      <c r="J732" t="s">
        <v>977</v>
      </c>
      <c r="K732">
        <v>1044</v>
      </c>
      <c r="L732">
        <v>155</v>
      </c>
      <c r="M732">
        <v>131</v>
      </c>
      <c r="N732">
        <v>35528000</v>
      </c>
      <c r="O732">
        <v>8900</v>
      </c>
      <c r="P732">
        <v>142100</v>
      </c>
      <c r="Q732">
        <v>106600</v>
      </c>
      <c r="R732">
        <v>1700000</v>
      </c>
      <c r="S732" t="s">
        <v>987</v>
      </c>
      <c r="T732">
        <v>2011</v>
      </c>
      <c r="U732" t="s">
        <v>1003</v>
      </c>
      <c r="V732">
        <v>15</v>
      </c>
      <c r="W732">
        <v>88.2</v>
      </c>
      <c r="X732">
        <v>328239523</v>
      </c>
      <c r="Y732">
        <v>14.7</v>
      </c>
      <c r="Z732">
        <v>270663028</v>
      </c>
      <c r="AA732">
        <v>37.090240000000001</v>
      </c>
      <c r="AB732">
        <v>-95.712890999999999</v>
      </c>
    </row>
    <row r="733" spans="1:28" x14ac:dyDescent="0.3">
      <c r="A733">
        <v>732</v>
      </c>
      <c r="B733" t="s">
        <v>318</v>
      </c>
      <c r="C733">
        <v>14600000</v>
      </c>
      <c r="D733">
        <v>11182302317</v>
      </c>
      <c r="E733" t="s">
        <v>977</v>
      </c>
      <c r="F733" t="s">
        <v>318</v>
      </c>
      <c r="G733">
        <v>1206</v>
      </c>
      <c r="H733" t="s">
        <v>1019</v>
      </c>
      <c r="I733" t="s">
        <v>1020</v>
      </c>
      <c r="J733" t="s">
        <v>977</v>
      </c>
      <c r="K733">
        <v>369</v>
      </c>
      <c r="L733">
        <v>40</v>
      </c>
      <c r="M733">
        <v>131</v>
      </c>
      <c r="N733">
        <v>109865000</v>
      </c>
      <c r="O733">
        <v>27500</v>
      </c>
      <c r="P733">
        <v>439500</v>
      </c>
      <c r="Q733">
        <v>329600</v>
      </c>
      <c r="R733">
        <v>5300000</v>
      </c>
      <c r="S733">
        <v>100000</v>
      </c>
      <c r="T733">
        <v>2014</v>
      </c>
      <c r="U733" t="s">
        <v>1010</v>
      </c>
      <c r="V733">
        <v>19</v>
      </c>
      <c r="W733">
        <v>51.3</v>
      </c>
      <c r="X733">
        <v>212559417</v>
      </c>
      <c r="Y733">
        <v>12.08</v>
      </c>
      <c r="Z733">
        <v>183241641</v>
      </c>
      <c r="AA733">
        <v>-14.235004</v>
      </c>
      <c r="AB733">
        <v>-51.925280000000001</v>
      </c>
    </row>
    <row r="734" spans="1:28" x14ac:dyDescent="0.3">
      <c r="A734">
        <v>733</v>
      </c>
      <c r="B734" t="s">
        <v>559</v>
      </c>
      <c r="C734">
        <v>14600000</v>
      </c>
      <c r="D734">
        <v>7952268926</v>
      </c>
      <c r="E734" t="s">
        <v>977</v>
      </c>
      <c r="F734" t="s">
        <v>559</v>
      </c>
      <c r="G734">
        <v>67</v>
      </c>
      <c r="H734" t="s">
        <v>984</v>
      </c>
      <c r="I734" t="s">
        <v>985</v>
      </c>
      <c r="J734" t="s">
        <v>977</v>
      </c>
      <c r="K734">
        <v>659</v>
      </c>
      <c r="L734">
        <v>155</v>
      </c>
      <c r="M734">
        <v>131</v>
      </c>
      <c r="N734">
        <v>37632000</v>
      </c>
      <c r="O734">
        <v>9400</v>
      </c>
      <c r="P734">
        <v>150500</v>
      </c>
      <c r="Q734">
        <v>112900</v>
      </c>
      <c r="R734">
        <v>1800000</v>
      </c>
      <c r="S734" t="s">
        <v>987</v>
      </c>
      <c r="T734">
        <v>2013</v>
      </c>
      <c r="U734" t="s">
        <v>989</v>
      </c>
      <c r="V734">
        <v>21</v>
      </c>
      <c r="W734">
        <v>88.2</v>
      </c>
      <c r="X734">
        <v>328239523</v>
      </c>
      <c r="Y734">
        <v>14.7</v>
      </c>
      <c r="Z734">
        <v>270663028</v>
      </c>
      <c r="AA734">
        <v>37.090240000000001</v>
      </c>
      <c r="AB734">
        <v>-95.712890999999999</v>
      </c>
    </row>
    <row r="735" spans="1:28" x14ac:dyDescent="0.3">
      <c r="A735">
        <v>734</v>
      </c>
      <c r="B735" t="s">
        <v>491</v>
      </c>
      <c r="C735">
        <v>14600000</v>
      </c>
      <c r="D735">
        <v>2750902766</v>
      </c>
      <c r="E735" t="s">
        <v>1011</v>
      </c>
      <c r="F735" t="s">
        <v>491</v>
      </c>
      <c r="G735">
        <v>603</v>
      </c>
      <c r="H735" t="s">
        <v>1058</v>
      </c>
      <c r="I735" t="s">
        <v>1059</v>
      </c>
      <c r="J735" t="s">
        <v>977</v>
      </c>
      <c r="K735">
        <v>3248</v>
      </c>
      <c r="L735">
        <v>27</v>
      </c>
      <c r="M735">
        <v>131</v>
      </c>
      <c r="N735">
        <v>50677000</v>
      </c>
      <c r="O735">
        <v>12700</v>
      </c>
      <c r="P735">
        <v>202700</v>
      </c>
      <c r="Q735">
        <v>152000</v>
      </c>
      <c r="R735">
        <v>2400000</v>
      </c>
      <c r="S735">
        <v>100000</v>
      </c>
      <c r="T735">
        <v>2014</v>
      </c>
      <c r="U735" t="s">
        <v>1008</v>
      </c>
      <c r="V735">
        <v>24</v>
      </c>
      <c r="W735">
        <v>40.200000000000003</v>
      </c>
      <c r="X735">
        <v>126014024</v>
      </c>
      <c r="Y735">
        <v>3.42</v>
      </c>
      <c r="Z735">
        <v>102626859</v>
      </c>
      <c r="AA735">
        <v>23.634501</v>
      </c>
      <c r="AB735">
        <v>-102.552784</v>
      </c>
    </row>
    <row r="736" spans="1:28" x14ac:dyDescent="0.3">
      <c r="A736">
        <v>735</v>
      </c>
      <c r="B736" t="s">
        <v>261</v>
      </c>
      <c r="C736">
        <v>14600000</v>
      </c>
      <c r="D736">
        <v>5525773746</v>
      </c>
      <c r="E736" t="s">
        <v>1044</v>
      </c>
      <c r="F736" t="s">
        <v>261</v>
      </c>
      <c r="G736">
        <v>560</v>
      </c>
      <c r="H736" t="s">
        <v>978</v>
      </c>
      <c r="I736" t="s">
        <v>979</v>
      </c>
      <c r="J736" t="s">
        <v>1022</v>
      </c>
      <c r="K736">
        <v>1185</v>
      </c>
      <c r="L736">
        <v>106</v>
      </c>
      <c r="M736">
        <v>38</v>
      </c>
      <c r="N736">
        <v>139116000</v>
      </c>
      <c r="O736">
        <v>34800</v>
      </c>
      <c r="P736">
        <v>556500</v>
      </c>
      <c r="Q736">
        <v>417300</v>
      </c>
      <c r="R736">
        <v>6700000</v>
      </c>
      <c r="S736">
        <v>500000</v>
      </c>
      <c r="T736">
        <v>2019</v>
      </c>
      <c r="U736" t="s">
        <v>1025</v>
      </c>
      <c r="V736">
        <v>28</v>
      </c>
      <c r="W736">
        <v>28.1</v>
      </c>
      <c r="X736">
        <v>1366417754</v>
      </c>
      <c r="Y736">
        <v>5.36</v>
      </c>
      <c r="Z736">
        <v>471031528</v>
      </c>
      <c r="AA736">
        <v>20.593684</v>
      </c>
      <c r="AB736">
        <v>78.962879999999998</v>
      </c>
    </row>
    <row r="737" spans="1:28" x14ac:dyDescent="0.3">
      <c r="A737">
        <v>736</v>
      </c>
      <c r="B737" t="s">
        <v>1235</v>
      </c>
      <c r="C737">
        <v>14500000</v>
      </c>
      <c r="D737">
        <v>2440718089</v>
      </c>
      <c r="E737" t="s">
        <v>977</v>
      </c>
      <c r="F737" t="s">
        <v>1236</v>
      </c>
      <c r="G737">
        <v>0</v>
      </c>
      <c r="H737" t="s">
        <v>1019</v>
      </c>
      <c r="I737" t="s">
        <v>1020</v>
      </c>
      <c r="J737" t="s">
        <v>977</v>
      </c>
      <c r="L737" t="s">
        <v>987</v>
      </c>
      <c r="M737" t="s">
        <v>987</v>
      </c>
      <c r="N737" t="s">
        <v>987</v>
      </c>
      <c r="O737">
        <v>0</v>
      </c>
      <c r="P737">
        <v>0</v>
      </c>
      <c r="Q737">
        <v>0</v>
      </c>
      <c r="R737">
        <v>0</v>
      </c>
      <c r="S737" t="s">
        <v>987</v>
      </c>
      <c r="T737" t="s">
        <v>987</v>
      </c>
      <c r="U737" t="s">
        <v>987</v>
      </c>
      <c r="V737" t="s">
        <v>987</v>
      </c>
      <c r="W737">
        <v>51.3</v>
      </c>
      <c r="X737">
        <v>212559417</v>
      </c>
      <c r="Y737">
        <v>12.08</v>
      </c>
      <c r="Z737">
        <v>183241641</v>
      </c>
      <c r="AA737">
        <v>-14.235004</v>
      </c>
      <c r="AB737">
        <v>-51.925280000000001</v>
      </c>
    </row>
    <row r="738" spans="1:28" x14ac:dyDescent="0.3">
      <c r="A738">
        <v>737</v>
      </c>
      <c r="B738" t="s">
        <v>600</v>
      </c>
      <c r="C738">
        <v>14500000</v>
      </c>
      <c r="D738">
        <v>6944967581</v>
      </c>
      <c r="E738" t="s">
        <v>988</v>
      </c>
      <c r="F738" t="s">
        <v>600</v>
      </c>
      <c r="G738">
        <v>479</v>
      </c>
      <c r="H738" t="s">
        <v>984</v>
      </c>
      <c r="I738" t="s">
        <v>985</v>
      </c>
      <c r="J738" t="s">
        <v>988</v>
      </c>
      <c r="K738">
        <v>848</v>
      </c>
      <c r="L738">
        <v>156</v>
      </c>
      <c r="M738">
        <v>151</v>
      </c>
      <c r="N738">
        <v>29941000</v>
      </c>
      <c r="O738">
        <v>7500</v>
      </c>
      <c r="P738">
        <v>119800</v>
      </c>
      <c r="Q738">
        <v>89800</v>
      </c>
      <c r="R738">
        <v>1400000</v>
      </c>
      <c r="S738" t="s">
        <v>987</v>
      </c>
      <c r="T738">
        <v>2019</v>
      </c>
      <c r="U738" t="s">
        <v>991</v>
      </c>
      <c r="V738">
        <v>9</v>
      </c>
      <c r="W738">
        <v>88.2</v>
      </c>
      <c r="X738">
        <v>328239523</v>
      </c>
      <c r="Y738">
        <v>14.7</v>
      </c>
      <c r="Z738">
        <v>270663028</v>
      </c>
      <c r="AA738">
        <v>37.090240000000001</v>
      </c>
      <c r="AB738">
        <v>-95.712890999999999</v>
      </c>
    </row>
    <row r="739" spans="1:28" x14ac:dyDescent="0.3">
      <c r="A739">
        <v>738</v>
      </c>
      <c r="B739" t="s">
        <v>793</v>
      </c>
      <c r="C739">
        <v>14500000</v>
      </c>
      <c r="D739">
        <v>4577292740</v>
      </c>
      <c r="E739" t="s">
        <v>988</v>
      </c>
      <c r="F739" t="s">
        <v>793</v>
      </c>
      <c r="G739">
        <v>453</v>
      </c>
      <c r="H739" t="s">
        <v>984</v>
      </c>
      <c r="I739" t="s">
        <v>985</v>
      </c>
      <c r="J739" t="s">
        <v>1022</v>
      </c>
      <c r="K739">
        <v>1565</v>
      </c>
      <c r="L739">
        <v>156</v>
      </c>
      <c r="M739">
        <v>39</v>
      </c>
      <c r="N739">
        <v>449576</v>
      </c>
      <c r="O739">
        <v>112</v>
      </c>
      <c r="P739">
        <v>1800</v>
      </c>
      <c r="Q739">
        <v>1300</v>
      </c>
      <c r="R739">
        <v>21600</v>
      </c>
      <c r="S739" t="s">
        <v>987</v>
      </c>
      <c r="T739">
        <v>2017</v>
      </c>
      <c r="U739" t="s">
        <v>989</v>
      </c>
      <c r="V739">
        <v>7</v>
      </c>
      <c r="W739">
        <v>88.2</v>
      </c>
      <c r="X739">
        <v>328239523</v>
      </c>
      <c r="Y739">
        <v>14.7</v>
      </c>
      <c r="Z739">
        <v>270663028</v>
      </c>
      <c r="AA739">
        <v>37.090240000000001</v>
      </c>
      <c r="AB739">
        <v>-95.712890999999999</v>
      </c>
    </row>
    <row r="740" spans="1:28" x14ac:dyDescent="0.3">
      <c r="A740">
        <v>739</v>
      </c>
      <c r="B740" t="s">
        <v>647</v>
      </c>
      <c r="C740">
        <v>14500000</v>
      </c>
      <c r="D740">
        <v>1739129375</v>
      </c>
      <c r="E740" t="s">
        <v>987</v>
      </c>
      <c r="F740" t="s">
        <v>647</v>
      </c>
      <c r="G740">
        <v>514</v>
      </c>
      <c r="H740" t="s">
        <v>978</v>
      </c>
      <c r="I740" t="s">
        <v>979</v>
      </c>
      <c r="J740" t="s">
        <v>1089</v>
      </c>
      <c r="K740">
        <v>5926</v>
      </c>
      <c r="L740">
        <v>107</v>
      </c>
      <c r="M740">
        <v>13</v>
      </c>
      <c r="N740">
        <v>23034000</v>
      </c>
      <c r="O740">
        <v>5800</v>
      </c>
      <c r="P740">
        <v>92100</v>
      </c>
      <c r="Q740">
        <v>69100</v>
      </c>
      <c r="R740">
        <v>1100000</v>
      </c>
      <c r="S740">
        <v>100000</v>
      </c>
      <c r="T740">
        <v>2021</v>
      </c>
      <c r="U740" t="s">
        <v>1008</v>
      </c>
      <c r="V740">
        <v>1</v>
      </c>
      <c r="W740">
        <v>28.1</v>
      </c>
      <c r="X740">
        <v>1366417754</v>
      </c>
      <c r="Y740">
        <v>5.36</v>
      </c>
      <c r="Z740">
        <v>471031528</v>
      </c>
      <c r="AA740">
        <v>20.593684</v>
      </c>
      <c r="AB740">
        <v>78.962879999999998</v>
      </c>
    </row>
    <row r="741" spans="1:28" x14ac:dyDescent="0.3">
      <c r="A741">
        <v>740</v>
      </c>
      <c r="B741" t="s">
        <v>773</v>
      </c>
      <c r="C741">
        <v>14500000</v>
      </c>
      <c r="D741">
        <v>3551889957</v>
      </c>
      <c r="E741" t="s">
        <v>1011</v>
      </c>
      <c r="F741" t="s">
        <v>773</v>
      </c>
      <c r="G741">
        <v>5430</v>
      </c>
      <c r="H741" t="s">
        <v>1019</v>
      </c>
      <c r="I741" t="s">
        <v>1020</v>
      </c>
      <c r="J741" t="s">
        <v>1053</v>
      </c>
      <c r="K741">
        <v>2269</v>
      </c>
      <c r="L741">
        <v>41</v>
      </c>
      <c r="M741">
        <v>26</v>
      </c>
      <c r="N741">
        <v>2838000</v>
      </c>
      <c r="O741">
        <v>709</v>
      </c>
      <c r="P741">
        <v>11400</v>
      </c>
      <c r="Q741">
        <v>8500</v>
      </c>
      <c r="R741">
        <v>136200</v>
      </c>
      <c r="S741" t="s">
        <v>987</v>
      </c>
      <c r="T741">
        <v>2017</v>
      </c>
      <c r="U741" t="s">
        <v>1025</v>
      </c>
      <c r="V741">
        <v>30</v>
      </c>
      <c r="W741">
        <v>51.3</v>
      </c>
      <c r="X741">
        <v>212559417</v>
      </c>
      <c r="Y741">
        <v>12.08</v>
      </c>
      <c r="Z741">
        <v>183241641</v>
      </c>
      <c r="AA741">
        <v>-14.235004</v>
      </c>
      <c r="AB741">
        <v>-51.925280000000001</v>
      </c>
    </row>
    <row r="742" spans="1:28" x14ac:dyDescent="0.3">
      <c r="A742">
        <v>741</v>
      </c>
      <c r="B742" t="s">
        <v>733</v>
      </c>
      <c r="C742">
        <v>14500000</v>
      </c>
      <c r="D742">
        <v>4260187928</v>
      </c>
      <c r="E742" t="s">
        <v>988</v>
      </c>
      <c r="F742" t="s">
        <v>733</v>
      </c>
      <c r="G742">
        <v>1717</v>
      </c>
      <c r="H742" t="s">
        <v>984</v>
      </c>
      <c r="I742" t="s">
        <v>985</v>
      </c>
      <c r="J742" t="s">
        <v>988</v>
      </c>
      <c r="K742">
        <v>1747</v>
      </c>
      <c r="L742">
        <v>156</v>
      </c>
      <c r="M742">
        <v>151</v>
      </c>
      <c r="N742">
        <v>9910000</v>
      </c>
      <c r="O742">
        <v>2500</v>
      </c>
      <c r="P742">
        <v>39600</v>
      </c>
      <c r="Q742">
        <v>29700</v>
      </c>
      <c r="R742">
        <v>475700</v>
      </c>
      <c r="S742" t="s">
        <v>987</v>
      </c>
      <c r="T742">
        <v>2015</v>
      </c>
      <c r="U742" t="s">
        <v>999</v>
      </c>
      <c r="V742">
        <v>25</v>
      </c>
      <c r="W742">
        <v>88.2</v>
      </c>
      <c r="X742">
        <v>328239523</v>
      </c>
      <c r="Y742">
        <v>14.7</v>
      </c>
      <c r="Z742">
        <v>270663028</v>
      </c>
      <c r="AA742">
        <v>37.090240000000001</v>
      </c>
      <c r="AB742">
        <v>-95.712890999999999</v>
      </c>
    </row>
    <row r="743" spans="1:28" x14ac:dyDescent="0.3">
      <c r="A743">
        <v>742</v>
      </c>
      <c r="B743" t="s">
        <v>433</v>
      </c>
      <c r="C743">
        <v>14500000</v>
      </c>
      <c r="D743">
        <v>4598387043</v>
      </c>
      <c r="E743" t="s">
        <v>1026</v>
      </c>
      <c r="F743" t="s">
        <v>433</v>
      </c>
      <c r="G743">
        <v>18972</v>
      </c>
      <c r="H743" t="s">
        <v>1013</v>
      </c>
      <c r="I743" t="s">
        <v>1014</v>
      </c>
      <c r="J743" t="s">
        <v>1027</v>
      </c>
      <c r="K743">
        <v>1548</v>
      </c>
      <c r="L743">
        <v>26</v>
      </c>
      <c r="M743">
        <v>19</v>
      </c>
      <c r="N743">
        <v>66273000</v>
      </c>
      <c r="O743">
        <v>16600</v>
      </c>
      <c r="P743">
        <v>265100</v>
      </c>
      <c r="Q743">
        <v>198800</v>
      </c>
      <c r="R743">
        <v>3200000</v>
      </c>
      <c r="S743">
        <v>100000</v>
      </c>
      <c r="T743">
        <v>2006</v>
      </c>
      <c r="U743" t="s">
        <v>999</v>
      </c>
      <c r="V743">
        <v>8</v>
      </c>
      <c r="W743">
        <v>60</v>
      </c>
      <c r="X743">
        <v>66834405</v>
      </c>
      <c r="Y743">
        <v>3.85</v>
      </c>
      <c r="Z743">
        <v>55908316</v>
      </c>
      <c r="AA743">
        <v>55.378050999999999</v>
      </c>
      <c r="AB743">
        <v>-3.4359730000000002</v>
      </c>
    </row>
    <row r="744" spans="1:28" x14ac:dyDescent="0.3">
      <c r="A744">
        <v>743</v>
      </c>
      <c r="B744" t="s">
        <v>249</v>
      </c>
      <c r="C744">
        <v>14500000</v>
      </c>
      <c r="D744">
        <v>4821183481</v>
      </c>
      <c r="E744" t="s">
        <v>987</v>
      </c>
      <c r="F744" t="s">
        <v>249</v>
      </c>
      <c r="G744">
        <v>605</v>
      </c>
      <c r="H744" t="s">
        <v>984</v>
      </c>
      <c r="I744" t="s">
        <v>985</v>
      </c>
      <c r="J744" t="s">
        <v>977</v>
      </c>
      <c r="K744">
        <v>1423</v>
      </c>
      <c r="L744">
        <v>156</v>
      </c>
      <c r="M744">
        <v>132</v>
      </c>
      <c r="N744">
        <v>149241000</v>
      </c>
      <c r="O744">
        <v>37300</v>
      </c>
      <c r="P744">
        <v>597000</v>
      </c>
      <c r="Q744">
        <v>447700</v>
      </c>
      <c r="R744">
        <v>7200000</v>
      </c>
      <c r="S744">
        <v>400000</v>
      </c>
      <c r="T744">
        <v>2018</v>
      </c>
      <c r="U744" t="s">
        <v>1003</v>
      </c>
      <c r="V744">
        <v>16</v>
      </c>
      <c r="W744">
        <v>88.2</v>
      </c>
      <c r="X744">
        <v>328239523</v>
      </c>
      <c r="Y744">
        <v>14.7</v>
      </c>
      <c r="Z744">
        <v>270663028</v>
      </c>
      <c r="AA744">
        <v>37.090240000000001</v>
      </c>
      <c r="AB744">
        <v>-95.712890999999999</v>
      </c>
    </row>
    <row r="745" spans="1:28" x14ac:dyDescent="0.3">
      <c r="A745">
        <v>744</v>
      </c>
      <c r="B745" t="s">
        <v>760</v>
      </c>
      <c r="C745">
        <v>14500000</v>
      </c>
      <c r="D745">
        <v>5014888374</v>
      </c>
      <c r="E745" t="s">
        <v>994</v>
      </c>
      <c r="F745" t="s">
        <v>1237</v>
      </c>
      <c r="G745">
        <v>618</v>
      </c>
      <c r="H745" t="s">
        <v>1006</v>
      </c>
      <c r="I745" t="s">
        <v>1007</v>
      </c>
      <c r="J745" t="s">
        <v>1002</v>
      </c>
      <c r="K745">
        <v>1364</v>
      </c>
      <c r="L745">
        <v>14</v>
      </c>
      <c r="M745">
        <v>47</v>
      </c>
      <c r="N745">
        <v>4960000</v>
      </c>
      <c r="O745">
        <v>1200</v>
      </c>
      <c r="P745">
        <v>19800</v>
      </c>
      <c r="Q745">
        <v>14900</v>
      </c>
      <c r="R745">
        <v>238100</v>
      </c>
      <c r="S745" t="s">
        <v>987</v>
      </c>
      <c r="T745">
        <v>2016</v>
      </c>
      <c r="U745" t="s">
        <v>995</v>
      </c>
      <c r="V745">
        <v>18</v>
      </c>
      <c r="W745">
        <v>94.3</v>
      </c>
      <c r="X745">
        <v>51709098</v>
      </c>
      <c r="Y745">
        <v>4.1500000000000004</v>
      </c>
      <c r="Z745">
        <v>42106719</v>
      </c>
      <c r="AA745">
        <v>35.907756999999997</v>
      </c>
      <c r="AB745">
        <v>127.76692199999999</v>
      </c>
    </row>
    <row r="746" spans="1:28" x14ac:dyDescent="0.3">
      <c r="A746">
        <v>745</v>
      </c>
      <c r="B746" t="s">
        <v>507</v>
      </c>
      <c r="C746">
        <v>14500000</v>
      </c>
      <c r="D746">
        <v>6290721701</v>
      </c>
      <c r="E746" t="s">
        <v>977</v>
      </c>
      <c r="F746" t="s">
        <v>507</v>
      </c>
      <c r="G746">
        <v>4790</v>
      </c>
      <c r="H746" t="s">
        <v>978</v>
      </c>
      <c r="I746" t="s">
        <v>979</v>
      </c>
      <c r="J746" t="s">
        <v>977</v>
      </c>
      <c r="K746">
        <v>981</v>
      </c>
      <c r="L746">
        <v>107</v>
      </c>
      <c r="M746">
        <v>132</v>
      </c>
      <c r="N746">
        <v>48447000</v>
      </c>
      <c r="O746">
        <v>12100</v>
      </c>
      <c r="P746">
        <v>193800</v>
      </c>
      <c r="Q746">
        <v>145300</v>
      </c>
      <c r="R746">
        <v>2300000</v>
      </c>
      <c r="S746">
        <v>200000</v>
      </c>
      <c r="T746">
        <v>2016</v>
      </c>
      <c r="U746" t="s">
        <v>1025</v>
      </c>
      <c r="V746">
        <v>28</v>
      </c>
      <c r="W746">
        <v>28.1</v>
      </c>
      <c r="X746">
        <v>1366417754</v>
      </c>
      <c r="Y746">
        <v>5.36</v>
      </c>
      <c r="Z746">
        <v>471031528</v>
      </c>
      <c r="AA746">
        <v>20.593684</v>
      </c>
      <c r="AB746">
        <v>78.962879999999998</v>
      </c>
    </row>
    <row r="747" spans="1:28" x14ac:dyDescent="0.3">
      <c r="A747">
        <v>746</v>
      </c>
      <c r="B747" t="s">
        <v>499</v>
      </c>
      <c r="C747">
        <v>14500000</v>
      </c>
      <c r="D747">
        <v>8582696157</v>
      </c>
      <c r="E747" t="s">
        <v>988</v>
      </c>
      <c r="F747" t="s">
        <v>499</v>
      </c>
      <c r="G747">
        <v>19201</v>
      </c>
      <c r="H747" t="s">
        <v>984</v>
      </c>
      <c r="I747" t="s">
        <v>985</v>
      </c>
      <c r="J747" t="s">
        <v>988</v>
      </c>
      <c r="K747">
        <v>592</v>
      </c>
      <c r="L747">
        <v>156</v>
      </c>
      <c r="M747">
        <v>151</v>
      </c>
      <c r="N747">
        <v>48285000</v>
      </c>
      <c r="O747">
        <v>12100</v>
      </c>
      <c r="P747">
        <v>193100</v>
      </c>
      <c r="Q747">
        <v>144900</v>
      </c>
      <c r="R747">
        <v>2300000</v>
      </c>
      <c r="S747" t="s">
        <v>987</v>
      </c>
      <c r="T747">
        <v>2007</v>
      </c>
      <c r="U747" t="s">
        <v>1003</v>
      </c>
      <c r="V747">
        <v>3</v>
      </c>
      <c r="W747">
        <v>88.2</v>
      </c>
      <c r="X747">
        <v>328239523</v>
      </c>
      <c r="Y747">
        <v>14.7</v>
      </c>
      <c r="Z747">
        <v>270663028</v>
      </c>
      <c r="AA747">
        <v>37.090240000000001</v>
      </c>
      <c r="AB747">
        <v>-95.712890999999999</v>
      </c>
    </row>
    <row r="748" spans="1:28" x14ac:dyDescent="0.3">
      <c r="A748">
        <v>747</v>
      </c>
      <c r="B748" t="s">
        <v>517</v>
      </c>
      <c r="C748">
        <v>14500000</v>
      </c>
      <c r="D748">
        <v>9383692066</v>
      </c>
      <c r="E748" t="s">
        <v>988</v>
      </c>
      <c r="F748" t="s">
        <v>517</v>
      </c>
      <c r="G748">
        <v>68606</v>
      </c>
      <c r="H748" t="s">
        <v>1048</v>
      </c>
      <c r="I748" t="s">
        <v>1049</v>
      </c>
      <c r="J748" t="s">
        <v>988</v>
      </c>
      <c r="K748">
        <v>502</v>
      </c>
      <c r="L748">
        <v>13</v>
      </c>
      <c r="M748">
        <v>151</v>
      </c>
      <c r="N748">
        <v>45622000</v>
      </c>
      <c r="O748">
        <v>11400</v>
      </c>
      <c r="P748">
        <v>182500</v>
      </c>
      <c r="Q748">
        <v>136900</v>
      </c>
      <c r="R748">
        <v>2200000</v>
      </c>
      <c r="S748">
        <v>100000</v>
      </c>
      <c r="T748">
        <v>2011</v>
      </c>
      <c r="U748" t="s">
        <v>1008</v>
      </c>
      <c r="V748">
        <v>8</v>
      </c>
      <c r="W748">
        <v>49.3</v>
      </c>
      <c r="X748">
        <v>69625582</v>
      </c>
      <c r="Y748">
        <v>0.75</v>
      </c>
      <c r="Z748">
        <v>35294600</v>
      </c>
      <c r="AA748">
        <v>15.870032</v>
      </c>
      <c r="AB748">
        <v>100.992541</v>
      </c>
    </row>
    <row r="749" spans="1:28" x14ac:dyDescent="0.3">
      <c r="A749">
        <v>748</v>
      </c>
      <c r="B749" t="s">
        <v>79</v>
      </c>
      <c r="C749">
        <v>14500000</v>
      </c>
      <c r="D749">
        <v>10303519926</v>
      </c>
      <c r="E749" t="s">
        <v>994</v>
      </c>
      <c r="F749" t="s">
        <v>79</v>
      </c>
      <c r="G749">
        <v>293516</v>
      </c>
      <c r="H749" t="s">
        <v>978</v>
      </c>
      <c r="I749" t="s">
        <v>979</v>
      </c>
      <c r="J749" t="s">
        <v>1027</v>
      </c>
      <c r="K749">
        <v>414</v>
      </c>
      <c r="L749">
        <v>106</v>
      </c>
      <c r="M749">
        <v>18</v>
      </c>
      <c r="N749">
        <v>418474000</v>
      </c>
      <c r="O749">
        <v>104600</v>
      </c>
      <c r="P749">
        <v>1700000</v>
      </c>
      <c r="Q749">
        <v>1300000</v>
      </c>
      <c r="R749">
        <v>20100000</v>
      </c>
      <c r="S749">
        <v>700000</v>
      </c>
      <c r="T749">
        <v>2018</v>
      </c>
      <c r="U749" t="s">
        <v>1029</v>
      </c>
      <c r="V749">
        <v>19</v>
      </c>
      <c r="W749">
        <v>28.1</v>
      </c>
      <c r="X749">
        <v>1366417754</v>
      </c>
      <c r="Y749">
        <v>5.36</v>
      </c>
      <c r="Z749">
        <v>471031528</v>
      </c>
      <c r="AA749">
        <v>20.593684</v>
      </c>
      <c r="AB749">
        <v>78.962879999999998</v>
      </c>
    </row>
    <row r="750" spans="1:28" x14ac:dyDescent="0.3">
      <c r="A750">
        <v>749</v>
      </c>
      <c r="B750" t="s">
        <v>353</v>
      </c>
      <c r="C750">
        <v>14500000</v>
      </c>
      <c r="D750">
        <v>20042571499</v>
      </c>
      <c r="E750" t="s">
        <v>977</v>
      </c>
      <c r="F750" t="s">
        <v>353</v>
      </c>
      <c r="G750">
        <v>147</v>
      </c>
      <c r="H750" t="s">
        <v>984</v>
      </c>
      <c r="I750" t="s">
        <v>985</v>
      </c>
      <c r="J750" t="s">
        <v>977</v>
      </c>
      <c r="K750">
        <v>123</v>
      </c>
      <c r="L750">
        <v>156</v>
      </c>
      <c r="M750">
        <v>132</v>
      </c>
      <c r="N750">
        <v>98185000</v>
      </c>
      <c r="O750">
        <v>24500</v>
      </c>
      <c r="P750">
        <v>392700</v>
      </c>
      <c r="Q750">
        <v>294600</v>
      </c>
      <c r="R750">
        <v>4700000</v>
      </c>
      <c r="S750" t="s">
        <v>987</v>
      </c>
      <c r="T750">
        <v>2009</v>
      </c>
      <c r="U750" t="s">
        <v>995</v>
      </c>
      <c r="V750">
        <v>12</v>
      </c>
      <c r="W750">
        <v>88.2</v>
      </c>
      <c r="X750">
        <v>328239523</v>
      </c>
      <c r="Y750">
        <v>14.7</v>
      </c>
      <c r="Z750">
        <v>270663028</v>
      </c>
      <c r="AA750">
        <v>37.090240000000001</v>
      </c>
      <c r="AB750">
        <v>-95.712890999999999</v>
      </c>
    </row>
    <row r="751" spans="1:28" x14ac:dyDescent="0.3">
      <c r="A751">
        <v>750</v>
      </c>
      <c r="B751" t="s">
        <v>555</v>
      </c>
      <c r="C751">
        <v>14500000</v>
      </c>
      <c r="D751">
        <v>4315486422</v>
      </c>
      <c r="E751" t="s">
        <v>977</v>
      </c>
      <c r="F751" t="s">
        <v>555</v>
      </c>
      <c r="G751">
        <v>176</v>
      </c>
      <c r="H751" t="s">
        <v>1238</v>
      </c>
      <c r="I751" t="s">
        <v>1239</v>
      </c>
      <c r="J751" t="s">
        <v>977</v>
      </c>
      <c r="K751">
        <v>1710</v>
      </c>
      <c r="L751">
        <v>1</v>
      </c>
      <c r="M751">
        <v>132</v>
      </c>
      <c r="N751">
        <v>37577000</v>
      </c>
      <c r="O751">
        <v>9400</v>
      </c>
      <c r="P751">
        <v>150300</v>
      </c>
      <c r="Q751">
        <v>112700</v>
      </c>
      <c r="R751">
        <v>1800000</v>
      </c>
      <c r="S751" t="s">
        <v>987</v>
      </c>
      <c r="T751">
        <v>2012</v>
      </c>
      <c r="U751" t="s">
        <v>1005</v>
      </c>
      <c r="V751">
        <v>22</v>
      </c>
      <c r="W751">
        <v>35.9</v>
      </c>
      <c r="X751">
        <v>36910560</v>
      </c>
      <c r="Y751">
        <v>9.02</v>
      </c>
      <c r="Z751">
        <v>22975026</v>
      </c>
      <c r="AA751">
        <v>31.791702000000001</v>
      </c>
      <c r="AB751">
        <v>-7.0926200000000001</v>
      </c>
    </row>
    <row r="752" spans="1:28" x14ac:dyDescent="0.3">
      <c r="A752">
        <v>751</v>
      </c>
      <c r="B752" t="s">
        <v>503</v>
      </c>
      <c r="C752">
        <v>14500000</v>
      </c>
      <c r="D752">
        <v>9201428420</v>
      </c>
      <c r="E752" t="s">
        <v>977</v>
      </c>
      <c r="F752" t="s">
        <v>503</v>
      </c>
      <c r="G752">
        <v>39</v>
      </c>
      <c r="H752" t="s">
        <v>987</v>
      </c>
      <c r="I752" t="s">
        <v>987</v>
      </c>
      <c r="J752" t="s">
        <v>977</v>
      </c>
      <c r="K752">
        <v>518</v>
      </c>
      <c r="L752">
        <v>4</v>
      </c>
      <c r="M752">
        <v>132</v>
      </c>
      <c r="N752">
        <v>48193000</v>
      </c>
      <c r="O752">
        <v>12000</v>
      </c>
      <c r="P752">
        <v>192800</v>
      </c>
      <c r="Q752">
        <v>144600</v>
      </c>
      <c r="R752">
        <v>2300000</v>
      </c>
      <c r="S752">
        <v>100000</v>
      </c>
      <c r="T752">
        <v>2016</v>
      </c>
      <c r="U752" t="s">
        <v>989</v>
      </c>
      <c r="V752">
        <v>13</v>
      </c>
      <c r="W752" t="s">
        <v>987</v>
      </c>
      <c r="X752" t="s">
        <v>987</v>
      </c>
      <c r="Y752" t="s">
        <v>987</v>
      </c>
      <c r="Z752" t="s">
        <v>987</v>
      </c>
      <c r="AA752" t="s">
        <v>987</v>
      </c>
      <c r="AB752" t="s">
        <v>987</v>
      </c>
    </row>
    <row r="753" spans="1:28" x14ac:dyDescent="0.3">
      <c r="A753">
        <v>752</v>
      </c>
      <c r="B753" t="s">
        <v>759</v>
      </c>
      <c r="C753">
        <v>14500000</v>
      </c>
      <c r="D753">
        <v>3517662420</v>
      </c>
      <c r="E753" t="s">
        <v>1044</v>
      </c>
      <c r="F753" t="s">
        <v>759</v>
      </c>
      <c r="G753">
        <v>1064</v>
      </c>
      <c r="H753" t="s">
        <v>1017</v>
      </c>
      <c r="I753" t="s">
        <v>1018</v>
      </c>
      <c r="J753" t="s">
        <v>1044</v>
      </c>
      <c r="K753">
        <v>2297</v>
      </c>
      <c r="L753">
        <v>8</v>
      </c>
      <c r="M753">
        <v>31</v>
      </c>
      <c r="N753">
        <v>5329000</v>
      </c>
      <c r="O753">
        <v>1300</v>
      </c>
      <c r="P753">
        <v>21300</v>
      </c>
      <c r="Q753">
        <v>16000</v>
      </c>
      <c r="R753">
        <v>255800</v>
      </c>
      <c r="S753" t="s">
        <v>987</v>
      </c>
      <c r="T753">
        <v>2010</v>
      </c>
      <c r="U753" t="s">
        <v>1025</v>
      </c>
      <c r="V753">
        <v>29</v>
      </c>
      <c r="W753">
        <v>68.900000000000006</v>
      </c>
      <c r="X753">
        <v>36991981</v>
      </c>
      <c r="Y753">
        <v>5.56</v>
      </c>
      <c r="Z753">
        <v>30628482</v>
      </c>
      <c r="AA753">
        <v>56.130366000000002</v>
      </c>
      <c r="AB753">
        <v>-106.346771</v>
      </c>
    </row>
    <row r="754" spans="1:28" x14ac:dyDescent="0.3">
      <c r="A754">
        <v>753</v>
      </c>
      <c r="B754" t="s">
        <v>1240</v>
      </c>
      <c r="C754">
        <v>14400000</v>
      </c>
      <c r="D754">
        <v>600154268</v>
      </c>
      <c r="E754" t="s">
        <v>988</v>
      </c>
      <c r="F754" t="s">
        <v>1240</v>
      </c>
      <c r="G754">
        <v>364</v>
      </c>
      <c r="H754" t="s">
        <v>1006</v>
      </c>
      <c r="I754" t="s">
        <v>1007</v>
      </c>
      <c r="J754" t="s">
        <v>988</v>
      </c>
      <c r="K754">
        <v>21132</v>
      </c>
      <c r="L754">
        <v>14</v>
      </c>
      <c r="M754">
        <v>151</v>
      </c>
      <c r="N754">
        <v>1370000</v>
      </c>
      <c r="O754">
        <v>342</v>
      </c>
      <c r="P754">
        <v>5500</v>
      </c>
      <c r="Q754">
        <v>4100</v>
      </c>
      <c r="R754">
        <v>65700</v>
      </c>
      <c r="S754">
        <v>300000</v>
      </c>
      <c r="T754">
        <v>2017</v>
      </c>
      <c r="U754" t="s">
        <v>980</v>
      </c>
      <c r="V754">
        <v>8</v>
      </c>
      <c r="W754">
        <v>94.3</v>
      </c>
      <c r="X754">
        <v>51709098</v>
      </c>
      <c r="Y754">
        <v>4.1500000000000004</v>
      </c>
      <c r="Z754">
        <v>42106719</v>
      </c>
      <c r="AA754">
        <v>35.907756999999997</v>
      </c>
      <c r="AB754">
        <v>127.76692199999999</v>
      </c>
    </row>
    <row r="755" spans="1:28" x14ac:dyDescent="0.3">
      <c r="A755">
        <v>754</v>
      </c>
      <c r="B755" t="s">
        <v>698</v>
      </c>
      <c r="C755">
        <v>14400000</v>
      </c>
      <c r="D755">
        <v>2224121890</v>
      </c>
      <c r="E755" t="s">
        <v>996</v>
      </c>
      <c r="F755" t="s">
        <v>698</v>
      </c>
      <c r="G755">
        <v>3086</v>
      </c>
      <c r="H755" t="s">
        <v>978</v>
      </c>
      <c r="I755" t="s">
        <v>979</v>
      </c>
      <c r="J755" t="s">
        <v>986</v>
      </c>
      <c r="K755">
        <v>4292</v>
      </c>
      <c r="L755">
        <v>107</v>
      </c>
      <c r="M755">
        <v>52</v>
      </c>
      <c r="N755">
        <v>13891000</v>
      </c>
      <c r="O755">
        <v>3500</v>
      </c>
      <c r="P755">
        <v>55600</v>
      </c>
      <c r="Q755">
        <v>41700</v>
      </c>
      <c r="R755">
        <v>666800</v>
      </c>
      <c r="S755">
        <v>100000</v>
      </c>
      <c r="T755">
        <v>2017</v>
      </c>
      <c r="U755" t="s">
        <v>991</v>
      </c>
      <c r="V755">
        <v>1</v>
      </c>
      <c r="W755">
        <v>28.1</v>
      </c>
      <c r="X755">
        <v>1366417754</v>
      </c>
      <c r="Y755">
        <v>5.36</v>
      </c>
      <c r="Z755">
        <v>471031528</v>
      </c>
      <c r="AA755">
        <v>20.593684</v>
      </c>
      <c r="AB755">
        <v>78.962879999999998</v>
      </c>
    </row>
    <row r="756" spans="1:28" x14ac:dyDescent="0.3">
      <c r="A756">
        <v>755</v>
      </c>
      <c r="B756" t="s">
        <v>787</v>
      </c>
      <c r="C756">
        <v>14400000</v>
      </c>
      <c r="D756">
        <v>1629801448</v>
      </c>
      <c r="E756" t="s">
        <v>988</v>
      </c>
      <c r="F756" t="s">
        <v>787</v>
      </c>
      <c r="G756">
        <v>399</v>
      </c>
      <c r="H756" t="s">
        <v>1241</v>
      </c>
      <c r="I756" t="s">
        <v>1242</v>
      </c>
      <c r="J756" t="s">
        <v>988</v>
      </c>
      <c r="K756">
        <v>6402</v>
      </c>
      <c r="L756">
        <v>1</v>
      </c>
      <c r="M756">
        <v>152</v>
      </c>
      <c r="N756">
        <v>1002000</v>
      </c>
      <c r="O756">
        <v>251</v>
      </c>
      <c r="P756">
        <v>4000</v>
      </c>
      <c r="Q756">
        <v>3000</v>
      </c>
      <c r="R756">
        <v>48100</v>
      </c>
      <c r="S756" t="s">
        <v>987</v>
      </c>
      <c r="T756">
        <v>2014</v>
      </c>
      <c r="U756" t="s">
        <v>995</v>
      </c>
      <c r="V756">
        <v>20</v>
      </c>
      <c r="W756">
        <v>70.7</v>
      </c>
      <c r="X756">
        <v>32510453</v>
      </c>
      <c r="Y756">
        <v>3.31</v>
      </c>
      <c r="Z756">
        <v>25390339</v>
      </c>
      <c r="AA756">
        <v>-9.1899669999999993</v>
      </c>
      <c r="AB756">
        <v>-75.015152</v>
      </c>
    </row>
    <row r="757" spans="1:28" x14ac:dyDescent="0.3">
      <c r="A757">
        <v>756</v>
      </c>
      <c r="B757" t="s">
        <v>868</v>
      </c>
      <c r="C757">
        <v>14400000</v>
      </c>
      <c r="D757">
        <v>351763324</v>
      </c>
      <c r="E757" t="s">
        <v>996</v>
      </c>
      <c r="F757" t="s">
        <v>1243</v>
      </c>
      <c r="G757">
        <v>2</v>
      </c>
      <c r="H757" t="s">
        <v>987</v>
      </c>
      <c r="I757" t="s">
        <v>987</v>
      </c>
      <c r="J757" t="s">
        <v>1002</v>
      </c>
      <c r="K757">
        <v>4057274</v>
      </c>
      <c r="L757" t="s">
        <v>987</v>
      </c>
      <c r="M757">
        <v>7596</v>
      </c>
      <c r="N757">
        <v>2</v>
      </c>
      <c r="O757">
        <v>0</v>
      </c>
      <c r="P757">
        <v>0.01</v>
      </c>
      <c r="Q757">
        <v>0.01</v>
      </c>
      <c r="R757">
        <v>0.1</v>
      </c>
      <c r="S757">
        <v>1</v>
      </c>
      <c r="T757">
        <v>2006</v>
      </c>
      <c r="U757" t="s">
        <v>989</v>
      </c>
      <c r="V757">
        <v>3</v>
      </c>
      <c r="W757" t="s">
        <v>987</v>
      </c>
      <c r="X757" t="s">
        <v>987</v>
      </c>
      <c r="Y757" t="s">
        <v>987</v>
      </c>
      <c r="Z757" t="s">
        <v>987</v>
      </c>
      <c r="AA757" t="s">
        <v>987</v>
      </c>
      <c r="AB757" t="s">
        <v>987</v>
      </c>
    </row>
    <row r="758" spans="1:28" x14ac:dyDescent="0.3">
      <c r="A758">
        <v>757</v>
      </c>
      <c r="B758" t="s">
        <v>1244</v>
      </c>
      <c r="C758">
        <v>14400000</v>
      </c>
      <c r="D758">
        <v>2972474215</v>
      </c>
      <c r="E758" t="s">
        <v>988</v>
      </c>
      <c r="F758" t="s">
        <v>1245</v>
      </c>
      <c r="G758">
        <v>381</v>
      </c>
      <c r="H758" t="s">
        <v>1071</v>
      </c>
      <c r="I758" t="s">
        <v>1072</v>
      </c>
      <c r="J758" t="s">
        <v>988</v>
      </c>
      <c r="K758">
        <v>2934</v>
      </c>
      <c r="L758">
        <v>6</v>
      </c>
      <c r="M758">
        <v>152</v>
      </c>
      <c r="N758">
        <v>4673000</v>
      </c>
      <c r="O758">
        <v>1200</v>
      </c>
      <c r="P758">
        <v>18700</v>
      </c>
      <c r="Q758">
        <v>14000</v>
      </c>
      <c r="R758">
        <v>224300</v>
      </c>
      <c r="S758" t="s">
        <v>987</v>
      </c>
      <c r="T758">
        <v>2017</v>
      </c>
      <c r="U758" t="s">
        <v>1005</v>
      </c>
      <c r="V758">
        <v>1</v>
      </c>
      <c r="W758">
        <v>68</v>
      </c>
      <c r="X758">
        <v>34268528</v>
      </c>
      <c r="Y758">
        <v>5.93</v>
      </c>
      <c r="Z758">
        <v>28807838</v>
      </c>
      <c r="AA758">
        <v>23.885942</v>
      </c>
      <c r="AB758">
        <v>45.079161999999997</v>
      </c>
    </row>
    <row r="759" spans="1:28" x14ac:dyDescent="0.3">
      <c r="A759">
        <v>758</v>
      </c>
      <c r="B759" t="s">
        <v>715</v>
      </c>
      <c r="C759">
        <v>14400000</v>
      </c>
      <c r="D759">
        <v>3086254545</v>
      </c>
      <c r="E759" t="s">
        <v>1044</v>
      </c>
      <c r="F759" t="s">
        <v>715</v>
      </c>
      <c r="G759">
        <v>222</v>
      </c>
      <c r="H759" t="s">
        <v>1134</v>
      </c>
      <c r="I759" t="s">
        <v>1135</v>
      </c>
      <c r="J759" t="s">
        <v>1044</v>
      </c>
      <c r="K759">
        <v>2767</v>
      </c>
      <c r="L759">
        <v>2</v>
      </c>
      <c r="M759">
        <v>32</v>
      </c>
      <c r="N759">
        <v>11417000</v>
      </c>
      <c r="O759">
        <v>2900</v>
      </c>
      <c r="P759">
        <v>45700</v>
      </c>
      <c r="Q759">
        <v>34300</v>
      </c>
      <c r="R759">
        <v>548000</v>
      </c>
      <c r="S759" t="s">
        <v>987</v>
      </c>
      <c r="T759">
        <v>2007</v>
      </c>
      <c r="U759" t="s">
        <v>989</v>
      </c>
      <c r="V759">
        <v>25</v>
      </c>
      <c r="W759">
        <v>65.599999999999994</v>
      </c>
      <c r="X759">
        <v>67059887</v>
      </c>
      <c r="Y759">
        <v>8.43</v>
      </c>
      <c r="Z759">
        <v>54123364</v>
      </c>
      <c r="AA759">
        <v>46.227637999999999</v>
      </c>
      <c r="AB759">
        <v>2.213749</v>
      </c>
    </row>
    <row r="760" spans="1:28" x14ac:dyDescent="0.3">
      <c r="A760">
        <v>759</v>
      </c>
      <c r="B760" t="s">
        <v>741</v>
      </c>
      <c r="C760">
        <v>14400000</v>
      </c>
      <c r="D760">
        <v>3900312631</v>
      </c>
      <c r="E760" t="s">
        <v>1044</v>
      </c>
      <c r="F760" t="s">
        <v>741</v>
      </c>
      <c r="G760">
        <v>463</v>
      </c>
      <c r="H760" t="s">
        <v>984</v>
      </c>
      <c r="I760" t="s">
        <v>985</v>
      </c>
      <c r="J760" t="s">
        <v>988</v>
      </c>
      <c r="K760">
        <v>1986</v>
      </c>
      <c r="L760">
        <v>157</v>
      </c>
      <c r="M760">
        <v>152</v>
      </c>
      <c r="N760">
        <v>8636000</v>
      </c>
      <c r="O760">
        <v>2200</v>
      </c>
      <c r="P760">
        <v>34500</v>
      </c>
      <c r="Q760">
        <v>25900</v>
      </c>
      <c r="R760">
        <v>414500</v>
      </c>
      <c r="S760" t="s">
        <v>987</v>
      </c>
      <c r="T760">
        <v>2010</v>
      </c>
      <c r="U760" t="s">
        <v>1005</v>
      </c>
      <c r="V760">
        <v>14</v>
      </c>
      <c r="W760">
        <v>88.2</v>
      </c>
      <c r="X760">
        <v>328239523</v>
      </c>
      <c r="Y760">
        <v>14.7</v>
      </c>
      <c r="Z760">
        <v>270663028</v>
      </c>
      <c r="AA760">
        <v>37.090240000000001</v>
      </c>
      <c r="AB760">
        <v>-95.712890999999999</v>
      </c>
    </row>
    <row r="761" spans="1:28" x14ac:dyDescent="0.3">
      <c r="A761">
        <v>760</v>
      </c>
      <c r="B761" t="s">
        <v>770</v>
      </c>
      <c r="C761">
        <v>14400000</v>
      </c>
      <c r="D761">
        <v>4035738731</v>
      </c>
      <c r="E761" t="s">
        <v>977</v>
      </c>
      <c r="F761" t="s">
        <v>1246</v>
      </c>
      <c r="G761">
        <v>450</v>
      </c>
      <c r="H761" t="s">
        <v>984</v>
      </c>
      <c r="I761" t="s">
        <v>985</v>
      </c>
      <c r="J761" t="s">
        <v>977</v>
      </c>
      <c r="K761">
        <v>23796</v>
      </c>
      <c r="L761">
        <v>962</v>
      </c>
      <c r="M761">
        <v>836</v>
      </c>
      <c r="N761">
        <v>3557000</v>
      </c>
      <c r="O761">
        <v>889</v>
      </c>
      <c r="P761">
        <v>14200</v>
      </c>
      <c r="Q761">
        <v>10700</v>
      </c>
      <c r="R761">
        <v>170700</v>
      </c>
      <c r="S761">
        <v>10000</v>
      </c>
      <c r="T761">
        <v>2008</v>
      </c>
      <c r="U761" t="s">
        <v>1008</v>
      </c>
      <c r="V761">
        <v>4</v>
      </c>
      <c r="W761">
        <v>88.2</v>
      </c>
      <c r="X761">
        <v>328239523</v>
      </c>
      <c r="Y761">
        <v>14.7</v>
      </c>
      <c r="Z761">
        <v>270663028</v>
      </c>
      <c r="AA761">
        <v>37.090240000000001</v>
      </c>
      <c r="AB761">
        <v>-95.712890999999999</v>
      </c>
    </row>
    <row r="762" spans="1:28" x14ac:dyDescent="0.3">
      <c r="A762">
        <v>761</v>
      </c>
      <c r="B762" t="s">
        <v>423</v>
      </c>
      <c r="C762">
        <v>14400000</v>
      </c>
      <c r="D762">
        <v>4156427797</v>
      </c>
      <c r="E762" t="s">
        <v>994</v>
      </c>
      <c r="F762" t="s">
        <v>423</v>
      </c>
      <c r="G762">
        <v>1838</v>
      </c>
      <c r="H762" t="s">
        <v>978</v>
      </c>
      <c r="I762" t="s">
        <v>979</v>
      </c>
      <c r="J762" t="s">
        <v>1002</v>
      </c>
      <c r="K762">
        <v>1793</v>
      </c>
      <c r="L762">
        <v>107</v>
      </c>
      <c r="M762">
        <v>47</v>
      </c>
      <c r="N762">
        <v>70409000</v>
      </c>
      <c r="O762">
        <v>17600</v>
      </c>
      <c r="P762">
        <v>281600</v>
      </c>
      <c r="Q762">
        <v>211200</v>
      </c>
      <c r="R762">
        <v>3400000</v>
      </c>
      <c r="S762">
        <v>200000</v>
      </c>
      <c r="T762">
        <v>2014</v>
      </c>
      <c r="U762" t="s">
        <v>999</v>
      </c>
      <c r="V762">
        <v>19</v>
      </c>
      <c r="W762">
        <v>28.1</v>
      </c>
      <c r="X762">
        <v>1366417754</v>
      </c>
      <c r="Y762">
        <v>5.36</v>
      </c>
      <c r="Z762">
        <v>471031528</v>
      </c>
      <c r="AA762">
        <v>20.593684</v>
      </c>
      <c r="AB762">
        <v>78.962879999999998</v>
      </c>
    </row>
    <row r="763" spans="1:28" x14ac:dyDescent="0.3">
      <c r="A763">
        <v>762</v>
      </c>
      <c r="B763" t="s">
        <v>608</v>
      </c>
      <c r="C763">
        <v>14400000</v>
      </c>
      <c r="D763">
        <v>4597228794</v>
      </c>
      <c r="E763" t="s">
        <v>1011</v>
      </c>
      <c r="F763" t="s">
        <v>608</v>
      </c>
      <c r="G763">
        <v>1248</v>
      </c>
      <c r="H763" t="s">
        <v>984</v>
      </c>
      <c r="I763" t="s">
        <v>985</v>
      </c>
      <c r="J763" t="s">
        <v>1053</v>
      </c>
      <c r="K763">
        <v>1552</v>
      </c>
      <c r="L763">
        <v>157</v>
      </c>
      <c r="M763">
        <v>27</v>
      </c>
      <c r="N763">
        <v>26683000</v>
      </c>
      <c r="O763">
        <v>6700</v>
      </c>
      <c r="P763">
        <v>106700</v>
      </c>
      <c r="Q763">
        <v>80000</v>
      </c>
      <c r="R763">
        <v>1300000</v>
      </c>
      <c r="S763" t="s">
        <v>987</v>
      </c>
      <c r="T763">
        <v>2010</v>
      </c>
      <c r="U763" t="s">
        <v>999</v>
      </c>
      <c r="V763">
        <v>8</v>
      </c>
      <c r="W763">
        <v>88.2</v>
      </c>
      <c r="X763">
        <v>328239523</v>
      </c>
      <c r="Y763">
        <v>14.7</v>
      </c>
      <c r="Z763">
        <v>270663028</v>
      </c>
      <c r="AA763">
        <v>37.090240000000001</v>
      </c>
      <c r="AB763">
        <v>-95.712890999999999</v>
      </c>
    </row>
    <row r="764" spans="1:28" x14ac:dyDescent="0.3">
      <c r="A764">
        <v>763</v>
      </c>
      <c r="B764" t="s">
        <v>1247</v>
      </c>
      <c r="C764">
        <v>14400000</v>
      </c>
      <c r="D764">
        <v>5689224452</v>
      </c>
      <c r="E764" t="s">
        <v>994</v>
      </c>
      <c r="F764" t="s">
        <v>1248</v>
      </c>
      <c r="G764">
        <v>0</v>
      </c>
      <c r="H764" t="s">
        <v>984</v>
      </c>
      <c r="I764" t="s">
        <v>985</v>
      </c>
      <c r="J764" t="s">
        <v>986</v>
      </c>
      <c r="K764">
        <v>4037956</v>
      </c>
      <c r="L764">
        <v>7574</v>
      </c>
      <c r="M764">
        <v>7340</v>
      </c>
      <c r="N764" t="s">
        <v>987</v>
      </c>
      <c r="O764">
        <v>0</v>
      </c>
      <c r="P764">
        <v>0</v>
      </c>
      <c r="Q764">
        <v>0</v>
      </c>
      <c r="R764">
        <v>0</v>
      </c>
      <c r="S764" t="s">
        <v>987</v>
      </c>
      <c r="T764" t="s">
        <v>987</v>
      </c>
      <c r="U764" t="s">
        <v>987</v>
      </c>
      <c r="V764" t="s">
        <v>987</v>
      </c>
      <c r="W764">
        <v>88.2</v>
      </c>
      <c r="X764">
        <v>328239523</v>
      </c>
      <c r="Y764">
        <v>14.7</v>
      </c>
      <c r="Z764">
        <v>270663028</v>
      </c>
      <c r="AA764">
        <v>37.090240000000001</v>
      </c>
      <c r="AB764">
        <v>-95.712890999999999</v>
      </c>
    </row>
    <row r="765" spans="1:28" x14ac:dyDescent="0.3">
      <c r="A765">
        <v>764</v>
      </c>
      <c r="B765" t="s">
        <v>548</v>
      </c>
      <c r="C765">
        <v>14400000</v>
      </c>
      <c r="D765">
        <v>6543282459</v>
      </c>
      <c r="E765" t="s">
        <v>987</v>
      </c>
      <c r="F765" t="s">
        <v>548</v>
      </c>
      <c r="G765">
        <v>516</v>
      </c>
      <c r="H765" t="s">
        <v>984</v>
      </c>
      <c r="I765" t="s">
        <v>985</v>
      </c>
      <c r="J765" t="s">
        <v>988</v>
      </c>
      <c r="K765">
        <v>918</v>
      </c>
      <c r="L765">
        <v>157</v>
      </c>
      <c r="M765">
        <v>152</v>
      </c>
      <c r="N765">
        <v>40089000</v>
      </c>
      <c r="O765">
        <v>10000</v>
      </c>
      <c r="P765">
        <v>160400</v>
      </c>
      <c r="Q765">
        <v>120300</v>
      </c>
      <c r="R765">
        <v>1900000</v>
      </c>
      <c r="S765" t="s">
        <v>987</v>
      </c>
      <c r="T765">
        <v>2018</v>
      </c>
      <c r="U765" t="s">
        <v>1029</v>
      </c>
      <c r="V765">
        <v>3</v>
      </c>
      <c r="W765">
        <v>88.2</v>
      </c>
      <c r="X765">
        <v>328239523</v>
      </c>
      <c r="Y765">
        <v>14.7</v>
      </c>
      <c r="Z765">
        <v>270663028</v>
      </c>
      <c r="AA765">
        <v>37.090240000000001</v>
      </c>
      <c r="AB765">
        <v>-95.712890999999999</v>
      </c>
    </row>
    <row r="766" spans="1:28" x14ac:dyDescent="0.3">
      <c r="A766">
        <v>765</v>
      </c>
      <c r="B766" t="s">
        <v>177</v>
      </c>
      <c r="C766">
        <v>14400000</v>
      </c>
      <c r="D766">
        <v>8011977288</v>
      </c>
      <c r="E766" t="s">
        <v>988</v>
      </c>
      <c r="F766" t="s">
        <v>177</v>
      </c>
      <c r="G766">
        <v>5628</v>
      </c>
      <c r="H766" t="s">
        <v>978</v>
      </c>
      <c r="I766" t="s">
        <v>979</v>
      </c>
      <c r="J766" t="s">
        <v>988</v>
      </c>
      <c r="K766">
        <v>647</v>
      </c>
      <c r="L766">
        <v>108</v>
      </c>
      <c r="M766">
        <v>152</v>
      </c>
      <c r="N766">
        <v>212639000</v>
      </c>
      <c r="O766">
        <v>53200</v>
      </c>
      <c r="P766">
        <v>850600</v>
      </c>
      <c r="Q766">
        <v>637900</v>
      </c>
      <c r="R766">
        <v>10200000</v>
      </c>
      <c r="S766">
        <v>200000</v>
      </c>
      <c r="T766">
        <v>2020</v>
      </c>
      <c r="U766" t="s">
        <v>1025</v>
      </c>
      <c r="V766">
        <v>24</v>
      </c>
      <c r="W766">
        <v>28.1</v>
      </c>
      <c r="X766">
        <v>1366417754</v>
      </c>
      <c r="Y766">
        <v>5.36</v>
      </c>
      <c r="Z766">
        <v>471031528</v>
      </c>
      <c r="AA766">
        <v>20.593684</v>
      </c>
      <c r="AB766">
        <v>78.962879999999998</v>
      </c>
    </row>
    <row r="767" spans="1:28" x14ac:dyDescent="0.3">
      <c r="A767">
        <v>766</v>
      </c>
      <c r="B767" t="s">
        <v>444</v>
      </c>
      <c r="C767">
        <v>14400000</v>
      </c>
      <c r="D767">
        <v>9023952946</v>
      </c>
      <c r="E767" t="s">
        <v>982</v>
      </c>
      <c r="F767" t="s">
        <v>444</v>
      </c>
      <c r="G767">
        <v>978</v>
      </c>
      <c r="H767" t="s">
        <v>987</v>
      </c>
      <c r="I767" t="s">
        <v>987</v>
      </c>
      <c r="J767" t="s">
        <v>1022</v>
      </c>
      <c r="K767">
        <v>534</v>
      </c>
      <c r="L767" t="s">
        <v>987</v>
      </c>
      <c r="M767">
        <v>39</v>
      </c>
      <c r="N767">
        <v>62689000</v>
      </c>
      <c r="O767">
        <v>15700</v>
      </c>
      <c r="P767">
        <v>250800</v>
      </c>
      <c r="Q767">
        <v>188100</v>
      </c>
      <c r="R767">
        <v>3000000</v>
      </c>
      <c r="S767">
        <v>100000</v>
      </c>
      <c r="T767">
        <v>2015</v>
      </c>
      <c r="U767" t="s">
        <v>995</v>
      </c>
      <c r="V767">
        <v>6</v>
      </c>
      <c r="W767" t="s">
        <v>987</v>
      </c>
      <c r="X767" t="s">
        <v>987</v>
      </c>
      <c r="Y767" t="s">
        <v>987</v>
      </c>
      <c r="Z767" t="s">
        <v>987</v>
      </c>
      <c r="AA767" t="s">
        <v>987</v>
      </c>
      <c r="AB767" t="s">
        <v>987</v>
      </c>
    </row>
    <row r="768" spans="1:28" x14ac:dyDescent="0.3">
      <c r="A768">
        <v>767</v>
      </c>
      <c r="B768" t="s">
        <v>373</v>
      </c>
      <c r="C768">
        <v>14400000</v>
      </c>
      <c r="D768">
        <v>11423792969</v>
      </c>
      <c r="E768" t="s">
        <v>977</v>
      </c>
      <c r="F768" t="s">
        <v>373</v>
      </c>
      <c r="G768">
        <v>186</v>
      </c>
      <c r="H768" t="s">
        <v>984</v>
      </c>
      <c r="I768" t="s">
        <v>985</v>
      </c>
      <c r="J768" t="s">
        <v>977</v>
      </c>
      <c r="K768">
        <v>354</v>
      </c>
      <c r="L768">
        <v>157</v>
      </c>
      <c r="M768">
        <v>133</v>
      </c>
      <c r="N768">
        <v>88657000</v>
      </c>
      <c r="O768">
        <v>22200</v>
      </c>
      <c r="P768">
        <v>354600</v>
      </c>
      <c r="Q768">
        <v>266000</v>
      </c>
      <c r="R768">
        <v>4300000</v>
      </c>
      <c r="S768" t="s">
        <v>987</v>
      </c>
      <c r="T768">
        <v>2009</v>
      </c>
      <c r="U768" t="s">
        <v>1029</v>
      </c>
      <c r="V768">
        <v>24</v>
      </c>
      <c r="W768">
        <v>88.2</v>
      </c>
      <c r="X768">
        <v>328239523</v>
      </c>
      <c r="Y768">
        <v>14.7</v>
      </c>
      <c r="Z768">
        <v>270663028</v>
      </c>
      <c r="AA768">
        <v>37.090240000000001</v>
      </c>
      <c r="AB768">
        <v>-95.712890999999999</v>
      </c>
    </row>
    <row r="769" spans="1:28" x14ac:dyDescent="0.3">
      <c r="A769">
        <v>768</v>
      </c>
      <c r="B769" t="s">
        <v>248</v>
      </c>
      <c r="C769">
        <v>14400000</v>
      </c>
      <c r="D769">
        <v>18515587421</v>
      </c>
      <c r="E769" t="s">
        <v>988</v>
      </c>
      <c r="F769" t="s">
        <v>248</v>
      </c>
      <c r="G769">
        <v>101401</v>
      </c>
      <c r="H769" t="s">
        <v>978</v>
      </c>
      <c r="I769" t="s">
        <v>979</v>
      </c>
      <c r="J769" t="s">
        <v>988</v>
      </c>
      <c r="K769">
        <v>142</v>
      </c>
      <c r="L769">
        <v>108</v>
      </c>
      <c r="M769">
        <v>152</v>
      </c>
      <c r="N769">
        <v>149799000</v>
      </c>
      <c r="O769">
        <v>37400</v>
      </c>
      <c r="P769">
        <v>599200</v>
      </c>
      <c r="Q769">
        <v>449400</v>
      </c>
      <c r="R769">
        <v>7200000</v>
      </c>
      <c r="S769">
        <v>100000</v>
      </c>
      <c r="T769">
        <v>2018</v>
      </c>
      <c r="U769" t="s">
        <v>989</v>
      </c>
      <c r="V769">
        <v>13</v>
      </c>
      <c r="W769">
        <v>28.1</v>
      </c>
      <c r="X769">
        <v>1366417754</v>
      </c>
      <c r="Y769">
        <v>5.36</v>
      </c>
      <c r="Z769">
        <v>471031528</v>
      </c>
      <c r="AA769">
        <v>20.593684</v>
      </c>
      <c r="AB769">
        <v>78.962879999999998</v>
      </c>
    </row>
    <row r="770" spans="1:28" x14ac:dyDescent="0.3">
      <c r="A770">
        <v>769</v>
      </c>
      <c r="B770" t="s">
        <v>794</v>
      </c>
      <c r="C770">
        <v>14300000</v>
      </c>
      <c r="D770">
        <v>4776507159</v>
      </c>
      <c r="E770" t="s">
        <v>994</v>
      </c>
      <c r="F770" t="s">
        <v>794</v>
      </c>
      <c r="G770">
        <v>576</v>
      </c>
      <c r="H770" t="s">
        <v>984</v>
      </c>
      <c r="I770" t="s">
        <v>985</v>
      </c>
      <c r="J770" t="s">
        <v>988</v>
      </c>
      <c r="K770">
        <v>1452</v>
      </c>
      <c r="L770">
        <v>158</v>
      </c>
      <c r="M770">
        <v>153</v>
      </c>
      <c r="N770">
        <v>413774</v>
      </c>
      <c r="O770">
        <v>103</v>
      </c>
      <c r="P770">
        <v>1700</v>
      </c>
      <c r="Q770">
        <v>1200</v>
      </c>
      <c r="R770">
        <v>19900</v>
      </c>
      <c r="S770">
        <v>100000</v>
      </c>
      <c r="T770">
        <v>2014</v>
      </c>
      <c r="U770" t="s">
        <v>1015</v>
      </c>
      <c r="V770">
        <v>8</v>
      </c>
      <c r="W770">
        <v>88.2</v>
      </c>
      <c r="X770">
        <v>328239523</v>
      </c>
      <c r="Y770">
        <v>14.7</v>
      </c>
      <c r="Z770">
        <v>270663028</v>
      </c>
      <c r="AA770">
        <v>37.090240000000001</v>
      </c>
      <c r="AB770">
        <v>-95.712890999999999</v>
      </c>
    </row>
    <row r="771" spans="1:28" x14ac:dyDescent="0.3">
      <c r="A771">
        <v>770</v>
      </c>
      <c r="B771" t="s">
        <v>881</v>
      </c>
      <c r="C771">
        <v>14300000</v>
      </c>
      <c r="D771">
        <v>6388439235</v>
      </c>
      <c r="E771" t="s">
        <v>1044</v>
      </c>
      <c r="F771" t="s">
        <v>1249</v>
      </c>
      <c r="G771">
        <v>1</v>
      </c>
      <c r="H771" t="s">
        <v>984</v>
      </c>
      <c r="I771" t="s">
        <v>985</v>
      </c>
      <c r="J771" t="s">
        <v>988</v>
      </c>
      <c r="K771">
        <v>4054606</v>
      </c>
      <c r="L771">
        <v>6342</v>
      </c>
      <c r="M771">
        <v>5464</v>
      </c>
      <c r="N771" t="s">
        <v>987</v>
      </c>
      <c r="O771">
        <v>0</v>
      </c>
      <c r="P771">
        <v>0</v>
      </c>
      <c r="Q771">
        <v>0</v>
      </c>
      <c r="R771">
        <v>0</v>
      </c>
      <c r="S771" t="s">
        <v>987</v>
      </c>
      <c r="T771">
        <v>2011</v>
      </c>
      <c r="U771" t="s">
        <v>1010</v>
      </c>
      <c r="V771">
        <v>4</v>
      </c>
      <c r="W771">
        <v>88.2</v>
      </c>
      <c r="X771">
        <v>328239523</v>
      </c>
      <c r="Y771">
        <v>14.7</v>
      </c>
      <c r="Z771">
        <v>270663028</v>
      </c>
      <c r="AA771">
        <v>37.090240000000001</v>
      </c>
      <c r="AB771">
        <v>-95.712890999999999</v>
      </c>
    </row>
    <row r="772" spans="1:28" x14ac:dyDescent="0.3">
      <c r="A772">
        <v>771</v>
      </c>
      <c r="B772" t="s">
        <v>445</v>
      </c>
      <c r="C772">
        <v>14200000</v>
      </c>
      <c r="D772">
        <v>6048517979</v>
      </c>
      <c r="E772" t="s">
        <v>977</v>
      </c>
      <c r="F772" t="s">
        <v>445</v>
      </c>
      <c r="G772">
        <v>1823</v>
      </c>
      <c r="H772" t="s">
        <v>1045</v>
      </c>
      <c r="I772" t="s">
        <v>1046</v>
      </c>
      <c r="J772" t="s">
        <v>977</v>
      </c>
      <c r="K772">
        <v>1036</v>
      </c>
      <c r="L772">
        <v>8</v>
      </c>
      <c r="M772">
        <v>134</v>
      </c>
      <c r="N772">
        <v>62658000</v>
      </c>
      <c r="O772">
        <v>15700</v>
      </c>
      <c r="P772">
        <v>250600</v>
      </c>
      <c r="Q772">
        <v>188000</v>
      </c>
      <c r="R772">
        <v>3000000</v>
      </c>
      <c r="S772" t="s">
        <v>987</v>
      </c>
      <c r="T772">
        <v>2014</v>
      </c>
      <c r="U772" t="s">
        <v>1015</v>
      </c>
      <c r="V772">
        <v>13</v>
      </c>
      <c r="W772">
        <v>35.5</v>
      </c>
      <c r="X772">
        <v>108116615</v>
      </c>
      <c r="Y772">
        <v>2.15</v>
      </c>
      <c r="Z772">
        <v>50975903</v>
      </c>
      <c r="AA772">
        <v>12.879721</v>
      </c>
      <c r="AB772">
        <v>121.774017</v>
      </c>
    </row>
    <row r="773" spans="1:28" x14ac:dyDescent="0.3">
      <c r="A773">
        <v>772</v>
      </c>
      <c r="B773" t="s">
        <v>663</v>
      </c>
      <c r="C773">
        <v>14200000</v>
      </c>
      <c r="D773">
        <v>4040297006</v>
      </c>
      <c r="E773" t="s">
        <v>982</v>
      </c>
      <c r="F773" t="s">
        <v>663</v>
      </c>
      <c r="G773">
        <v>1281</v>
      </c>
      <c r="H773" t="s">
        <v>1019</v>
      </c>
      <c r="I773" t="s">
        <v>1020</v>
      </c>
      <c r="J773" t="s">
        <v>988</v>
      </c>
      <c r="K773">
        <v>1877</v>
      </c>
      <c r="L773">
        <v>43</v>
      </c>
      <c r="M773">
        <v>154</v>
      </c>
      <c r="N773">
        <v>19029000</v>
      </c>
      <c r="O773">
        <v>4800</v>
      </c>
      <c r="P773">
        <v>76100</v>
      </c>
      <c r="Q773">
        <v>57100</v>
      </c>
      <c r="R773">
        <v>913400</v>
      </c>
      <c r="S773" t="s">
        <v>987</v>
      </c>
      <c r="T773">
        <v>2014</v>
      </c>
      <c r="U773" t="s">
        <v>1025</v>
      </c>
      <c r="V773">
        <v>18</v>
      </c>
      <c r="W773">
        <v>51.3</v>
      </c>
      <c r="X773">
        <v>212559417</v>
      </c>
      <c r="Y773">
        <v>12.08</v>
      </c>
      <c r="Z773">
        <v>183241641</v>
      </c>
      <c r="AA773">
        <v>-14.235004</v>
      </c>
      <c r="AB773">
        <v>-51.925280000000001</v>
      </c>
    </row>
    <row r="774" spans="1:28" x14ac:dyDescent="0.3">
      <c r="A774">
        <v>773</v>
      </c>
      <c r="B774" t="s">
        <v>830</v>
      </c>
      <c r="C774">
        <v>14200000</v>
      </c>
      <c r="D774">
        <v>6973932553</v>
      </c>
      <c r="E774" t="s">
        <v>988</v>
      </c>
      <c r="F774" t="s">
        <v>1250</v>
      </c>
      <c r="G774">
        <v>60</v>
      </c>
      <c r="H774" t="s">
        <v>1152</v>
      </c>
      <c r="I774" t="s">
        <v>1153</v>
      </c>
      <c r="J774" t="s">
        <v>988</v>
      </c>
      <c r="K774">
        <v>3739171</v>
      </c>
      <c r="L774">
        <v>2460</v>
      </c>
      <c r="M774">
        <v>4686</v>
      </c>
      <c r="N774">
        <v>105</v>
      </c>
      <c r="O774">
        <v>0.03</v>
      </c>
      <c r="P774">
        <v>0.42</v>
      </c>
      <c r="Q774">
        <v>0.32</v>
      </c>
      <c r="R774">
        <v>5</v>
      </c>
      <c r="S774">
        <v>10</v>
      </c>
      <c r="T774">
        <v>2016</v>
      </c>
      <c r="U774" t="s">
        <v>1010</v>
      </c>
      <c r="V774">
        <v>3</v>
      </c>
      <c r="W774">
        <v>82.7</v>
      </c>
      <c r="X774">
        <v>44385155</v>
      </c>
      <c r="Y774">
        <v>8.8800000000000008</v>
      </c>
      <c r="Z774">
        <v>30835699</v>
      </c>
      <c r="AA774">
        <v>48.379432999999999</v>
      </c>
      <c r="AB774">
        <v>31.165579999999999</v>
      </c>
    </row>
    <row r="775" spans="1:28" x14ac:dyDescent="0.3">
      <c r="A775">
        <v>774</v>
      </c>
      <c r="B775" t="s">
        <v>565</v>
      </c>
      <c r="C775">
        <v>14200000</v>
      </c>
      <c r="D775">
        <v>1778318927</v>
      </c>
      <c r="E775" t="s">
        <v>1011</v>
      </c>
      <c r="F775" t="s">
        <v>565</v>
      </c>
      <c r="G775">
        <v>876</v>
      </c>
      <c r="H775" t="s">
        <v>1101</v>
      </c>
      <c r="I775" t="s">
        <v>1102</v>
      </c>
      <c r="J775" t="s">
        <v>988</v>
      </c>
      <c r="K775">
        <v>5764</v>
      </c>
      <c r="L775">
        <v>2</v>
      </c>
      <c r="M775">
        <v>154</v>
      </c>
      <c r="N775">
        <v>35934000</v>
      </c>
      <c r="O775">
        <v>9000</v>
      </c>
      <c r="P775">
        <v>143700</v>
      </c>
      <c r="Q775">
        <v>107800</v>
      </c>
      <c r="R775">
        <v>1700000</v>
      </c>
      <c r="S775" t="s">
        <v>987</v>
      </c>
      <c r="T775">
        <v>2008</v>
      </c>
      <c r="U775" t="s">
        <v>1008</v>
      </c>
      <c r="V775">
        <v>23</v>
      </c>
      <c r="W775">
        <v>85</v>
      </c>
      <c r="X775">
        <v>17332850</v>
      </c>
      <c r="Y775">
        <v>3.2</v>
      </c>
      <c r="Z775">
        <v>15924729</v>
      </c>
      <c r="AA775">
        <v>52.132632999999998</v>
      </c>
      <c r="AB775">
        <v>5.2912660000000002</v>
      </c>
    </row>
    <row r="776" spans="1:28" x14ac:dyDescent="0.3">
      <c r="A776">
        <v>775</v>
      </c>
      <c r="B776" t="s">
        <v>473</v>
      </c>
      <c r="C776">
        <v>14200000</v>
      </c>
      <c r="D776">
        <v>2084791147</v>
      </c>
      <c r="E776" t="s">
        <v>996</v>
      </c>
      <c r="F776" t="s">
        <v>473</v>
      </c>
      <c r="G776">
        <v>342</v>
      </c>
      <c r="H776" t="s">
        <v>1013</v>
      </c>
      <c r="I776" t="s">
        <v>1014</v>
      </c>
      <c r="J776" t="s">
        <v>986</v>
      </c>
      <c r="K776">
        <v>4696</v>
      </c>
      <c r="L776">
        <v>27</v>
      </c>
      <c r="M776">
        <v>55</v>
      </c>
      <c r="N776">
        <v>54291000</v>
      </c>
      <c r="O776">
        <v>13600</v>
      </c>
      <c r="P776">
        <v>217200</v>
      </c>
      <c r="Q776">
        <v>162900</v>
      </c>
      <c r="R776">
        <v>2600000</v>
      </c>
      <c r="S776">
        <v>200000</v>
      </c>
      <c r="T776">
        <v>2015</v>
      </c>
      <c r="U776" t="s">
        <v>1005</v>
      </c>
      <c r="V776">
        <v>24</v>
      </c>
      <c r="W776">
        <v>60</v>
      </c>
      <c r="X776">
        <v>66834405</v>
      </c>
      <c r="Y776">
        <v>3.85</v>
      </c>
      <c r="Z776">
        <v>55908316</v>
      </c>
      <c r="AA776">
        <v>55.378050999999999</v>
      </c>
      <c r="AB776">
        <v>-3.4359730000000002</v>
      </c>
    </row>
    <row r="777" spans="1:28" x14ac:dyDescent="0.3">
      <c r="A777">
        <v>776</v>
      </c>
      <c r="B777" t="s">
        <v>532</v>
      </c>
      <c r="C777">
        <v>14200000</v>
      </c>
      <c r="D777">
        <v>3920559552</v>
      </c>
      <c r="E777" t="s">
        <v>996</v>
      </c>
      <c r="F777" t="s">
        <v>532</v>
      </c>
      <c r="G777">
        <v>1300</v>
      </c>
      <c r="H777" t="s">
        <v>1058</v>
      </c>
      <c r="I777" t="s">
        <v>1059</v>
      </c>
      <c r="J777" t="s">
        <v>986</v>
      </c>
      <c r="K777">
        <v>1971</v>
      </c>
      <c r="L777">
        <v>28</v>
      </c>
      <c r="M777">
        <v>54</v>
      </c>
      <c r="N777">
        <v>44575000</v>
      </c>
      <c r="O777">
        <v>11100</v>
      </c>
      <c r="P777">
        <v>178300</v>
      </c>
      <c r="Q777">
        <v>133700</v>
      </c>
      <c r="R777">
        <v>2100000</v>
      </c>
      <c r="S777">
        <v>200000</v>
      </c>
      <c r="T777">
        <v>2016</v>
      </c>
      <c r="U777" t="s">
        <v>1003</v>
      </c>
      <c r="V777">
        <v>13</v>
      </c>
      <c r="W777">
        <v>40.200000000000003</v>
      </c>
      <c r="X777">
        <v>126014024</v>
      </c>
      <c r="Y777">
        <v>3.42</v>
      </c>
      <c r="Z777">
        <v>102626859</v>
      </c>
      <c r="AA777">
        <v>23.634501</v>
      </c>
      <c r="AB777">
        <v>-102.552784</v>
      </c>
    </row>
    <row r="778" spans="1:28" x14ac:dyDescent="0.3">
      <c r="A778">
        <v>777</v>
      </c>
      <c r="B778" t="s">
        <v>256</v>
      </c>
      <c r="C778">
        <v>14200000</v>
      </c>
      <c r="D778">
        <v>6554000320</v>
      </c>
      <c r="E778" t="s">
        <v>990</v>
      </c>
      <c r="F778" t="s">
        <v>256</v>
      </c>
      <c r="G778">
        <v>433</v>
      </c>
      <c r="H778" t="s">
        <v>978</v>
      </c>
      <c r="I778" t="s">
        <v>979</v>
      </c>
      <c r="J778" t="s">
        <v>990</v>
      </c>
      <c r="K778">
        <v>912</v>
      </c>
      <c r="L778">
        <v>110</v>
      </c>
      <c r="M778">
        <v>37</v>
      </c>
      <c r="N778">
        <v>141688000</v>
      </c>
      <c r="O778">
        <v>35400</v>
      </c>
      <c r="P778">
        <v>566800</v>
      </c>
      <c r="Q778">
        <v>425100</v>
      </c>
      <c r="R778">
        <v>6800000</v>
      </c>
      <c r="S778">
        <v>300000</v>
      </c>
      <c r="T778">
        <v>2014</v>
      </c>
      <c r="U778" t="s">
        <v>980</v>
      </c>
      <c r="V778">
        <v>13</v>
      </c>
      <c r="W778">
        <v>28.1</v>
      </c>
      <c r="X778">
        <v>1366417754</v>
      </c>
      <c r="Y778">
        <v>5.36</v>
      </c>
      <c r="Z778">
        <v>471031528</v>
      </c>
      <c r="AA778">
        <v>20.593684</v>
      </c>
      <c r="AB778">
        <v>78.962879999999998</v>
      </c>
    </row>
    <row r="779" spans="1:28" x14ac:dyDescent="0.3">
      <c r="A779">
        <v>778</v>
      </c>
      <c r="B779" t="s">
        <v>946</v>
      </c>
      <c r="C779">
        <v>14200000</v>
      </c>
      <c r="D779">
        <v>7946322061</v>
      </c>
      <c r="E779" t="s">
        <v>977</v>
      </c>
      <c r="F779" t="s">
        <v>1251</v>
      </c>
      <c r="G779">
        <v>0</v>
      </c>
      <c r="H779" t="s">
        <v>987</v>
      </c>
      <c r="I779" t="s">
        <v>987</v>
      </c>
      <c r="J779" t="s">
        <v>986</v>
      </c>
      <c r="K779">
        <v>4057944</v>
      </c>
      <c r="L779" t="s">
        <v>987</v>
      </c>
      <c r="M779">
        <v>7453</v>
      </c>
      <c r="N779" t="s">
        <v>987</v>
      </c>
      <c r="O779">
        <v>0</v>
      </c>
      <c r="P779">
        <v>0</v>
      </c>
      <c r="Q779">
        <v>0</v>
      </c>
      <c r="R779">
        <v>0</v>
      </c>
      <c r="S779" t="s">
        <v>987</v>
      </c>
      <c r="T779">
        <v>2005</v>
      </c>
      <c r="U779" t="s">
        <v>1025</v>
      </c>
      <c r="V779">
        <v>2</v>
      </c>
      <c r="W779" t="s">
        <v>987</v>
      </c>
      <c r="X779" t="s">
        <v>987</v>
      </c>
      <c r="Y779" t="s">
        <v>987</v>
      </c>
      <c r="Z779" t="s">
        <v>987</v>
      </c>
      <c r="AA779" t="s">
        <v>987</v>
      </c>
      <c r="AB779" t="s">
        <v>987</v>
      </c>
    </row>
    <row r="780" spans="1:28" x14ac:dyDescent="0.3">
      <c r="A780">
        <v>779</v>
      </c>
      <c r="B780" t="s">
        <v>812</v>
      </c>
      <c r="C780">
        <v>14200000</v>
      </c>
      <c r="D780">
        <v>9964116817</v>
      </c>
      <c r="E780" t="s">
        <v>1128</v>
      </c>
      <c r="F780" t="s">
        <v>1252</v>
      </c>
      <c r="G780">
        <v>8</v>
      </c>
      <c r="H780" t="s">
        <v>987</v>
      </c>
      <c r="I780" t="s">
        <v>987</v>
      </c>
      <c r="J780" t="s">
        <v>987</v>
      </c>
      <c r="K780">
        <v>4050736</v>
      </c>
      <c r="L780" t="s">
        <v>987</v>
      </c>
      <c r="M780" t="s">
        <v>987</v>
      </c>
      <c r="N780">
        <v>7208</v>
      </c>
      <c r="O780">
        <v>2</v>
      </c>
      <c r="P780">
        <v>29</v>
      </c>
      <c r="Q780">
        <v>22</v>
      </c>
      <c r="R780">
        <v>346</v>
      </c>
      <c r="S780">
        <v>5</v>
      </c>
      <c r="T780">
        <v>2006</v>
      </c>
      <c r="U780" t="s">
        <v>1008</v>
      </c>
      <c r="V780">
        <v>14</v>
      </c>
      <c r="W780" t="s">
        <v>987</v>
      </c>
      <c r="X780" t="s">
        <v>987</v>
      </c>
      <c r="Y780" t="s">
        <v>987</v>
      </c>
      <c r="Z780" t="s">
        <v>987</v>
      </c>
      <c r="AA780" t="s">
        <v>987</v>
      </c>
      <c r="AB780" t="s">
        <v>987</v>
      </c>
    </row>
    <row r="781" spans="1:28" x14ac:dyDescent="0.3">
      <c r="A781">
        <v>780</v>
      </c>
      <c r="B781" t="s">
        <v>95</v>
      </c>
      <c r="C781">
        <v>14200000</v>
      </c>
      <c r="D781">
        <v>10238593147</v>
      </c>
      <c r="E781" t="s">
        <v>1044</v>
      </c>
      <c r="F781" t="s">
        <v>95</v>
      </c>
      <c r="G781">
        <v>872</v>
      </c>
      <c r="H781" t="s">
        <v>978</v>
      </c>
      <c r="I781" t="s">
        <v>979</v>
      </c>
      <c r="J781" t="s">
        <v>1044</v>
      </c>
      <c r="K781">
        <v>422</v>
      </c>
      <c r="L781">
        <v>110</v>
      </c>
      <c r="M781">
        <v>33</v>
      </c>
      <c r="N781">
        <v>367898000</v>
      </c>
      <c r="O781">
        <v>92000</v>
      </c>
      <c r="P781">
        <v>1500000</v>
      </c>
      <c r="Q781">
        <v>1100000</v>
      </c>
      <c r="R781">
        <v>17700000</v>
      </c>
      <c r="S781">
        <v>400000</v>
      </c>
      <c r="T781">
        <v>2018</v>
      </c>
      <c r="U781" t="s">
        <v>1008</v>
      </c>
      <c r="V781">
        <v>4</v>
      </c>
      <c r="W781">
        <v>28.1</v>
      </c>
      <c r="X781">
        <v>1366417754</v>
      </c>
      <c r="Y781">
        <v>5.36</v>
      </c>
      <c r="Z781">
        <v>471031528</v>
      </c>
      <c r="AA781">
        <v>20.593684</v>
      </c>
      <c r="AB781">
        <v>78.962879999999998</v>
      </c>
    </row>
    <row r="782" spans="1:28" x14ac:dyDescent="0.3">
      <c r="A782">
        <v>781</v>
      </c>
      <c r="B782" t="s">
        <v>449</v>
      </c>
      <c r="C782">
        <v>14200000</v>
      </c>
      <c r="D782">
        <v>11428794827</v>
      </c>
      <c r="E782" t="s">
        <v>988</v>
      </c>
      <c r="F782" t="s">
        <v>449</v>
      </c>
      <c r="G782">
        <v>132398</v>
      </c>
      <c r="H782" t="s">
        <v>978</v>
      </c>
      <c r="I782" t="s">
        <v>979</v>
      </c>
      <c r="J782" t="s">
        <v>988</v>
      </c>
      <c r="K782">
        <v>352</v>
      </c>
      <c r="L782">
        <v>109</v>
      </c>
      <c r="M782">
        <v>153</v>
      </c>
      <c r="N782">
        <v>59927000</v>
      </c>
      <c r="O782">
        <v>15000</v>
      </c>
      <c r="P782">
        <v>239700</v>
      </c>
      <c r="Q782">
        <v>179800</v>
      </c>
      <c r="R782">
        <v>2900000</v>
      </c>
      <c r="S782">
        <v>200000</v>
      </c>
      <c r="T782">
        <v>2008</v>
      </c>
      <c r="U782" t="s">
        <v>989</v>
      </c>
      <c r="V782">
        <v>26</v>
      </c>
      <c r="W782">
        <v>28.1</v>
      </c>
      <c r="X782">
        <v>1366417754</v>
      </c>
      <c r="Y782">
        <v>5.36</v>
      </c>
      <c r="Z782">
        <v>471031528</v>
      </c>
      <c r="AA782">
        <v>20.593684</v>
      </c>
      <c r="AB782">
        <v>78.962879999999998</v>
      </c>
    </row>
    <row r="783" spans="1:28" x14ac:dyDescent="0.3">
      <c r="A783">
        <v>782</v>
      </c>
      <c r="B783" t="s">
        <v>707</v>
      </c>
      <c r="C783">
        <v>14200000</v>
      </c>
      <c r="D783">
        <v>3317805543</v>
      </c>
      <c r="E783" t="s">
        <v>988</v>
      </c>
      <c r="F783" t="s">
        <v>707</v>
      </c>
      <c r="G783">
        <v>1724</v>
      </c>
      <c r="H783" t="s">
        <v>984</v>
      </c>
      <c r="I783" t="s">
        <v>985</v>
      </c>
      <c r="J783" t="s">
        <v>988</v>
      </c>
      <c r="K783">
        <v>2485</v>
      </c>
      <c r="L783">
        <v>159</v>
      </c>
      <c r="M783">
        <v>154</v>
      </c>
      <c r="N783">
        <v>12902000</v>
      </c>
      <c r="O783">
        <v>3200</v>
      </c>
      <c r="P783">
        <v>51600</v>
      </c>
      <c r="Q783">
        <v>38700</v>
      </c>
      <c r="R783">
        <v>619300</v>
      </c>
      <c r="S783" t="s">
        <v>987</v>
      </c>
      <c r="T783">
        <v>2011</v>
      </c>
      <c r="U783" t="s">
        <v>1010</v>
      </c>
      <c r="V783">
        <v>18</v>
      </c>
      <c r="W783">
        <v>88.2</v>
      </c>
      <c r="X783">
        <v>328239523</v>
      </c>
      <c r="Y783">
        <v>14.7</v>
      </c>
      <c r="Z783">
        <v>270663028</v>
      </c>
      <c r="AA783">
        <v>37.090240000000001</v>
      </c>
      <c r="AB783">
        <v>-95.712890999999999</v>
      </c>
    </row>
    <row r="784" spans="1:28" x14ac:dyDescent="0.3">
      <c r="A784">
        <v>783</v>
      </c>
      <c r="B784" t="s">
        <v>635</v>
      </c>
      <c r="C784">
        <v>14100000</v>
      </c>
      <c r="D784">
        <v>2131548711</v>
      </c>
      <c r="E784" t="s">
        <v>977</v>
      </c>
      <c r="F784" t="s">
        <v>635</v>
      </c>
      <c r="G784">
        <v>149</v>
      </c>
      <c r="H784" t="s">
        <v>978</v>
      </c>
      <c r="I784" t="s">
        <v>979</v>
      </c>
      <c r="J784" t="s">
        <v>977</v>
      </c>
      <c r="K784">
        <v>4624</v>
      </c>
      <c r="L784">
        <v>110</v>
      </c>
      <c r="M784">
        <v>134</v>
      </c>
      <c r="N784">
        <v>25605000</v>
      </c>
      <c r="O784">
        <v>6400</v>
      </c>
      <c r="P784">
        <v>102400</v>
      </c>
      <c r="Q784">
        <v>76800</v>
      </c>
      <c r="R784">
        <v>1200000</v>
      </c>
      <c r="S784">
        <v>100000</v>
      </c>
      <c r="T784">
        <v>2012</v>
      </c>
      <c r="U784" t="s">
        <v>1025</v>
      </c>
      <c r="V784">
        <v>22</v>
      </c>
      <c r="W784">
        <v>28.1</v>
      </c>
      <c r="X784">
        <v>1366417754</v>
      </c>
      <c r="Y784">
        <v>5.36</v>
      </c>
      <c r="Z784">
        <v>471031528</v>
      </c>
      <c r="AA784">
        <v>20.593684</v>
      </c>
      <c r="AB784">
        <v>78.962879999999998</v>
      </c>
    </row>
    <row r="785" spans="1:28" x14ac:dyDescent="0.3">
      <c r="A785">
        <v>784</v>
      </c>
      <c r="B785" t="s">
        <v>749</v>
      </c>
      <c r="C785">
        <v>14100000</v>
      </c>
      <c r="D785">
        <v>3594936775</v>
      </c>
      <c r="E785" t="s">
        <v>988</v>
      </c>
      <c r="F785" t="s">
        <v>749</v>
      </c>
      <c r="G785">
        <v>846</v>
      </c>
      <c r="H785" t="s">
        <v>987</v>
      </c>
      <c r="I785" t="s">
        <v>987</v>
      </c>
      <c r="J785" t="s">
        <v>988</v>
      </c>
      <c r="K785">
        <v>2218</v>
      </c>
      <c r="L785" t="s">
        <v>987</v>
      </c>
      <c r="M785">
        <v>155</v>
      </c>
      <c r="N785">
        <v>6942000</v>
      </c>
      <c r="O785">
        <v>1700</v>
      </c>
      <c r="P785">
        <v>27800</v>
      </c>
      <c r="Q785">
        <v>20800</v>
      </c>
      <c r="R785">
        <v>333200</v>
      </c>
      <c r="S785" t="s">
        <v>987</v>
      </c>
      <c r="T785">
        <v>2013</v>
      </c>
      <c r="U785" t="s">
        <v>1010</v>
      </c>
      <c r="V785">
        <v>10</v>
      </c>
      <c r="W785" t="s">
        <v>987</v>
      </c>
      <c r="X785" t="s">
        <v>987</v>
      </c>
      <c r="Y785" t="s">
        <v>987</v>
      </c>
      <c r="Z785" t="s">
        <v>987</v>
      </c>
      <c r="AA785" t="s">
        <v>987</v>
      </c>
      <c r="AB785" t="s">
        <v>987</v>
      </c>
    </row>
    <row r="786" spans="1:28" x14ac:dyDescent="0.3">
      <c r="A786">
        <v>785</v>
      </c>
      <c r="B786" t="s">
        <v>1253</v>
      </c>
      <c r="C786">
        <v>14100000</v>
      </c>
      <c r="D786">
        <v>3920221322</v>
      </c>
      <c r="E786" t="s">
        <v>988</v>
      </c>
      <c r="F786" t="s">
        <v>1253</v>
      </c>
      <c r="G786">
        <v>65</v>
      </c>
      <c r="H786" t="s">
        <v>987</v>
      </c>
      <c r="I786" t="s">
        <v>987</v>
      </c>
      <c r="J786" t="s">
        <v>987</v>
      </c>
      <c r="K786">
        <v>3999155</v>
      </c>
      <c r="L786" t="s">
        <v>987</v>
      </c>
      <c r="M786" t="s">
        <v>987</v>
      </c>
      <c r="N786">
        <v>20351</v>
      </c>
      <c r="O786">
        <v>5</v>
      </c>
      <c r="P786">
        <v>81</v>
      </c>
      <c r="Q786">
        <v>61</v>
      </c>
      <c r="R786">
        <v>977</v>
      </c>
      <c r="S786">
        <v>132</v>
      </c>
      <c r="T786">
        <v>2017</v>
      </c>
      <c r="U786" t="s">
        <v>1010</v>
      </c>
      <c r="V786">
        <v>4</v>
      </c>
      <c r="W786" t="s">
        <v>987</v>
      </c>
      <c r="X786" t="s">
        <v>987</v>
      </c>
      <c r="Y786" t="s">
        <v>987</v>
      </c>
      <c r="Z786" t="s">
        <v>987</v>
      </c>
      <c r="AA786" t="s">
        <v>987</v>
      </c>
      <c r="AB786" t="s">
        <v>987</v>
      </c>
    </row>
    <row r="787" spans="1:28" x14ac:dyDescent="0.3">
      <c r="A787">
        <v>786</v>
      </c>
      <c r="B787" t="s">
        <v>827</v>
      </c>
      <c r="C787">
        <v>14100000</v>
      </c>
      <c r="D787">
        <v>5129529846</v>
      </c>
      <c r="E787" t="s">
        <v>977</v>
      </c>
      <c r="F787" t="s">
        <v>1254</v>
      </c>
      <c r="G787">
        <v>3</v>
      </c>
      <c r="H787" t="s">
        <v>1114</v>
      </c>
      <c r="I787" t="s">
        <v>1115</v>
      </c>
      <c r="J787" t="s">
        <v>1002</v>
      </c>
      <c r="K787">
        <v>4032620</v>
      </c>
      <c r="L787">
        <v>3671</v>
      </c>
      <c r="M787">
        <v>7629</v>
      </c>
      <c r="N787">
        <v>147</v>
      </c>
      <c r="O787">
        <v>0.04</v>
      </c>
      <c r="P787">
        <v>0.59</v>
      </c>
      <c r="Q787">
        <v>0.44</v>
      </c>
      <c r="R787">
        <v>7</v>
      </c>
      <c r="S787">
        <v>1</v>
      </c>
      <c r="T787">
        <v>2015</v>
      </c>
      <c r="U787" t="s">
        <v>1029</v>
      </c>
      <c r="V787">
        <v>4</v>
      </c>
      <c r="W787">
        <v>113.1</v>
      </c>
      <c r="X787">
        <v>25766605</v>
      </c>
      <c r="Y787">
        <v>5.27</v>
      </c>
      <c r="Z787">
        <v>21844756</v>
      </c>
      <c r="AA787">
        <v>-25.274398000000001</v>
      </c>
      <c r="AB787">
        <v>133.775136</v>
      </c>
    </row>
    <row r="788" spans="1:28" x14ac:dyDescent="0.3">
      <c r="A788">
        <v>787</v>
      </c>
      <c r="B788" t="s">
        <v>99</v>
      </c>
      <c r="C788">
        <v>14100000</v>
      </c>
      <c r="D788">
        <v>5405563355</v>
      </c>
      <c r="E788" t="s">
        <v>1139</v>
      </c>
      <c r="F788" t="s">
        <v>99</v>
      </c>
      <c r="G788">
        <v>855</v>
      </c>
      <c r="H788" t="s">
        <v>1062</v>
      </c>
      <c r="I788" t="s">
        <v>1063</v>
      </c>
      <c r="J788" t="s">
        <v>1077</v>
      </c>
      <c r="K788">
        <v>1202</v>
      </c>
      <c r="L788">
        <v>7</v>
      </c>
      <c r="M788">
        <v>1</v>
      </c>
      <c r="N788">
        <v>353259000</v>
      </c>
      <c r="O788">
        <v>88300</v>
      </c>
      <c r="P788">
        <v>1400000</v>
      </c>
      <c r="Q788">
        <v>1100000</v>
      </c>
      <c r="R788">
        <v>17000000</v>
      </c>
      <c r="S788">
        <v>500000</v>
      </c>
      <c r="T788">
        <v>2007</v>
      </c>
      <c r="U788" t="s">
        <v>991</v>
      </c>
      <c r="V788">
        <v>12</v>
      </c>
      <c r="W788">
        <v>36.799999999999997</v>
      </c>
      <c r="X788">
        <v>9770529</v>
      </c>
      <c r="Y788">
        <v>2.35</v>
      </c>
      <c r="Z788">
        <v>8479744</v>
      </c>
      <c r="AA788">
        <v>23.424075999999999</v>
      </c>
      <c r="AB788">
        <v>53.847817999999997</v>
      </c>
    </row>
    <row r="789" spans="1:28" x14ac:dyDescent="0.3">
      <c r="A789">
        <v>788</v>
      </c>
      <c r="B789" t="s">
        <v>211</v>
      </c>
      <c r="C789">
        <v>14100000</v>
      </c>
      <c r="D789">
        <v>6036496916</v>
      </c>
      <c r="E789" t="s">
        <v>988</v>
      </c>
      <c r="F789" t="s">
        <v>211</v>
      </c>
      <c r="G789">
        <v>2854</v>
      </c>
      <c r="H789" t="s">
        <v>1081</v>
      </c>
      <c r="I789" t="s">
        <v>1082</v>
      </c>
      <c r="J789" t="s">
        <v>988</v>
      </c>
      <c r="K789">
        <v>1029</v>
      </c>
      <c r="L789">
        <v>27</v>
      </c>
      <c r="M789">
        <v>154</v>
      </c>
      <c r="N789">
        <v>176062000</v>
      </c>
      <c r="O789">
        <v>44000</v>
      </c>
      <c r="P789">
        <v>704200</v>
      </c>
      <c r="Q789">
        <v>528200</v>
      </c>
      <c r="R789">
        <v>8500000</v>
      </c>
      <c r="S789">
        <v>400000</v>
      </c>
      <c r="T789">
        <v>2016</v>
      </c>
      <c r="U789" t="s">
        <v>1003</v>
      </c>
      <c r="V789">
        <v>6</v>
      </c>
      <c r="W789">
        <v>36.299999999999997</v>
      </c>
      <c r="X789">
        <v>270203917</v>
      </c>
      <c r="Y789">
        <v>4.6900000000000004</v>
      </c>
      <c r="Z789">
        <v>151509724</v>
      </c>
      <c r="AA789">
        <v>-0.78927499999999995</v>
      </c>
      <c r="AB789">
        <v>113.92132700000001</v>
      </c>
    </row>
    <row r="790" spans="1:28" x14ac:dyDescent="0.3">
      <c r="A790">
        <v>789</v>
      </c>
      <c r="B790" t="s">
        <v>271</v>
      </c>
      <c r="C790">
        <v>14100000</v>
      </c>
      <c r="D790">
        <v>6884215292</v>
      </c>
      <c r="E790" t="s">
        <v>977</v>
      </c>
      <c r="F790" t="s">
        <v>271</v>
      </c>
      <c r="G790">
        <v>43</v>
      </c>
      <c r="H790" t="s">
        <v>984</v>
      </c>
      <c r="I790" t="s">
        <v>985</v>
      </c>
      <c r="J790" t="s">
        <v>977</v>
      </c>
      <c r="K790">
        <v>856</v>
      </c>
      <c r="L790">
        <v>160</v>
      </c>
      <c r="M790">
        <v>135</v>
      </c>
      <c r="N790">
        <v>135563000</v>
      </c>
      <c r="O790">
        <v>33900</v>
      </c>
      <c r="P790">
        <v>542300</v>
      </c>
      <c r="Q790">
        <v>406700</v>
      </c>
      <c r="R790">
        <v>6500000</v>
      </c>
      <c r="S790">
        <v>200000</v>
      </c>
      <c r="T790">
        <v>2011</v>
      </c>
      <c r="U790" t="s">
        <v>995</v>
      </c>
      <c r="V790">
        <v>5</v>
      </c>
      <c r="W790">
        <v>88.2</v>
      </c>
      <c r="X790">
        <v>328239523</v>
      </c>
      <c r="Y790">
        <v>14.7</v>
      </c>
      <c r="Z790">
        <v>270663028</v>
      </c>
      <c r="AA790">
        <v>37.090240000000001</v>
      </c>
      <c r="AB790">
        <v>-95.712890999999999</v>
      </c>
    </row>
    <row r="791" spans="1:28" x14ac:dyDescent="0.3">
      <c r="A791">
        <v>790</v>
      </c>
      <c r="B791" t="s">
        <v>351</v>
      </c>
      <c r="C791">
        <v>14100000</v>
      </c>
      <c r="D791">
        <v>19013942981</v>
      </c>
      <c r="E791" t="s">
        <v>977</v>
      </c>
      <c r="F791" t="s">
        <v>351</v>
      </c>
      <c r="G791">
        <v>182</v>
      </c>
      <c r="H791" t="s">
        <v>984</v>
      </c>
      <c r="I791" t="s">
        <v>985</v>
      </c>
      <c r="J791" t="s">
        <v>977</v>
      </c>
      <c r="K791">
        <v>138</v>
      </c>
      <c r="L791">
        <v>160</v>
      </c>
      <c r="M791">
        <v>135</v>
      </c>
      <c r="N791">
        <v>98834000</v>
      </c>
      <c r="O791">
        <v>24700</v>
      </c>
      <c r="P791">
        <v>395300</v>
      </c>
      <c r="Q791">
        <v>296500</v>
      </c>
      <c r="R791">
        <v>4700000</v>
      </c>
      <c r="S791" t="s">
        <v>987</v>
      </c>
      <c r="T791">
        <v>2011</v>
      </c>
      <c r="U791" t="s">
        <v>1008</v>
      </c>
      <c r="V791">
        <v>15</v>
      </c>
      <c r="W791">
        <v>88.2</v>
      </c>
      <c r="X791">
        <v>328239523</v>
      </c>
      <c r="Y791">
        <v>14.7</v>
      </c>
      <c r="Z791">
        <v>270663028</v>
      </c>
      <c r="AA791">
        <v>37.090240000000001</v>
      </c>
      <c r="AB791">
        <v>-95.712890999999999</v>
      </c>
    </row>
    <row r="792" spans="1:28" x14ac:dyDescent="0.3">
      <c r="A792">
        <v>791</v>
      </c>
      <c r="B792" t="s">
        <v>728</v>
      </c>
      <c r="C792">
        <v>14100000</v>
      </c>
      <c r="D792">
        <v>3280481927</v>
      </c>
      <c r="E792" t="s">
        <v>1004</v>
      </c>
      <c r="F792" t="s">
        <v>1255</v>
      </c>
      <c r="G792">
        <v>777</v>
      </c>
      <c r="H792" t="s">
        <v>1013</v>
      </c>
      <c r="I792" t="s">
        <v>1014</v>
      </c>
      <c r="J792" t="s">
        <v>1004</v>
      </c>
      <c r="K792">
        <v>2530</v>
      </c>
      <c r="L792">
        <v>28</v>
      </c>
      <c r="M792">
        <v>10</v>
      </c>
      <c r="N792">
        <v>10222000</v>
      </c>
      <c r="O792">
        <v>2600</v>
      </c>
      <c r="P792">
        <v>40900</v>
      </c>
      <c r="Q792">
        <v>30700</v>
      </c>
      <c r="R792">
        <v>490600</v>
      </c>
      <c r="S792" t="s">
        <v>987</v>
      </c>
      <c r="T792">
        <v>2011</v>
      </c>
      <c r="U792" t="s">
        <v>999</v>
      </c>
      <c r="V792">
        <v>9</v>
      </c>
      <c r="W792">
        <v>60</v>
      </c>
      <c r="X792">
        <v>66834405</v>
      </c>
      <c r="Y792">
        <v>3.85</v>
      </c>
      <c r="Z792">
        <v>55908316</v>
      </c>
      <c r="AA792">
        <v>55.378050999999999</v>
      </c>
      <c r="AB792">
        <v>-3.4359730000000002</v>
      </c>
    </row>
    <row r="793" spans="1:28" x14ac:dyDescent="0.3">
      <c r="A793">
        <v>792</v>
      </c>
      <c r="B793" t="s">
        <v>708</v>
      </c>
      <c r="C793">
        <v>14100000</v>
      </c>
      <c r="D793">
        <v>4627069704</v>
      </c>
      <c r="E793" t="s">
        <v>988</v>
      </c>
      <c r="F793" t="s">
        <v>708</v>
      </c>
      <c r="G793">
        <v>1540</v>
      </c>
      <c r="H793" t="s">
        <v>1048</v>
      </c>
      <c r="I793" t="s">
        <v>1049</v>
      </c>
      <c r="J793" t="s">
        <v>988</v>
      </c>
      <c r="K793">
        <v>1531</v>
      </c>
      <c r="L793">
        <v>14</v>
      </c>
      <c r="M793">
        <v>155</v>
      </c>
      <c r="N793">
        <v>12502000</v>
      </c>
      <c r="O793">
        <v>3100</v>
      </c>
      <c r="P793">
        <v>50000</v>
      </c>
      <c r="Q793">
        <v>37500</v>
      </c>
      <c r="R793">
        <v>600100</v>
      </c>
      <c r="S793">
        <v>100000</v>
      </c>
      <c r="T793">
        <v>2006</v>
      </c>
      <c r="U793" t="s">
        <v>1025</v>
      </c>
      <c r="V793">
        <v>3</v>
      </c>
      <c r="W793">
        <v>49.3</v>
      </c>
      <c r="X793">
        <v>69625582</v>
      </c>
      <c r="Y793">
        <v>0.75</v>
      </c>
      <c r="Z793">
        <v>35294600</v>
      </c>
      <c r="AA793">
        <v>15.870032</v>
      </c>
      <c r="AB793">
        <v>100.992541</v>
      </c>
    </row>
    <row r="794" spans="1:28" x14ac:dyDescent="0.3">
      <c r="A794">
        <v>793</v>
      </c>
      <c r="B794" t="s">
        <v>729</v>
      </c>
      <c r="C794">
        <v>14000000</v>
      </c>
      <c r="D794">
        <v>4959982720</v>
      </c>
      <c r="E794" t="s">
        <v>996</v>
      </c>
      <c r="F794" t="s">
        <v>729</v>
      </c>
      <c r="G794">
        <v>5757</v>
      </c>
      <c r="H794" t="s">
        <v>1019</v>
      </c>
      <c r="I794" t="s">
        <v>1020</v>
      </c>
      <c r="J794" t="s">
        <v>1002</v>
      </c>
      <c r="K794">
        <v>1392</v>
      </c>
      <c r="L794">
        <v>45</v>
      </c>
      <c r="M794">
        <v>49</v>
      </c>
      <c r="N794">
        <v>10210000</v>
      </c>
      <c r="O794">
        <v>2600</v>
      </c>
      <c r="P794">
        <v>40800</v>
      </c>
      <c r="Q794">
        <v>30600</v>
      </c>
      <c r="R794">
        <v>490100</v>
      </c>
      <c r="S794" t="s">
        <v>987</v>
      </c>
      <c r="T794">
        <v>2012</v>
      </c>
      <c r="U794" t="s">
        <v>1005</v>
      </c>
      <c r="V794">
        <v>15</v>
      </c>
      <c r="W794">
        <v>51.3</v>
      </c>
      <c r="X794">
        <v>212559417</v>
      </c>
      <c r="Y794">
        <v>12.08</v>
      </c>
      <c r="Z794">
        <v>183241641</v>
      </c>
      <c r="AA794">
        <v>-14.235004</v>
      </c>
      <c r="AB794">
        <v>-51.925280000000001</v>
      </c>
    </row>
    <row r="795" spans="1:28" x14ac:dyDescent="0.3">
      <c r="A795">
        <v>794</v>
      </c>
      <c r="B795" t="s">
        <v>701</v>
      </c>
      <c r="C795">
        <v>14000000</v>
      </c>
      <c r="D795">
        <v>2214167846</v>
      </c>
      <c r="E795" t="s">
        <v>1011</v>
      </c>
      <c r="F795" t="s">
        <v>701</v>
      </c>
      <c r="G795">
        <v>431</v>
      </c>
      <c r="H795" t="s">
        <v>1147</v>
      </c>
      <c r="I795" t="s">
        <v>1148</v>
      </c>
      <c r="J795" t="s">
        <v>988</v>
      </c>
      <c r="K795">
        <v>4325</v>
      </c>
      <c r="L795">
        <v>3</v>
      </c>
      <c r="M795">
        <v>156</v>
      </c>
      <c r="N795">
        <v>13709000</v>
      </c>
      <c r="O795">
        <v>3400</v>
      </c>
      <c r="P795">
        <v>54800</v>
      </c>
      <c r="Q795">
        <v>41100</v>
      </c>
      <c r="R795">
        <v>658000</v>
      </c>
      <c r="S795" t="s">
        <v>987</v>
      </c>
      <c r="T795">
        <v>2014</v>
      </c>
      <c r="U795" t="s">
        <v>991</v>
      </c>
      <c r="V795">
        <v>24</v>
      </c>
      <c r="W795">
        <v>67</v>
      </c>
      <c r="X795">
        <v>10285453</v>
      </c>
      <c r="Y795">
        <v>6.48</v>
      </c>
      <c r="Z795">
        <v>9021165</v>
      </c>
      <c r="AA795">
        <v>60.128160999999999</v>
      </c>
      <c r="AB795">
        <v>18.643501000000001</v>
      </c>
    </row>
    <row r="796" spans="1:28" x14ac:dyDescent="0.3">
      <c r="A796">
        <v>795</v>
      </c>
      <c r="B796" t="s">
        <v>610</v>
      </c>
      <c r="C796">
        <v>14000000</v>
      </c>
      <c r="D796">
        <v>4674164601</v>
      </c>
      <c r="E796" t="s">
        <v>994</v>
      </c>
      <c r="F796" t="s">
        <v>610</v>
      </c>
      <c r="G796">
        <v>651</v>
      </c>
      <c r="H796" t="s">
        <v>1058</v>
      </c>
      <c r="I796" t="s">
        <v>1059</v>
      </c>
      <c r="J796" t="s">
        <v>988</v>
      </c>
      <c r="K796">
        <v>1504</v>
      </c>
      <c r="L796">
        <v>29</v>
      </c>
      <c r="M796">
        <v>156</v>
      </c>
      <c r="N796">
        <v>26783000</v>
      </c>
      <c r="O796">
        <v>6700</v>
      </c>
      <c r="P796">
        <v>107100</v>
      </c>
      <c r="Q796">
        <v>80300</v>
      </c>
      <c r="R796">
        <v>1300000</v>
      </c>
      <c r="S796">
        <v>100000</v>
      </c>
      <c r="T796">
        <v>2014</v>
      </c>
      <c r="U796" t="s">
        <v>1005</v>
      </c>
      <c r="V796">
        <v>30</v>
      </c>
      <c r="W796">
        <v>40.200000000000003</v>
      </c>
      <c r="X796">
        <v>126014024</v>
      </c>
      <c r="Y796">
        <v>3.42</v>
      </c>
      <c r="Z796">
        <v>102626859</v>
      </c>
      <c r="AA796">
        <v>23.634501</v>
      </c>
      <c r="AB796">
        <v>-102.552784</v>
      </c>
    </row>
    <row r="797" spans="1:28" x14ac:dyDescent="0.3">
      <c r="A797">
        <v>796</v>
      </c>
      <c r="B797" t="s">
        <v>1256</v>
      </c>
      <c r="C797">
        <v>14000000</v>
      </c>
      <c r="D797">
        <v>7719743112</v>
      </c>
      <c r="E797" t="s">
        <v>996</v>
      </c>
      <c r="F797" t="s">
        <v>1256</v>
      </c>
      <c r="G797">
        <v>2210</v>
      </c>
      <c r="H797" t="s">
        <v>1000</v>
      </c>
      <c r="I797" t="s">
        <v>1001</v>
      </c>
      <c r="J797" t="s">
        <v>986</v>
      </c>
      <c r="K797">
        <v>703</v>
      </c>
      <c r="L797">
        <v>12</v>
      </c>
      <c r="M797">
        <v>56</v>
      </c>
      <c r="N797">
        <v>150570000</v>
      </c>
      <c r="O797">
        <v>37600</v>
      </c>
      <c r="P797">
        <v>602300</v>
      </c>
      <c r="Q797">
        <v>451700</v>
      </c>
      <c r="R797">
        <v>7200000</v>
      </c>
      <c r="S797">
        <v>200000</v>
      </c>
      <c r="T797">
        <v>2013</v>
      </c>
      <c r="U797" t="s">
        <v>1025</v>
      </c>
      <c r="V797">
        <v>26</v>
      </c>
      <c r="W797">
        <v>81.900000000000006</v>
      </c>
      <c r="X797">
        <v>144373535</v>
      </c>
      <c r="Y797">
        <v>4.59</v>
      </c>
      <c r="Z797">
        <v>107683889</v>
      </c>
      <c r="AA797">
        <v>61.524009999999997</v>
      </c>
      <c r="AB797">
        <v>105.31875599999999</v>
      </c>
    </row>
    <row r="798" spans="1:28" x14ac:dyDescent="0.3">
      <c r="A798">
        <v>797</v>
      </c>
      <c r="B798" t="s">
        <v>182</v>
      </c>
      <c r="C798">
        <v>14000000</v>
      </c>
      <c r="D798">
        <v>8623705301</v>
      </c>
      <c r="E798" t="s">
        <v>977</v>
      </c>
      <c r="F798" t="s">
        <v>182</v>
      </c>
      <c r="G798">
        <v>294</v>
      </c>
      <c r="H798" t="s">
        <v>1065</v>
      </c>
      <c r="I798" t="s">
        <v>1066</v>
      </c>
      <c r="J798" t="s">
        <v>977</v>
      </c>
      <c r="K798">
        <v>579</v>
      </c>
      <c r="L798">
        <v>15</v>
      </c>
      <c r="M798">
        <v>136</v>
      </c>
      <c r="N798">
        <v>201659000</v>
      </c>
      <c r="O798">
        <v>50400</v>
      </c>
      <c r="P798">
        <v>806600</v>
      </c>
      <c r="Q798">
        <v>605000</v>
      </c>
      <c r="R798">
        <v>9700000</v>
      </c>
      <c r="S798">
        <v>100000</v>
      </c>
      <c r="T798">
        <v>2012</v>
      </c>
      <c r="U798" t="s">
        <v>1005</v>
      </c>
      <c r="V798">
        <v>22</v>
      </c>
      <c r="W798">
        <v>88.9</v>
      </c>
      <c r="X798">
        <v>47076781</v>
      </c>
      <c r="Y798">
        <v>13.96</v>
      </c>
      <c r="Z798">
        <v>37927409</v>
      </c>
      <c r="AA798">
        <v>40.463667000000001</v>
      </c>
      <c r="AB798">
        <v>-3.7492200000000002</v>
      </c>
    </row>
    <row r="799" spans="1:28" x14ac:dyDescent="0.3">
      <c r="A799">
        <v>798</v>
      </c>
      <c r="B799" t="s">
        <v>424</v>
      </c>
      <c r="C799">
        <v>14000000</v>
      </c>
      <c r="D799">
        <v>9660950823</v>
      </c>
      <c r="E799" t="s">
        <v>977</v>
      </c>
      <c r="F799" t="s">
        <v>424</v>
      </c>
      <c r="G799">
        <v>62</v>
      </c>
      <c r="H799" t="s">
        <v>1058</v>
      </c>
      <c r="I799" t="s">
        <v>1059</v>
      </c>
      <c r="J799" t="s">
        <v>1022</v>
      </c>
      <c r="K799">
        <v>477</v>
      </c>
      <c r="L799">
        <v>29</v>
      </c>
      <c r="M799">
        <v>40</v>
      </c>
      <c r="N799">
        <v>70626000</v>
      </c>
      <c r="O799">
        <v>17700</v>
      </c>
      <c r="P799">
        <v>282500</v>
      </c>
      <c r="Q799">
        <v>211900</v>
      </c>
      <c r="R799">
        <v>3400000</v>
      </c>
      <c r="S799" t="s">
        <v>987</v>
      </c>
      <c r="T799">
        <v>2011</v>
      </c>
      <c r="U799" t="s">
        <v>1010</v>
      </c>
      <c r="V799">
        <v>2</v>
      </c>
      <c r="W799">
        <v>40.200000000000003</v>
      </c>
      <c r="X799">
        <v>126014024</v>
      </c>
      <c r="Y799">
        <v>3.42</v>
      </c>
      <c r="Z799">
        <v>102626859</v>
      </c>
      <c r="AA799">
        <v>23.634501</v>
      </c>
      <c r="AB799">
        <v>-102.552784</v>
      </c>
    </row>
    <row r="800" spans="1:28" x14ac:dyDescent="0.3">
      <c r="A800">
        <v>799</v>
      </c>
      <c r="B800" t="s">
        <v>12</v>
      </c>
      <c r="C800">
        <v>14000000</v>
      </c>
      <c r="D800">
        <v>18917687143</v>
      </c>
      <c r="E800" t="s">
        <v>994</v>
      </c>
      <c r="F800" t="s">
        <v>12</v>
      </c>
      <c r="G800">
        <v>41117</v>
      </c>
      <c r="H800" t="s">
        <v>984</v>
      </c>
      <c r="I800" t="s">
        <v>985</v>
      </c>
      <c r="J800" t="s">
        <v>1129</v>
      </c>
      <c r="K800">
        <v>136</v>
      </c>
      <c r="L800">
        <v>159</v>
      </c>
      <c r="M800">
        <v>3</v>
      </c>
      <c r="N800">
        <v>1364000000</v>
      </c>
      <c r="O800">
        <v>340900</v>
      </c>
      <c r="P800">
        <v>5500000</v>
      </c>
      <c r="Q800">
        <v>4100000</v>
      </c>
      <c r="R800">
        <v>65500000</v>
      </c>
      <c r="S800">
        <v>1100000</v>
      </c>
      <c r="T800">
        <v>2014</v>
      </c>
      <c r="U800" t="s">
        <v>1010</v>
      </c>
      <c r="V800">
        <v>22</v>
      </c>
      <c r="W800">
        <v>88.2</v>
      </c>
      <c r="X800">
        <v>328239523</v>
      </c>
      <c r="Y800">
        <v>14.7</v>
      </c>
      <c r="Z800">
        <v>270663028</v>
      </c>
      <c r="AA800">
        <v>37.090240000000001</v>
      </c>
      <c r="AB800">
        <v>-95.712890999999999</v>
      </c>
    </row>
    <row r="801" spans="1:28" x14ac:dyDescent="0.3">
      <c r="A801">
        <v>800</v>
      </c>
      <c r="B801" t="s">
        <v>277</v>
      </c>
      <c r="C801">
        <v>14000000</v>
      </c>
      <c r="D801">
        <v>13542939513</v>
      </c>
      <c r="E801" t="s">
        <v>994</v>
      </c>
      <c r="F801" t="s">
        <v>277</v>
      </c>
      <c r="G801">
        <v>9652</v>
      </c>
      <c r="H801" t="s">
        <v>978</v>
      </c>
      <c r="I801" t="s">
        <v>979</v>
      </c>
      <c r="J801" t="s">
        <v>1044</v>
      </c>
      <c r="K801">
        <v>268</v>
      </c>
      <c r="L801">
        <v>111</v>
      </c>
      <c r="M801">
        <v>34</v>
      </c>
      <c r="N801">
        <v>133584000</v>
      </c>
      <c r="O801">
        <v>33400</v>
      </c>
      <c r="P801">
        <v>534300</v>
      </c>
      <c r="Q801">
        <v>400800</v>
      </c>
      <c r="R801">
        <v>6400000</v>
      </c>
      <c r="S801">
        <v>100000</v>
      </c>
      <c r="T801">
        <v>2015</v>
      </c>
      <c r="U801" t="s">
        <v>1015</v>
      </c>
      <c r="V801">
        <v>14</v>
      </c>
      <c r="W801">
        <v>28.1</v>
      </c>
      <c r="X801">
        <v>1366417754</v>
      </c>
      <c r="Y801">
        <v>5.36</v>
      </c>
      <c r="Z801">
        <v>471031528</v>
      </c>
      <c r="AA801">
        <v>20.593684</v>
      </c>
      <c r="AB801">
        <v>78.962879999999998</v>
      </c>
    </row>
    <row r="802" spans="1:28" x14ac:dyDescent="0.3">
      <c r="A802">
        <v>801</v>
      </c>
      <c r="B802" t="s">
        <v>851</v>
      </c>
      <c r="C802">
        <v>14000000</v>
      </c>
      <c r="D802">
        <v>12597067132</v>
      </c>
      <c r="E802" t="s">
        <v>988</v>
      </c>
      <c r="F802" t="s">
        <v>1257</v>
      </c>
      <c r="G802">
        <v>3</v>
      </c>
      <c r="H802" t="s">
        <v>978</v>
      </c>
      <c r="I802" t="s">
        <v>979</v>
      </c>
      <c r="J802" t="s">
        <v>977</v>
      </c>
      <c r="K802">
        <v>4039216</v>
      </c>
      <c r="L802">
        <v>4651</v>
      </c>
      <c r="M802">
        <v>4603</v>
      </c>
      <c r="N802">
        <v>7</v>
      </c>
      <c r="O802">
        <v>0</v>
      </c>
      <c r="P802">
        <v>0.03</v>
      </c>
      <c r="Q802">
        <v>0.02</v>
      </c>
      <c r="R802">
        <v>0.34</v>
      </c>
      <c r="S802" t="s">
        <v>987</v>
      </c>
      <c r="T802">
        <v>2007</v>
      </c>
      <c r="U802" t="s">
        <v>1003</v>
      </c>
      <c r="V802">
        <v>31</v>
      </c>
      <c r="W802">
        <v>28.1</v>
      </c>
      <c r="X802">
        <v>1366417754</v>
      </c>
      <c r="Y802">
        <v>5.36</v>
      </c>
      <c r="Z802">
        <v>471031528</v>
      </c>
      <c r="AA802">
        <v>20.593684</v>
      </c>
      <c r="AB802">
        <v>78.962879999999998</v>
      </c>
    </row>
    <row r="803" spans="1:28" x14ac:dyDescent="0.3">
      <c r="A803">
        <v>802</v>
      </c>
      <c r="B803" t="s">
        <v>430</v>
      </c>
      <c r="C803">
        <v>14000000</v>
      </c>
      <c r="D803">
        <v>5094050461</v>
      </c>
      <c r="E803" t="s">
        <v>988</v>
      </c>
      <c r="F803" t="s">
        <v>430</v>
      </c>
      <c r="G803">
        <v>1307</v>
      </c>
      <c r="H803" t="s">
        <v>1019</v>
      </c>
      <c r="I803" t="s">
        <v>1020</v>
      </c>
      <c r="J803" t="s">
        <v>1002</v>
      </c>
      <c r="K803">
        <v>1327</v>
      </c>
      <c r="L803">
        <v>44</v>
      </c>
      <c r="M803">
        <v>48</v>
      </c>
      <c r="N803">
        <v>68058000</v>
      </c>
      <c r="O803">
        <v>17000</v>
      </c>
      <c r="P803">
        <v>272200</v>
      </c>
      <c r="Q803">
        <v>204200</v>
      </c>
      <c r="R803">
        <v>3300000</v>
      </c>
      <c r="S803">
        <v>100000</v>
      </c>
      <c r="T803">
        <v>2015</v>
      </c>
      <c r="U803" t="s">
        <v>1010</v>
      </c>
      <c r="V803">
        <v>30</v>
      </c>
      <c r="W803">
        <v>51.3</v>
      </c>
      <c r="X803">
        <v>212559417</v>
      </c>
      <c r="Y803">
        <v>12.08</v>
      </c>
      <c r="Z803">
        <v>183241641</v>
      </c>
      <c r="AA803">
        <v>-14.235004</v>
      </c>
      <c r="AB803">
        <v>-51.925280000000001</v>
      </c>
    </row>
    <row r="804" spans="1:28" x14ac:dyDescent="0.3">
      <c r="A804">
        <v>803</v>
      </c>
      <c r="B804" t="s">
        <v>328</v>
      </c>
      <c r="C804">
        <v>13900000</v>
      </c>
      <c r="D804">
        <v>5673347763</v>
      </c>
      <c r="E804" t="s">
        <v>996</v>
      </c>
      <c r="F804" t="s">
        <v>328</v>
      </c>
      <c r="G804">
        <v>5494</v>
      </c>
      <c r="H804" t="s">
        <v>1019</v>
      </c>
      <c r="I804" t="s">
        <v>1020</v>
      </c>
      <c r="J804" t="s">
        <v>986</v>
      </c>
      <c r="K804">
        <v>1140</v>
      </c>
      <c r="L804">
        <v>46</v>
      </c>
      <c r="M804">
        <v>57</v>
      </c>
      <c r="N804">
        <v>106718000</v>
      </c>
      <c r="O804">
        <v>26700</v>
      </c>
      <c r="P804">
        <v>426900</v>
      </c>
      <c r="Q804">
        <v>320200</v>
      </c>
      <c r="R804">
        <v>5100000</v>
      </c>
      <c r="S804">
        <v>100000</v>
      </c>
      <c r="T804">
        <v>2012</v>
      </c>
      <c r="U804" t="s">
        <v>1010</v>
      </c>
      <c r="V804">
        <v>30</v>
      </c>
      <c r="W804">
        <v>51.3</v>
      </c>
      <c r="X804">
        <v>212559417</v>
      </c>
      <c r="Y804">
        <v>12.08</v>
      </c>
      <c r="Z804">
        <v>183241641</v>
      </c>
      <c r="AA804">
        <v>-14.235004</v>
      </c>
      <c r="AB804">
        <v>-51.925280000000001</v>
      </c>
    </row>
    <row r="805" spans="1:28" x14ac:dyDescent="0.3">
      <c r="A805">
        <v>804</v>
      </c>
      <c r="B805" t="s">
        <v>383</v>
      </c>
      <c r="C805">
        <v>13900000</v>
      </c>
      <c r="D805">
        <v>9106781518</v>
      </c>
      <c r="E805" t="s">
        <v>988</v>
      </c>
      <c r="F805" t="s">
        <v>383</v>
      </c>
      <c r="G805">
        <v>2254</v>
      </c>
      <c r="H805" t="s">
        <v>1098</v>
      </c>
      <c r="I805" t="s">
        <v>1099</v>
      </c>
      <c r="J805" t="s">
        <v>977</v>
      </c>
      <c r="K805">
        <v>526</v>
      </c>
      <c r="L805">
        <v>3</v>
      </c>
      <c r="M805">
        <v>137</v>
      </c>
      <c r="N805">
        <v>87639000</v>
      </c>
      <c r="O805">
        <v>21900</v>
      </c>
      <c r="P805">
        <v>350600</v>
      </c>
      <c r="Q805">
        <v>262900</v>
      </c>
      <c r="R805">
        <v>4200000</v>
      </c>
      <c r="S805">
        <v>100000</v>
      </c>
      <c r="T805">
        <v>2012</v>
      </c>
      <c r="U805" t="s">
        <v>1003</v>
      </c>
      <c r="V805">
        <v>18</v>
      </c>
      <c r="W805">
        <v>34.4</v>
      </c>
      <c r="X805">
        <v>10101694</v>
      </c>
      <c r="Y805">
        <v>14.72</v>
      </c>
      <c r="Z805">
        <v>9213048</v>
      </c>
      <c r="AA805">
        <v>30.585163999999999</v>
      </c>
      <c r="AB805">
        <v>36.238413999999999</v>
      </c>
    </row>
    <row r="806" spans="1:28" x14ac:dyDescent="0.3">
      <c r="A806">
        <v>805</v>
      </c>
      <c r="B806" t="s">
        <v>763</v>
      </c>
      <c r="C806">
        <v>13900000</v>
      </c>
      <c r="D806">
        <v>2244318380</v>
      </c>
      <c r="E806" t="s">
        <v>982</v>
      </c>
      <c r="F806" t="s">
        <v>763</v>
      </c>
      <c r="G806">
        <v>183</v>
      </c>
      <c r="H806" t="s">
        <v>984</v>
      </c>
      <c r="I806" t="s">
        <v>985</v>
      </c>
      <c r="J806" t="s">
        <v>1044</v>
      </c>
      <c r="K806">
        <v>4234</v>
      </c>
      <c r="L806">
        <v>161</v>
      </c>
      <c r="M806">
        <v>35</v>
      </c>
      <c r="N806">
        <v>4598000</v>
      </c>
      <c r="O806">
        <v>1100</v>
      </c>
      <c r="P806">
        <v>18400</v>
      </c>
      <c r="Q806">
        <v>13800</v>
      </c>
      <c r="R806">
        <v>220700</v>
      </c>
      <c r="S806" t="s">
        <v>987</v>
      </c>
      <c r="T806">
        <v>2009</v>
      </c>
      <c r="U806" t="s">
        <v>989</v>
      </c>
      <c r="V806">
        <v>15</v>
      </c>
      <c r="W806">
        <v>88.2</v>
      </c>
      <c r="X806">
        <v>328239523</v>
      </c>
      <c r="Y806">
        <v>14.7</v>
      </c>
      <c r="Z806">
        <v>270663028</v>
      </c>
      <c r="AA806">
        <v>37.090240000000001</v>
      </c>
      <c r="AB806">
        <v>-95.712890999999999</v>
      </c>
    </row>
    <row r="807" spans="1:28" x14ac:dyDescent="0.3">
      <c r="A807">
        <v>806</v>
      </c>
      <c r="B807" t="s">
        <v>166</v>
      </c>
      <c r="C807">
        <v>13900000</v>
      </c>
      <c r="D807">
        <v>7450345720</v>
      </c>
      <c r="E807" t="s">
        <v>994</v>
      </c>
      <c r="F807" t="s">
        <v>166</v>
      </c>
      <c r="G807">
        <v>324</v>
      </c>
      <c r="H807" t="s">
        <v>987</v>
      </c>
      <c r="I807" t="s">
        <v>987</v>
      </c>
      <c r="J807" t="s">
        <v>1002</v>
      </c>
      <c r="K807">
        <v>745</v>
      </c>
      <c r="L807" t="s">
        <v>987</v>
      </c>
      <c r="M807">
        <v>50</v>
      </c>
      <c r="N807">
        <v>231562000</v>
      </c>
      <c r="O807">
        <v>57900</v>
      </c>
      <c r="P807">
        <v>926200</v>
      </c>
      <c r="Q807">
        <v>694700</v>
      </c>
      <c r="R807">
        <v>11100000</v>
      </c>
      <c r="S807">
        <v>300000</v>
      </c>
      <c r="T807">
        <v>2020</v>
      </c>
      <c r="U807" t="s">
        <v>1010</v>
      </c>
      <c r="V807">
        <v>12</v>
      </c>
      <c r="W807" t="s">
        <v>987</v>
      </c>
      <c r="X807" t="s">
        <v>987</v>
      </c>
      <c r="Y807" t="s">
        <v>987</v>
      </c>
      <c r="Z807" t="s">
        <v>987</v>
      </c>
      <c r="AA807" t="s">
        <v>987</v>
      </c>
      <c r="AB807" t="s">
        <v>987</v>
      </c>
    </row>
    <row r="808" spans="1:28" x14ac:dyDescent="0.3">
      <c r="A808">
        <v>807</v>
      </c>
      <c r="B808" t="s">
        <v>574</v>
      </c>
      <c r="C808">
        <v>13900000</v>
      </c>
      <c r="D808">
        <v>5217553897</v>
      </c>
      <c r="E808" t="s">
        <v>988</v>
      </c>
      <c r="F808" t="s">
        <v>574</v>
      </c>
      <c r="G808">
        <v>15075</v>
      </c>
      <c r="H808" t="s">
        <v>978</v>
      </c>
      <c r="I808" t="s">
        <v>979</v>
      </c>
      <c r="J808" t="s">
        <v>977</v>
      </c>
      <c r="K808">
        <v>1275</v>
      </c>
      <c r="L808">
        <v>111</v>
      </c>
      <c r="M808">
        <v>136</v>
      </c>
      <c r="N808">
        <v>33484000</v>
      </c>
      <c r="O808">
        <v>8400</v>
      </c>
      <c r="P808">
        <v>133900</v>
      </c>
      <c r="Q808">
        <v>100500</v>
      </c>
      <c r="R808">
        <v>1600000</v>
      </c>
      <c r="S808">
        <v>100000</v>
      </c>
      <c r="T808">
        <v>2011</v>
      </c>
      <c r="U808" t="s">
        <v>989</v>
      </c>
      <c r="V808">
        <v>14</v>
      </c>
      <c r="W808">
        <v>28.1</v>
      </c>
      <c r="X808">
        <v>1366417754</v>
      </c>
      <c r="Y808">
        <v>5.36</v>
      </c>
      <c r="Z808">
        <v>471031528</v>
      </c>
      <c r="AA808">
        <v>20.593684</v>
      </c>
      <c r="AB808">
        <v>78.962879999999998</v>
      </c>
    </row>
    <row r="809" spans="1:28" x14ac:dyDescent="0.3">
      <c r="A809">
        <v>808</v>
      </c>
      <c r="B809" t="s">
        <v>628</v>
      </c>
      <c r="C809">
        <v>13900000</v>
      </c>
      <c r="D809">
        <v>5465532801</v>
      </c>
      <c r="E809" t="s">
        <v>988</v>
      </c>
      <c r="F809" t="s">
        <v>628</v>
      </c>
      <c r="G809">
        <v>503</v>
      </c>
      <c r="H809" t="s">
        <v>984</v>
      </c>
      <c r="I809" t="s">
        <v>985</v>
      </c>
      <c r="J809" t="s">
        <v>988</v>
      </c>
      <c r="K809">
        <v>1200</v>
      </c>
      <c r="L809">
        <v>161</v>
      </c>
      <c r="M809">
        <v>157</v>
      </c>
      <c r="N809">
        <v>26883000</v>
      </c>
      <c r="O809">
        <v>6700</v>
      </c>
      <c r="P809">
        <v>107500</v>
      </c>
      <c r="Q809">
        <v>80600</v>
      </c>
      <c r="R809">
        <v>1300000</v>
      </c>
      <c r="S809" t="s">
        <v>987</v>
      </c>
      <c r="T809">
        <v>2018</v>
      </c>
      <c r="U809" t="s">
        <v>980</v>
      </c>
      <c r="V809">
        <v>12</v>
      </c>
      <c r="W809">
        <v>88.2</v>
      </c>
      <c r="X809">
        <v>328239523</v>
      </c>
      <c r="Y809">
        <v>14.7</v>
      </c>
      <c r="Z809">
        <v>270663028</v>
      </c>
      <c r="AA809">
        <v>37.090240000000001</v>
      </c>
      <c r="AB809">
        <v>-95.712890999999999</v>
      </c>
    </row>
    <row r="810" spans="1:28" x14ac:dyDescent="0.3">
      <c r="A810">
        <v>809</v>
      </c>
      <c r="B810" t="s">
        <v>875</v>
      </c>
      <c r="C810">
        <v>13900000</v>
      </c>
      <c r="D810">
        <v>12129583055</v>
      </c>
      <c r="E810" t="s">
        <v>1026</v>
      </c>
      <c r="F810" t="s">
        <v>1258</v>
      </c>
      <c r="G810">
        <v>6</v>
      </c>
      <c r="H810" t="s">
        <v>1259</v>
      </c>
      <c r="I810" t="s">
        <v>1260</v>
      </c>
      <c r="J810" t="s">
        <v>988</v>
      </c>
      <c r="K810">
        <v>4056658</v>
      </c>
      <c r="L810">
        <v>3776</v>
      </c>
      <c r="M810">
        <v>6756</v>
      </c>
      <c r="N810">
        <v>1</v>
      </c>
      <c r="O810">
        <v>0</v>
      </c>
      <c r="P810">
        <v>0</v>
      </c>
      <c r="Q810">
        <v>0</v>
      </c>
      <c r="R810">
        <v>0.05</v>
      </c>
      <c r="S810" t="s">
        <v>987</v>
      </c>
      <c r="T810">
        <v>2021</v>
      </c>
      <c r="U810" t="s">
        <v>989</v>
      </c>
      <c r="V810">
        <v>10</v>
      </c>
      <c r="W810">
        <v>20.6</v>
      </c>
      <c r="X810">
        <v>167310838</v>
      </c>
      <c r="Y810">
        <v>4.1900000000000004</v>
      </c>
      <c r="Z810">
        <v>60987417</v>
      </c>
      <c r="AA810">
        <v>23.684994</v>
      </c>
      <c r="AB810">
        <v>90.356330999999997</v>
      </c>
    </row>
    <row r="811" spans="1:28" x14ac:dyDescent="0.3">
      <c r="A811">
        <v>810</v>
      </c>
      <c r="B811" t="s">
        <v>357</v>
      </c>
      <c r="C811">
        <v>13900000</v>
      </c>
      <c r="D811">
        <v>12513842343</v>
      </c>
      <c r="E811" t="s">
        <v>977</v>
      </c>
      <c r="F811" t="s">
        <v>357</v>
      </c>
      <c r="G811">
        <v>1660</v>
      </c>
      <c r="H811" t="s">
        <v>984</v>
      </c>
      <c r="I811" t="s">
        <v>985</v>
      </c>
      <c r="J811" t="s">
        <v>977</v>
      </c>
      <c r="K811">
        <v>307</v>
      </c>
      <c r="L811">
        <v>161</v>
      </c>
      <c r="M811">
        <v>137</v>
      </c>
      <c r="N811">
        <v>97284000</v>
      </c>
      <c r="O811">
        <v>24300</v>
      </c>
      <c r="P811">
        <v>389100</v>
      </c>
      <c r="Q811">
        <v>291900</v>
      </c>
      <c r="R811">
        <v>4700000</v>
      </c>
      <c r="S811">
        <v>100000</v>
      </c>
      <c r="T811">
        <v>2006</v>
      </c>
      <c r="U811" t="s">
        <v>1005</v>
      </c>
      <c r="V811">
        <v>15</v>
      </c>
      <c r="W811">
        <v>88.2</v>
      </c>
      <c r="X811">
        <v>328239523</v>
      </c>
      <c r="Y811">
        <v>14.7</v>
      </c>
      <c r="Z811">
        <v>270663028</v>
      </c>
      <c r="AA811">
        <v>37.090240000000001</v>
      </c>
      <c r="AB811">
        <v>-95.712890999999999</v>
      </c>
    </row>
    <row r="812" spans="1:28" x14ac:dyDescent="0.3">
      <c r="A812">
        <v>811</v>
      </c>
      <c r="B812" t="s">
        <v>1261</v>
      </c>
      <c r="C812">
        <v>13900000</v>
      </c>
      <c r="D812">
        <v>8451754769</v>
      </c>
      <c r="E812" t="s">
        <v>987</v>
      </c>
      <c r="F812" t="s">
        <v>1261</v>
      </c>
      <c r="G812">
        <v>504</v>
      </c>
      <c r="H812" t="s">
        <v>984</v>
      </c>
      <c r="I812" t="s">
        <v>985</v>
      </c>
      <c r="J812" t="s">
        <v>1002</v>
      </c>
      <c r="K812">
        <v>600</v>
      </c>
      <c r="L812">
        <v>161</v>
      </c>
      <c r="M812">
        <v>50</v>
      </c>
      <c r="N812">
        <v>114261000</v>
      </c>
      <c r="O812">
        <v>28600</v>
      </c>
      <c r="P812">
        <v>457000</v>
      </c>
      <c r="Q812">
        <v>342800</v>
      </c>
      <c r="R812">
        <v>5500000</v>
      </c>
      <c r="S812">
        <v>200000</v>
      </c>
      <c r="T812">
        <v>2018</v>
      </c>
      <c r="U812" t="s">
        <v>1025</v>
      </c>
      <c r="V812">
        <v>12</v>
      </c>
      <c r="W812">
        <v>88.2</v>
      </c>
      <c r="X812">
        <v>328239523</v>
      </c>
      <c r="Y812">
        <v>14.7</v>
      </c>
      <c r="Z812">
        <v>270663028</v>
      </c>
      <c r="AA812">
        <v>37.090240000000001</v>
      </c>
      <c r="AB812">
        <v>-95.712890999999999</v>
      </c>
    </row>
    <row r="813" spans="1:28" x14ac:dyDescent="0.3">
      <c r="A813">
        <v>812</v>
      </c>
      <c r="B813" t="s">
        <v>524</v>
      </c>
      <c r="C813">
        <v>13900000</v>
      </c>
      <c r="D813">
        <v>2165885634</v>
      </c>
      <c r="E813" t="s">
        <v>990</v>
      </c>
      <c r="F813" t="s">
        <v>524</v>
      </c>
      <c r="G813">
        <v>369</v>
      </c>
      <c r="H813" t="s">
        <v>984</v>
      </c>
      <c r="I813" t="s">
        <v>985</v>
      </c>
      <c r="J813" t="s">
        <v>990</v>
      </c>
      <c r="K813">
        <v>4466</v>
      </c>
      <c r="L813">
        <v>161</v>
      </c>
      <c r="M813">
        <v>38</v>
      </c>
      <c r="N813">
        <v>44149000</v>
      </c>
      <c r="O813">
        <v>11000</v>
      </c>
      <c r="P813">
        <v>176600</v>
      </c>
      <c r="Q813">
        <v>132400</v>
      </c>
      <c r="R813">
        <v>2100000</v>
      </c>
      <c r="S813">
        <v>200000</v>
      </c>
      <c r="T813">
        <v>2010</v>
      </c>
      <c r="U813" t="s">
        <v>1015</v>
      </c>
      <c r="V813">
        <v>21</v>
      </c>
      <c r="W813">
        <v>88.2</v>
      </c>
      <c r="X813">
        <v>328239523</v>
      </c>
      <c r="Y813">
        <v>14.7</v>
      </c>
      <c r="Z813">
        <v>270663028</v>
      </c>
      <c r="AA813">
        <v>37.090240000000001</v>
      </c>
      <c r="AB813">
        <v>-95.712890999999999</v>
      </c>
    </row>
    <row r="814" spans="1:28" x14ac:dyDescent="0.3">
      <c r="A814">
        <v>813</v>
      </c>
      <c r="B814" t="s">
        <v>255</v>
      </c>
      <c r="C814">
        <v>13900000</v>
      </c>
      <c r="D814">
        <v>3193226072</v>
      </c>
      <c r="E814" t="s">
        <v>1011</v>
      </c>
      <c r="F814" t="s">
        <v>255</v>
      </c>
      <c r="G814">
        <v>288</v>
      </c>
      <c r="H814" t="s">
        <v>987</v>
      </c>
      <c r="I814" t="s">
        <v>987</v>
      </c>
      <c r="J814" t="s">
        <v>988</v>
      </c>
      <c r="K814">
        <v>2613</v>
      </c>
      <c r="L814" t="s">
        <v>987</v>
      </c>
      <c r="M814">
        <v>157</v>
      </c>
      <c r="N814">
        <v>142760000</v>
      </c>
      <c r="O814">
        <v>35700</v>
      </c>
      <c r="P814">
        <v>571000</v>
      </c>
      <c r="Q814">
        <v>428300</v>
      </c>
      <c r="R814">
        <v>6900000</v>
      </c>
      <c r="S814">
        <v>300000</v>
      </c>
      <c r="T814">
        <v>2010</v>
      </c>
      <c r="U814" t="s">
        <v>1010</v>
      </c>
      <c r="V814">
        <v>21</v>
      </c>
      <c r="W814" t="s">
        <v>987</v>
      </c>
      <c r="X814" t="s">
        <v>987</v>
      </c>
      <c r="Y814" t="s">
        <v>987</v>
      </c>
      <c r="Z814" t="s">
        <v>987</v>
      </c>
      <c r="AA814" t="s">
        <v>987</v>
      </c>
      <c r="AB814" t="s">
        <v>987</v>
      </c>
    </row>
    <row r="815" spans="1:28" x14ac:dyDescent="0.3">
      <c r="A815">
        <v>814</v>
      </c>
      <c r="B815" t="s">
        <v>346</v>
      </c>
      <c r="C815">
        <v>13800000</v>
      </c>
      <c r="D815">
        <v>2224911030</v>
      </c>
      <c r="E815" t="s">
        <v>988</v>
      </c>
      <c r="F815" t="s">
        <v>346</v>
      </c>
      <c r="G815">
        <v>173</v>
      </c>
      <c r="H815" t="s">
        <v>984</v>
      </c>
      <c r="I815" t="s">
        <v>985</v>
      </c>
      <c r="J815" t="s">
        <v>988</v>
      </c>
      <c r="K815">
        <v>4285</v>
      </c>
      <c r="L815">
        <v>161</v>
      </c>
      <c r="M815">
        <v>157</v>
      </c>
      <c r="N815">
        <v>99654000</v>
      </c>
      <c r="O815">
        <v>24900</v>
      </c>
      <c r="P815">
        <v>398600</v>
      </c>
      <c r="Q815">
        <v>299000</v>
      </c>
      <c r="R815">
        <v>4800000</v>
      </c>
      <c r="S815">
        <v>300000</v>
      </c>
      <c r="T815">
        <v>2015</v>
      </c>
      <c r="U815" t="s">
        <v>1003</v>
      </c>
      <c r="V815">
        <v>3</v>
      </c>
      <c r="W815">
        <v>88.2</v>
      </c>
      <c r="X815">
        <v>328239523</v>
      </c>
      <c r="Y815">
        <v>14.7</v>
      </c>
      <c r="Z815">
        <v>270663028</v>
      </c>
      <c r="AA815">
        <v>37.090240000000001</v>
      </c>
      <c r="AB815">
        <v>-95.712890999999999</v>
      </c>
    </row>
    <row r="816" spans="1:28" x14ac:dyDescent="0.3">
      <c r="A816">
        <v>815</v>
      </c>
      <c r="B816" t="s">
        <v>394</v>
      </c>
      <c r="C816">
        <v>13800000</v>
      </c>
      <c r="D816">
        <v>1820559912</v>
      </c>
      <c r="E816" t="s">
        <v>1088</v>
      </c>
      <c r="F816" t="s">
        <v>394</v>
      </c>
      <c r="G816">
        <v>887</v>
      </c>
      <c r="H816" t="s">
        <v>1017</v>
      </c>
      <c r="I816" t="s">
        <v>1018</v>
      </c>
      <c r="J816" t="s">
        <v>1089</v>
      </c>
      <c r="K816">
        <v>5524</v>
      </c>
      <c r="L816">
        <v>10</v>
      </c>
      <c r="M816">
        <v>14</v>
      </c>
      <c r="N816">
        <v>83943000</v>
      </c>
      <c r="O816">
        <v>21000</v>
      </c>
      <c r="P816">
        <v>335800</v>
      </c>
      <c r="Q816">
        <v>251800</v>
      </c>
      <c r="R816">
        <v>4000000</v>
      </c>
      <c r="S816">
        <v>100000</v>
      </c>
      <c r="T816">
        <v>2006</v>
      </c>
      <c r="U816" t="s">
        <v>999</v>
      </c>
      <c r="V816">
        <v>20</v>
      </c>
      <c r="W816">
        <v>68.900000000000006</v>
      </c>
      <c r="X816">
        <v>36991981</v>
      </c>
      <c r="Y816">
        <v>5.56</v>
      </c>
      <c r="Z816">
        <v>30628482</v>
      </c>
      <c r="AA816">
        <v>56.130366000000002</v>
      </c>
      <c r="AB816">
        <v>-106.346771</v>
      </c>
    </row>
    <row r="817" spans="1:28" x14ac:dyDescent="0.3">
      <c r="A817">
        <v>816</v>
      </c>
      <c r="B817" t="s">
        <v>702</v>
      </c>
      <c r="C817">
        <v>13800000</v>
      </c>
      <c r="D817">
        <v>1493776391</v>
      </c>
      <c r="E817" t="s">
        <v>994</v>
      </c>
      <c r="F817" t="s">
        <v>702</v>
      </c>
      <c r="G817">
        <v>16</v>
      </c>
      <c r="H817" t="s">
        <v>987</v>
      </c>
      <c r="I817" t="s">
        <v>987</v>
      </c>
      <c r="J817" t="s">
        <v>977</v>
      </c>
      <c r="K817">
        <v>7134</v>
      </c>
      <c r="L817" t="s">
        <v>987</v>
      </c>
      <c r="M817">
        <v>138</v>
      </c>
      <c r="N817">
        <v>13533000</v>
      </c>
      <c r="O817">
        <v>3400</v>
      </c>
      <c r="P817">
        <v>54100</v>
      </c>
      <c r="Q817">
        <v>40600</v>
      </c>
      <c r="R817">
        <v>649600</v>
      </c>
      <c r="S817">
        <v>100000</v>
      </c>
      <c r="T817">
        <v>2017</v>
      </c>
      <c r="U817" t="s">
        <v>1008</v>
      </c>
      <c r="V817">
        <v>5</v>
      </c>
      <c r="W817" t="s">
        <v>987</v>
      </c>
      <c r="X817" t="s">
        <v>987</v>
      </c>
      <c r="Y817" t="s">
        <v>987</v>
      </c>
      <c r="Z817" t="s">
        <v>987</v>
      </c>
      <c r="AA817" t="s">
        <v>987</v>
      </c>
      <c r="AB817" t="s">
        <v>987</v>
      </c>
    </row>
    <row r="818" spans="1:28" x14ac:dyDescent="0.3">
      <c r="A818">
        <v>817</v>
      </c>
      <c r="B818" t="s">
        <v>1262</v>
      </c>
      <c r="C818">
        <v>13800000</v>
      </c>
      <c r="D818">
        <v>2480957682</v>
      </c>
      <c r="E818" t="s">
        <v>996</v>
      </c>
      <c r="F818" t="s">
        <v>1262</v>
      </c>
      <c r="G818">
        <v>1952</v>
      </c>
      <c r="H818" t="s">
        <v>1101</v>
      </c>
      <c r="I818" t="s">
        <v>1102</v>
      </c>
      <c r="J818" t="s">
        <v>986</v>
      </c>
      <c r="K818">
        <v>3690</v>
      </c>
      <c r="L818">
        <v>4</v>
      </c>
      <c r="M818">
        <v>58</v>
      </c>
      <c r="N818">
        <v>55122000</v>
      </c>
      <c r="O818">
        <v>13800</v>
      </c>
      <c r="P818">
        <v>220500</v>
      </c>
      <c r="Q818">
        <v>165400</v>
      </c>
      <c r="R818">
        <v>2600000</v>
      </c>
      <c r="S818">
        <v>200000</v>
      </c>
      <c r="T818">
        <v>2017</v>
      </c>
      <c r="U818" t="s">
        <v>1015</v>
      </c>
      <c r="V818">
        <v>2</v>
      </c>
      <c r="W818">
        <v>85</v>
      </c>
      <c r="X818">
        <v>17332850</v>
      </c>
      <c r="Y818">
        <v>3.2</v>
      </c>
      <c r="Z818">
        <v>15924729</v>
      </c>
      <c r="AA818">
        <v>52.132632999999998</v>
      </c>
      <c r="AB818">
        <v>5.2912660000000002</v>
      </c>
    </row>
    <row r="819" spans="1:28" x14ac:dyDescent="0.3">
      <c r="A819">
        <v>818</v>
      </c>
      <c r="B819" t="s">
        <v>622</v>
      </c>
      <c r="C819">
        <v>13800000</v>
      </c>
      <c r="D819">
        <v>5019136690</v>
      </c>
      <c r="E819" t="s">
        <v>994</v>
      </c>
      <c r="F819" t="s">
        <v>622</v>
      </c>
      <c r="G819">
        <v>520</v>
      </c>
      <c r="H819" t="s">
        <v>1058</v>
      </c>
      <c r="I819" t="s">
        <v>1059</v>
      </c>
      <c r="J819" t="s">
        <v>1053</v>
      </c>
      <c r="K819">
        <v>1361</v>
      </c>
      <c r="L819">
        <v>30</v>
      </c>
      <c r="M819">
        <v>28</v>
      </c>
      <c r="N819">
        <v>26519000</v>
      </c>
      <c r="O819">
        <v>6600</v>
      </c>
      <c r="P819">
        <v>106100</v>
      </c>
      <c r="Q819">
        <v>79600</v>
      </c>
      <c r="R819">
        <v>1300000</v>
      </c>
      <c r="S819">
        <v>100000</v>
      </c>
      <c r="T819">
        <v>2019</v>
      </c>
      <c r="U819" t="s">
        <v>980</v>
      </c>
      <c r="V819">
        <v>13</v>
      </c>
      <c r="W819">
        <v>40.200000000000003</v>
      </c>
      <c r="X819">
        <v>126014024</v>
      </c>
      <c r="Y819">
        <v>3.42</v>
      </c>
      <c r="Z819">
        <v>102626859</v>
      </c>
      <c r="AA819">
        <v>23.634501</v>
      </c>
      <c r="AB819">
        <v>-102.552784</v>
      </c>
    </row>
    <row r="820" spans="1:28" x14ac:dyDescent="0.3">
      <c r="A820">
        <v>819</v>
      </c>
      <c r="B820" t="s">
        <v>345</v>
      </c>
      <c r="C820">
        <v>13800000</v>
      </c>
      <c r="D820">
        <v>5727888539</v>
      </c>
      <c r="E820" t="s">
        <v>1026</v>
      </c>
      <c r="F820" t="s">
        <v>345</v>
      </c>
      <c r="G820">
        <v>190093</v>
      </c>
      <c r="H820" t="s">
        <v>1041</v>
      </c>
      <c r="I820" t="s">
        <v>1042</v>
      </c>
      <c r="J820" t="s">
        <v>1027</v>
      </c>
      <c r="K820">
        <v>1127</v>
      </c>
      <c r="L820">
        <v>6</v>
      </c>
      <c r="M820">
        <v>21</v>
      </c>
      <c r="N820">
        <v>100053000</v>
      </c>
      <c r="O820">
        <v>25000</v>
      </c>
      <c r="P820">
        <v>400200</v>
      </c>
      <c r="Q820">
        <v>300200</v>
      </c>
      <c r="R820">
        <v>4800000</v>
      </c>
      <c r="S820">
        <v>100000</v>
      </c>
      <c r="T820">
        <v>2007</v>
      </c>
      <c r="U820" t="s">
        <v>1003</v>
      </c>
      <c r="V820">
        <v>10</v>
      </c>
      <c r="W820">
        <v>9</v>
      </c>
      <c r="X820">
        <v>216565318</v>
      </c>
      <c r="Y820">
        <v>4.45</v>
      </c>
      <c r="Z820">
        <v>79927762</v>
      </c>
      <c r="AA820">
        <v>30.375321</v>
      </c>
      <c r="AB820">
        <v>69.345116000000004</v>
      </c>
    </row>
    <row r="821" spans="1:28" x14ac:dyDescent="0.3">
      <c r="A821">
        <v>820</v>
      </c>
      <c r="B821" t="s">
        <v>405</v>
      </c>
      <c r="C821">
        <v>13800000</v>
      </c>
      <c r="D821">
        <v>6646953396</v>
      </c>
      <c r="E821" t="s">
        <v>992</v>
      </c>
      <c r="F821" t="s">
        <v>405</v>
      </c>
      <c r="G821">
        <v>1505</v>
      </c>
      <c r="H821" t="s">
        <v>978</v>
      </c>
      <c r="I821" t="s">
        <v>979</v>
      </c>
      <c r="J821" t="s">
        <v>990</v>
      </c>
      <c r="K821">
        <v>898</v>
      </c>
      <c r="L821">
        <v>112</v>
      </c>
      <c r="M821">
        <v>38</v>
      </c>
      <c r="N821">
        <v>78651000</v>
      </c>
      <c r="O821">
        <v>19700</v>
      </c>
      <c r="P821">
        <v>314600</v>
      </c>
      <c r="Q821">
        <v>236000</v>
      </c>
      <c r="R821">
        <v>3800000</v>
      </c>
      <c r="S821">
        <v>100000</v>
      </c>
      <c r="T821">
        <v>2014</v>
      </c>
      <c r="U821" t="s">
        <v>1029</v>
      </c>
      <c r="V821">
        <v>17</v>
      </c>
      <c r="W821">
        <v>28.1</v>
      </c>
      <c r="X821">
        <v>1366417754</v>
      </c>
      <c r="Y821">
        <v>5.36</v>
      </c>
      <c r="Z821">
        <v>471031528</v>
      </c>
      <c r="AA821">
        <v>20.593684</v>
      </c>
      <c r="AB821">
        <v>78.962879999999998</v>
      </c>
    </row>
    <row r="822" spans="1:28" x14ac:dyDescent="0.3">
      <c r="A822">
        <v>821</v>
      </c>
      <c r="B822" t="s">
        <v>173</v>
      </c>
      <c r="C822">
        <v>13800000</v>
      </c>
      <c r="D822">
        <v>11039343563</v>
      </c>
      <c r="E822" t="s">
        <v>977</v>
      </c>
      <c r="F822" t="s">
        <v>173</v>
      </c>
      <c r="G822">
        <v>4978</v>
      </c>
      <c r="H822" t="s">
        <v>978</v>
      </c>
      <c r="I822" t="s">
        <v>979</v>
      </c>
      <c r="J822" t="s">
        <v>977</v>
      </c>
      <c r="K822">
        <v>374</v>
      </c>
      <c r="L822">
        <v>112</v>
      </c>
      <c r="M822">
        <v>137</v>
      </c>
      <c r="N822">
        <v>217106000</v>
      </c>
      <c r="O822">
        <v>54300</v>
      </c>
      <c r="P822">
        <v>868400</v>
      </c>
      <c r="Q822">
        <v>651300</v>
      </c>
      <c r="R822">
        <v>10400000</v>
      </c>
      <c r="S822">
        <v>200000</v>
      </c>
      <c r="T822">
        <v>2009</v>
      </c>
      <c r="U822" t="s">
        <v>1010</v>
      </c>
      <c r="V822">
        <v>15</v>
      </c>
      <c r="W822">
        <v>28.1</v>
      </c>
      <c r="X822">
        <v>1366417754</v>
      </c>
      <c r="Y822">
        <v>5.36</v>
      </c>
      <c r="Z822">
        <v>471031528</v>
      </c>
      <c r="AA822">
        <v>20.593684</v>
      </c>
      <c r="AB822">
        <v>78.962879999999998</v>
      </c>
    </row>
    <row r="823" spans="1:28" x14ac:dyDescent="0.3">
      <c r="A823">
        <v>822</v>
      </c>
      <c r="B823" t="s">
        <v>382</v>
      </c>
      <c r="C823">
        <v>13700000</v>
      </c>
      <c r="D823">
        <v>1967930734</v>
      </c>
      <c r="E823" t="s">
        <v>1044</v>
      </c>
      <c r="F823" t="s">
        <v>382</v>
      </c>
      <c r="G823">
        <v>696</v>
      </c>
      <c r="H823" t="s">
        <v>1019</v>
      </c>
      <c r="I823" t="s">
        <v>1020</v>
      </c>
      <c r="J823" t="s">
        <v>988</v>
      </c>
      <c r="K823">
        <v>5035</v>
      </c>
      <c r="L823">
        <v>47</v>
      </c>
      <c r="M823">
        <v>159</v>
      </c>
      <c r="N823">
        <v>87804000</v>
      </c>
      <c r="O823">
        <v>22000</v>
      </c>
      <c r="P823">
        <v>351200</v>
      </c>
      <c r="Q823">
        <v>263400</v>
      </c>
      <c r="R823">
        <v>4200000</v>
      </c>
      <c r="S823">
        <v>200000</v>
      </c>
      <c r="T823">
        <v>2015</v>
      </c>
      <c r="U823" t="s">
        <v>989</v>
      </c>
      <c r="V823">
        <v>6</v>
      </c>
      <c r="W823">
        <v>51.3</v>
      </c>
      <c r="X823">
        <v>212559417</v>
      </c>
      <c r="Y823">
        <v>12.08</v>
      </c>
      <c r="Z823">
        <v>183241641</v>
      </c>
      <c r="AA823">
        <v>-14.235004</v>
      </c>
      <c r="AB823">
        <v>-51.925280000000001</v>
      </c>
    </row>
    <row r="824" spans="1:28" x14ac:dyDescent="0.3">
      <c r="A824">
        <v>823</v>
      </c>
      <c r="B824" t="s">
        <v>560</v>
      </c>
      <c r="C824">
        <v>13700000</v>
      </c>
      <c r="D824">
        <v>1973638757</v>
      </c>
      <c r="E824" t="s">
        <v>988</v>
      </c>
      <c r="F824" t="s">
        <v>560</v>
      </c>
      <c r="G824">
        <v>975</v>
      </c>
      <c r="H824" t="s">
        <v>978</v>
      </c>
      <c r="I824" t="s">
        <v>979</v>
      </c>
      <c r="J824" t="s">
        <v>1022</v>
      </c>
      <c r="K824">
        <v>5047</v>
      </c>
      <c r="L824">
        <v>113</v>
      </c>
      <c r="M824">
        <v>41</v>
      </c>
      <c r="N824">
        <v>37648000</v>
      </c>
      <c r="O824">
        <v>9400</v>
      </c>
      <c r="P824">
        <v>150600</v>
      </c>
      <c r="Q824">
        <v>112900</v>
      </c>
      <c r="R824">
        <v>1800000</v>
      </c>
      <c r="S824">
        <v>100000</v>
      </c>
      <c r="T824">
        <v>2013</v>
      </c>
      <c r="U824" t="s">
        <v>1025</v>
      </c>
      <c r="V824">
        <v>12</v>
      </c>
      <c r="W824">
        <v>28.1</v>
      </c>
      <c r="X824">
        <v>1366417754</v>
      </c>
      <c r="Y824">
        <v>5.36</v>
      </c>
      <c r="Z824">
        <v>471031528</v>
      </c>
      <c r="AA824">
        <v>20.593684</v>
      </c>
      <c r="AB824">
        <v>78.962879999999998</v>
      </c>
    </row>
    <row r="825" spans="1:28" x14ac:dyDescent="0.3">
      <c r="A825">
        <v>824</v>
      </c>
      <c r="B825" t="s">
        <v>745</v>
      </c>
      <c r="C825">
        <v>13700000</v>
      </c>
      <c r="D825">
        <v>1950178163</v>
      </c>
      <c r="E825" t="s">
        <v>988</v>
      </c>
      <c r="F825" t="s">
        <v>745</v>
      </c>
      <c r="G825">
        <v>3298</v>
      </c>
      <c r="H825" t="s">
        <v>1019</v>
      </c>
      <c r="I825" t="s">
        <v>1020</v>
      </c>
      <c r="J825" t="s">
        <v>988</v>
      </c>
      <c r="K825">
        <v>5135</v>
      </c>
      <c r="L825">
        <v>47</v>
      </c>
      <c r="M825">
        <v>159</v>
      </c>
      <c r="N825">
        <v>7438000</v>
      </c>
      <c r="O825">
        <v>1900</v>
      </c>
      <c r="P825">
        <v>29800</v>
      </c>
      <c r="Q825">
        <v>22300</v>
      </c>
      <c r="R825">
        <v>357000</v>
      </c>
      <c r="S825" t="s">
        <v>987</v>
      </c>
      <c r="T825">
        <v>2008</v>
      </c>
      <c r="U825" t="s">
        <v>1003</v>
      </c>
      <c r="V825">
        <v>22</v>
      </c>
      <c r="W825">
        <v>51.3</v>
      </c>
      <c r="X825">
        <v>212559417</v>
      </c>
      <c r="Y825">
        <v>12.08</v>
      </c>
      <c r="Z825">
        <v>183241641</v>
      </c>
      <c r="AA825">
        <v>-14.235004</v>
      </c>
      <c r="AB825">
        <v>-51.925280000000001</v>
      </c>
    </row>
    <row r="826" spans="1:28" x14ac:dyDescent="0.3">
      <c r="A826">
        <v>825</v>
      </c>
      <c r="B826" t="s">
        <v>91</v>
      </c>
      <c r="C826">
        <v>13700000</v>
      </c>
      <c r="D826">
        <v>9596430464</v>
      </c>
      <c r="E826" t="s">
        <v>1044</v>
      </c>
      <c r="F826" t="s">
        <v>91</v>
      </c>
      <c r="G826">
        <v>1040</v>
      </c>
      <c r="H826" t="s">
        <v>978</v>
      </c>
      <c r="I826" t="s">
        <v>979</v>
      </c>
      <c r="J826" t="s">
        <v>1044</v>
      </c>
      <c r="K826">
        <v>487</v>
      </c>
      <c r="L826">
        <v>113</v>
      </c>
      <c r="M826">
        <v>36</v>
      </c>
      <c r="N826">
        <v>379240000</v>
      </c>
      <c r="O826">
        <v>94800</v>
      </c>
      <c r="P826">
        <v>1500000</v>
      </c>
      <c r="Q826">
        <v>1100000</v>
      </c>
      <c r="R826">
        <v>18200000</v>
      </c>
      <c r="S826">
        <v>600000</v>
      </c>
      <c r="T826">
        <v>2021</v>
      </c>
      <c r="U826" t="s">
        <v>1010</v>
      </c>
      <c r="V826">
        <v>15</v>
      </c>
      <c r="W826">
        <v>28.1</v>
      </c>
      <c r="X826">
        <v>1366417754</v>
      </c>
      <c r="Y826">
        <v>5.36</v>
      </c>
      <c r="Z826">
        <v>471031528</v>
      </c>
      <c r="AA826">
        <v>20.593684</v>
      </c>
      <c r="AB826">
        <v>78.962879999999998</v>
      </c>
    </row>
    <row r="827" spans="1:28" x14ac:dyDescent="0.3">
      <c r="A827">
        <v>826</v>
      </c>
      <c r="B827" t="s">
        <v>645</v>
      </c>
      <c r="C827">
        <v>13700000</v>
      </c>
      <c r="D827">
        <v>2939201386</v>
      </c>
      <c r="E827" t="s">
        <v>1011</v>
      </c>
      <c r="F827" t="s">
        <v>645</v>
      </c>
      <c r="G827">
        <v>2158</v>
      </c>
      <c r="H827" t="s">
        <v>978</v>
      </c>
      <c r="I827" t="s">
        <v>979</v>
      </c>
      <c r="J827" t="s">
        <v>1053</v>
      </c>
      <c r="K827">
        <v>2972</v>
      </c>
      <c r="L827">
        <v>113</v>
      </c>
      <c r="M827">
        <v>29</v>
      </c>
      <c r="N827">
        <v>22235000</v>
      </c>
      <c r="O827">
        <v>5600</v>
      </c>
      <c r="P827">
        <v>88900</v>
      </c>
      <c r="Q827">
        <v>66700</v>
      </c>
      <c r="R827">
        <v>1100000</v>
      </c>
      <c r="S827">
        <v>100000</v>
      </c>
      <c r="T827">
        <v>2009</v>
      </c>
      <c r="U827" t="s">
        <v>1010</v>
      </c>
      <c r="V827">
        <v>2</v>
      </c>
      <c r="W827">
        <v>28.1</v>
      </c>
      <c r="X827">
        <v>1366417754</v>
      </c>
      <c r="Y827">
        <v>5.36</v>
      </c>
      <c r="Z827">
        <v>471031528</v>
      </c>
      <c r="AA827">
        <v>20.593684</v>
      </c>
      <c r="AB827">
        <v>78.962879999999998</v>
      </c>
    </row>
    <row r="828" spans="1:28" x14ac:dyDescent="0.3">
      <c r="A828">
        <v>827</v>
      </c>
      <c r="B828" t="s">
        <v>1263</v>
      </c>
      <c r="C828">
        <v>13700000</v>
      </c>
      <c r="D828">
        <v>4963275018</v>
      </c>
      <c r="E828" t="s">
        <v>994</v>
      </c>
      <c r="F828" t="s">
        <v>1263</v>
      </c>
      <c r="G828">
        <v>340</v>
      </c>
      <c r="H828" t="s">
        <v>978</v>
      </c>
      <c r="I828" t="s">
        <v>979</v>
      </c>
      <c r="J828" t="s">
        <v>988</v>
      </c>
      <c r="K828">
        <v>1387</v>
      </c>
      <c r="L828">
        <v>113</v>
      </c>
      <c r="M828">
        <v>159</v>
      </c>
      <c r="N828">
        <v>27882000</v>
      </c>
      <c r="O828">
        <v>7000</v>
      </c>
      <c r="P828">
        <v>111500</v>
      </c>
      <c r="Q828">
        <v>83600</v>
      </c>
      <c r="R828">
        <v>1300000</v>
      </c>
      <c r="S828" t="s">
        <v>987</v>
      </c>
      <c r="T828">
        <v>2014</v>
      </c>
      <c r="U828" t="s">
        <v>1015</v>
      </c>
      <c r="V828">
        <v>22</v>
      </c>
      <c r="W828">
        <v>28.1</v>
      </c>
      <c r="X828">
        <v>1366417754</v>
      </c>
      <c r="Y828">
        <v>5.36</v>
      </c>
      <c r="Z828">
        <v>471031528</v>
      </c>
      <c r="AA828">
        <v>20.593684</v>
      </c>
      <c r="AB828">
        <v>78.962879999999998</v>
      </c>
    </row>
    <row r="829" spans="1:28" x14ac:dyDescent="0.3">
      <c r="A829">
        <v>828</v>
      </c>
      <c r="B829" t="s">
        <v>570</v>
      </c>
      <c r="C829">
        <v>13700000</v>
      </c>
      <c r="D829">
        <v>5457203710</v>
      </c>
      <c r="E829" t="s">
        <v>1044</v>
      </c>
      <c r="F829" t="s">
        <v>570</v>
      </c>
      <c r="G829">
        <v>863</v>
      </c>
      <c r="H829" t="s">
        <v>1176</v>
      </c>
      <c r="I829" t="s">
        <v>1177</v>
      </c>
      <c r="J829" t="s">
        <v>1044</v>
      </c>
      <c r="K829">
        <v>1205</v>
      </c>
      <c r="L829">
        <v>3</v>
      </c>
      <c r="M829">
        <v>36</v>
      </c>
      <c r="N829">
        <v>35124000</v>
      </c>
      <c r="O829">
        <v>8800</v>
      </c>
      <c r="P829">
        <v>140500</v>
      </c>
      <c r="Q829">
        <v>105400</v>
      </c>
      <c r="R829">
        <v>1700000</v>
      </c>
      <c r="S829" t="s">
        <v>987</v>
      </c>
      <c r="T829">
        <v>2014</v>
      </c>
      <c r="U829" t="s">
        <v>989</v>
      </c>
      <c r="V829">
        <v>26</v>
      </c>
      <c r="W829">
        <v>28.5</v>
      </c>
      <c r="X829">
        <v>96462106</v>
      </c>
      <c r="Y829">
        <v>2.0099999999999998</v>
      </c>
      <c r="Z829">
        <v>35332140</v>
      </c>
      <c r="AA829">
        <v>14.058324000000001</v>
      </c>
      <c r="AB829">
        <v>108.277199</v>
      </c>
    </row>
    <row r="830" spans="1:28" x14ac:dyDescent="0.3">
      <c r="A830">
        <v>829</v>
      </c>
      <c r="B830" t="s">
        <v>435</v>
      </c>
      <c r="C830">
        <v>13700000</v>
      </c>
      <c r="D830">
        <v>8134379376</v>
      </c>
      <c r="E830" t="s">
        <v>977</v>
      </c>
      <c r="F830" t="s">
        <v>435</v>
      </c>
      <c r="G830">
        <v>438</v>
      </c>
      <c r="H830" t="s">
        <v>1019</v>
      </c>
      <c r="I830" t="s">
        <v>1020</v>
      </c>
      <c r="J830" t="s">
        <v>977</v>
      </c>
      <c r="K830">
        <v>631</v>
      </c>
      <c r="L830">
        <v>47</v>
      </c>
      <c r="M830">
        <v>139</v>
      </c>
      <c r="N830">
        <v>64059000</v>
      </c>
      <c r="O830">
        <v>16000</v>
      </c>
      <c r="P830">
        <v>256200</v>
      </c>
      <c r="Q830">
        <v>192200</v>
      </c>
      <c r="R830">
        <v>3100000</v>
      </c>
      <c r="S830" t="s">
        <v>987</v>
      </c>
      <c r="T830">
        <v>2009</v>
      </c>
      <c r="U830" t="s">
        <v>1008</v>
      </c>
      <c r="V830">
        <v>21</v>
      </c>
      <c r="W830">
        <v>51.3</v>
      </c>
      <c r="X830">
        <v>212559417</v>
      </c>
      <c r="Y830">
        <v>12.08</v>
      </c>
      <c r="Z830">
        <v>183241641</v>
      </c>
      <c r="AA830">
        <v>-14.235004</v>
      </c>
      <c r="AB830">
        <v>-51.925280000000001</v>
      </c>
    </row>
    <row r="831" spans="1:28" x14ac:dyDescent="0.3">
      <c r="A831">
        <v>830</v>
      </c>
      <c r="B831" t="s">
        <v>646</v>
      </c>
      <c r="C831">
        <v>13700000</v>
      </c>
      <c r="D831">
        <v>5178142148</v>
      </c>
      <c r="E831" t="s">
        <v>990</v>
      </c>
      <c r="F831" t="s">
        <v>646</v>
      </c>
      <c r="G831">
        <v>495</v>
      </c>
      <c r="H831" t="s">
        <v>978</v>
      </c>
      <c r="I831" t="s">
        <v>979</v>
      </c>
      <c r="J831" t="s">
        <v>990</v>
      </c>
      <c r="K831">
        <v>1289</v>
      </c>
      <c r="L831">
        <v>113</v>
      </c>
      <c r="M831">
        <v>39</v>
      </c>
      <c r="N831">
        <v>23893000</v>
      </c>
      <c r="O831">
        <v>6000</v>
      </c>
      <c r="P831">
        <v>95600</v>
      </c>
      <c r="Q831">
        <v>71700</v>
      </c>
      <c r="R831">
        <v>1100000</v>
      </c>
      <c r="S831">
        <v>100000</v>
      </c>
      <c r="T831">
        <v>2011</v>
      </c>
      <c r="U831" t="s">
        <v>1025</v>
      </c>
      <c r="V831">
        <v>20</v>
      </c>
      <c r="W831">
        <v>28.1</v>
      </c>
      <c r="X831">
        <v>1366417754</v>
      </c>
      <c r="Y831">
        <v>5.36</v>
      </c>
      <c r="Z831">
        <v>471031528</v>
      </c>
      <c r="AA831">
        <v>20.593684</v>
      </c>
      <c r="AB831">
        <v>78.962879999999998</v>
      </c>
    </row>
    <row r="832" spans="1:28" x14ac:dyDescent="0.3">
      <c r="A832">
        <v>831</v>
      </c>
      <c r="B832" t="s">
        <v>854</v>
      </c>
      <c r="C832">
        <v>13700000</v>
      </c>
      <c r="D832">
        <v>2135195239</v>
      </c>
      <c r="E832" t="s">
        <v>996</v>
      </c>
      <c r="F832" t="s">
        <v>1264</v>
      </c>
      <c r="G832">
        <v>1</v>
      </c>
      <c r="H832" t="s">
        <v>987</v>
      </c>
      <c r="I832" t="s">
        <v>987</v>
      </c>
      <c r="J832" t="s">
        <v>1089</v>
      </c>
      <c r="K832">
        <v>4057849</v>
      </c>
      <c r="L832" t="s">
        <v>987</v>
      </c>
      <c r="M832">
        <v>4183</v>
      </c>
      <c r="N832">
        <v>5</v>
      </c>
      <c r="O832">
        <v>0</v>
      </c>
      <c r="P832">
        <v>0.02</v>
      </c>
      <c r="Q832">
        <v>0.02</v>
      </c>
      <c r="R832">
        <v>0.24</v>
      </c>
      <c r="S832" t="s">
        <v>987</v>
      </c>
      <c r="T832">
        <v>2020</v>
      </c>
      <c r="U832" t="s">
        <v>999</v>
      </c>
      <c r="V832">
        <v>14</v>
      </c>
      <c r="W832" t="s">
        <v>987</v>
      </c>
      <c r="X832" t="s">
        <v>987</v>
      </c>
      <c r="Y832" t="s">
        <v>987</v>
      </c>
      <c r="Z832" t="s">
        <v>987</v>
      </c>
      <c r="AA832" t="s">
        <v>987</v>
      </c>
      <c r="AB832" t="s">
        <v>987</v>
      </c>
    </row>
    <row r="833" spans="1:28" x14ac:dyDescent="0.3">
      <c r="A833">
        <v>832</v>
      </c>
      <c r="B833" t="s">
        <v>505</v>
      </c>
      <c r="C833">
        <v>13600000</v>
      </c>
      <c r="D833">
        <v>2122062016</v>
      </c>
      <c r="E833" t="s">
        <v>996</v>
      </c>
      <c r="F833" t="s">
        <v>505</v>
      </c>
      <c r="G833">
        <v>368</v>
      </c>
      <c r="H833" t="s">
        <v>1065</v>
      </c>
      <c r="I833" t="s">
        <v>1066</v>
      </c>
      <c r="J833" t="s">
        <v>986</v>
      </c>
      <c r="K833">
        <v>4572</v>
      </c>
      <c r="L833">
        <v>16</v>
      </c>
      <c r="M833">
        <v>60</v>
      </c>
      <c r="N833">
        <v>47436000</v>
      </c>
      <c r="O833">
        <v>11900</v>
      </c>
      <c r="P833">
        <v>189700</v>
      </c>
      <c r="Q833">
        <v>142300</v>
      </c>
      <c r="R833">
        <v>2300000</v>
      </c>
      <c r="S833">
        <v>200000</v>
      </c>
      <c r="T833">
        <v>2014</v>
      </c>
      <c r="U833" t="s">
        <v>1003</v>
      </c>
      <c r="V833">
        <v>2</v>
      </c>
      <c r="W833">
        <v>88.9</v>
      </c>
      <c r="X833">
        <v>47076781</v>
      </c>
      <c r="Y833">
        <v>13.96</v>
      </c>
      <c r="Z833">
        <v>37927409</v>
      </c>
      <c r="AA833">
        <v>40.463667000000001</v>
      </c>
      <c r="AB833">
        <v>-3.7492200000000002</v>
      </c>
    </row>
    <row r="834" spans="1:28" x14ac:dyDescent="0.3">
      <c r="A834">
        <v>833</v>
      </c>
      <c r="B834" t="s">
        <v>711</v>
      </c>
      <c r="C834">
        <v>13600000</v>
      </c>
      <c r="D834">
        <v>896891351</v>
      </c>
      <c r="E834" t="s">
        <v>987</v>
      </c>
      <c r="F834" t="s">
        <v>711</v>
      </c>
      <c r="G834">
        <v>273</v>
      </c>
      <c r="H834" t="s">
        <v>1045</v>
      </c>
      <c r="I834" t="s">
        <v>1046</v>
      </c>
      <c r="J834" t="s">
        <v>1002</v>
      </c>
      <c r="K834">
        <v>13437</v>
      </c>
      <c r="L834">
        <v>9</v>
      </c>
      <c r="M834">
        <v>51</v>
      </c>
      <c r="N834">
        <v>12088000</v>
      </c>
      <c r="O834">
        <v>3000</v>
      </c>
      <c r="P834">
        <v>48400</v>
      </c>
      <c r="Q834">
        <v>36300</v>
      </c>
      <c r="R834">
        <v>580200</v>
      </c>
      <c r="S834">
        <v>100000</v>
      </c>
      <c r="T834">
        <v>2017</v>
      </c>
      <c r="U834" t="s">
        <v>1025</v>
      </c>
      <c r="V834">
        <v>19</v>
      </c>
      <c r="W834">
        <v>35.5</v>
      </c>
      <c r="X834">
        <v>108116615</v>
      </c>
      <c r="Y834">
        <v>2.15</v>
      </c>
      <c r="Z834">
        <v>50975903</v>
      </c>
      <c r="AA834">
        <v>12.879721</v>
      </c>
      <c r="AB834">
        <v>121.774017</v>
      </c>
    </row>
    <row r="835" spans="1:28" x14ac:dyDescent="0.3">
      <c r="A835">
        <v>834</v>
      </c>
      <c r="B835" t="s">
        <v>590</v>
      </c>
      <c r="C835">
        <v>13600000</v>
      </c>
      <c r="D835">
        <v>1948925559</v>
      </c>
      <c r="E835" t="s">
        <v>1004</v>
      </c>
      <c r="F835" t="s">
        <v>590</v>
      </c>
      <c r="G835">
        <v>412</v>
      </c>
      <c r="H835" t="s">
        <v>984</v>
      </c>
      <c r="I835" t="s">
        <v>985</v>
      </c>
      <c r="J835" t="s">
        <v>1004</v>
      </c>
      <c r="K835">
        <v>5133</v>
      </c>
      <c r="L835">
        <v>164</v>
      </c>
      <c r="M835">
        <v>11</v>
      </c>
      <c r="N835">
        <v>30677000</v>
      </c>
      <c r="O835">
        <v>7700</v>
      </c>
      <c r="P835">
        <v>122700</v>
      </c>
      <c r="Q835">
        <v>92000</v>
      </c>
      <c r="R835">
        <v>1500000</v>
      </c>
      <c r="S835">
        <v>100000</v>
      </c>
      <c r="T835">
        <v>2011</v>
      </c>
      <c r="U835" t="s">
        <v>989</v>
      </c>
      <c r="V835">
        <v>1</v>
      </c>
      <c r="W835">
        <v>88.2</v>
      </c>
      <c r="X835">
        <v>328239523</v>
      </c>
      <c r="Y835">
        <v>14.7</v>
      </c>
      <c r="Z835">
        <v>270663028</v>
      </c>
      <c r="AA835">
        <v>37.090240000000001</v>
      </c>
      <c r="AB835">
        <v>-95.712890999999999</v>
      </c>
    </row>
    <row r="836" spans="1:28" x14ac:dyDescent="0.3">
      <c r="A836">
        <v>835</v>
      </c>
      <c r="B836" t="s">
        <v>691</v>
      </c>
      <c r="C836">
        <v>13600000</v>
      </c>
      <c r="D836">
        <v>3764608356</v>
      </c>
      <c r="E836" t="s">
        <v>977</v>
      </c>
      <c r="F836" t="s">
        <v>691</v>
      </c>
      <c r="G836">
        <v>199</v>
      </c>
      <c r="H836" t="s">
        <v>984</v>
      </c>
      <c r="I836" t="s">
        <v>985</v>
      </c>
      <c r="J836" t="s">
        <v>977</v>
      </c>
      <c r="K836">
        <v>2084</v>
      </c>
      <c r="L836">
        <v>163</v>
      </c>
      <c r="M836">
        <v>139</v>
      </c>
      <c r="N836">
        <v>15277000</v>
      </c>
      <c r="O836">
        <v>3800</v>
      </c>
      <c r="P836">
        <v>61100</v>
      </c>
      <c r="Q836">
        <v>45800</v>
      </c>
      <c r="R836">
        <v>733300</v>
      </c>
      <c r="S836">
        <v>100000</v>
      </c>
      <c r="T836">
        <v>2007</v>
      </c>
      <c r="U836" t="s">
        <v>995</v>
      </c>
      <c r="V836">
        <v>20</v>
      </c>
      <c r="W836">
        <v>88.2</v>
      </c>
      <c r="X836">
        <v>328239523</v>
      </c>
      <c r="Y836">
        <v>14.7</v>
      </c>
      <c r="Z836">
        <v>270663028</v>
      </c>
      <c r="AA836">
        <v>37.090240000000001</v>
      </c>
      <c r="AB836">
        <v>-95.712890999999999</v>
      </c>
    </row>
    <row r="837" spans="1:28" x14ac:dyDescent="0.3">
      <c r="A837">
        <v>836</v>
      </c>
      <c r="B837" t="s">
        <v>725</v>
      </c>
      <c r="C837">
        <v>13600000</v>
      </c>
      <c r="D837">
        <v>5141201173</v>
      </c>
      <c r="E837" t="s">
        <v>990</v>
      </c>
      <c r="F837" t="s">
        <v>725</v>
      </c>
      <c r="G837">
        <v>1097</v>
      </c>
      <c r="H837" t="s">
        <v>978</v>
      </c>
      <c r="I837" t="s">
        <v>979</v>
      </c>
      <c r="J837" t="s">
        <v>1022</v>
      </c>
      <c r="K837">
        <v>1303</v>
      </c>
      <c r="L837">
        <v>114</v>
      </c>
      <c r="M837">
        <v>42</v>
      </c>
      <c r="N837">
        <v>10764000</v>
      </c>
      <c r="O837">
        <v>2700</v>
      </c>
      <c r="P837">
        <v>43100</v>
      </c>
      <c r="Q837">
        <v>32300</v>
      </c>
      <c r="R837">
        <v>516700</v>
      </c>
      <c r="S837">
        <v>100000</v>
      </c>
      <c r="T837">
        <v>2016</v>
      </c>
      <c r="U837" t="s">
        <v>1005</v>
      </c>
      <c r="V837">
        <v>25</v>
      </c>
      <c r="W837">
        <v>28.1</v>
      </c>
      <c r="X837">
        <v>1366417754</v>
      </c>
      <c r="Y837">
        <v>5.36</v>
      </c>
      <c r="Z837">
        <v>471031528</v>
      </c>
      <c r="AA837">
        <v>20.593684</v>
      </c>
      <c r="AB837">
        <v>78.962879999999998</v>
      </c>
    </row>
    <row r="838" spans="1:28" x14ac:dyDescent="0.3">
      <c r="A838">
        <v>837</v>
      </c>
      <c r="B838" t="s">
        <v>533</v>
      </c>
      <c r="C838">
        <v>13600000</v>
      </c>
      <c r="D838">
        <v>9685060624</v>
      </c>
      <c r="E838" t="s">
        <v>1128</v>
      </c>
      <c r="F838" t="s">
        <v>533</v>
      </c>
      <c r="G838">
        <v>16047</v>
      </c>
      <c r="H838" t="s">
        <v>1013</v>
      </c>
      <c r="I838" t="s">
        <v>1014</v>
      </c>
      <c r="J838" t="s">
        <v>988</v>
      </c>
      <c r="K838">
        <v>474</v>
      </c>
      <c r="L838">
        <v>29</v>
      </c>
      <c r="M838">
        <v>160</v>
      </c>
      <c r="N838">
        <v>44414000</v>
      </c>
      <c r="O838">
        <v>11100</v>
      </c>
      <c r="P838">
        <v>177700</v>
      </c>
      <c r="Q838">
        <v>133200</v>
      </c>
      <c r="R838">
        <v>2100000</v>
      </c>
      <c r="S838">
        <v>100000</v>
      </c>
      <c r="T838">
        <v>2005</v>
      </c>
      <c r="U838" t="s">
        <v>1029</v>
      </c>
      <c r="V838">
        <v>12</v>
      </c>
      <c r="W838">
        <v>60</v>
      </c>
      <c r="X838">
        <v>66834405</v>
      </c>
      <c r="Y838">
        <v>3.85</v>
      </c>
      <c r="Z838">
        <v>55908316</v>
      </c>
      <c r="AA838">
        <v>55.378050999999999</v>
      </c>
      <c r="AB838">
        <v>-3.4359730000000002</v>
      </c>
    </row>
    <row r="839" spans="1:28" x14ac:dyDescent="0.3">
      <c r="A839">
        <v>838</v>
      </c>
      <c r="B839" t="s">
        <v>463</v>
      </c>
      <c r="C839">
        <v>13600000</v>
      </c>
      <c r="D839">
        <v>14717282742</v>
      </c>
      <c r="E839" t="s">
        <v>988</v>
      </c>
      <c r="F839" t="s">
        <v>463</v>
      </c>
      <c r="G839">
        <v>8335</v>
      </c>
      <c r="H839" t="s">
        <v>984</v>
      </c>
      <c r="I839" t="s">
        <v>985</v>
      </c>
      <c r="J839" t="s">
        <v>1044</v>
      </c>
      <c r="K839">
        <v>232</v>
      </c>
      <c r="L839">
        <v>164</v>
      </c>
      <c r="M839">
        <v>37</v>
      </c>
      <c r="N839">
        <v>56626000</v>
      </c>
      <c r="O839">
        <v>14200</v>
      </c>
      <c r="P839">
        <v>226500</v>
      </c>
      <c r="Q839">
        <v>169900</v>
      </c>
      <c r="R839">
        <v>2700000</v>
      </c>
      <c r="S839" t="s">
        <v>987</v>
      </c>
      <c r="T839">
        <v>2013</v>
      </c>
      <c r="U839" t="s">
        <v>1015</v>
      </c>
      <c r="V839">
        <v>23</v>
      </c>
      <c r="W839">
        <v>88.2</v>
      </c>
      <c r="X839">
        <v>328239523</v>
      </c>
      <c r="Y839">
        <v>14.7</v>
      </c>
      <c r="Z839">
        <v>270663028</v>
      </c>
      <c r="AA839">
        <v>37.090240000000001</v>
      </c>
      <c r="AB839">
        <v>-95.712890999999999</v>
      </c>
    </row>
    <row r="840" spans="1:28" x14ac:dyDescent="0.3">
      <c r="A840">
        <v>839</v>
      </c>
      <c r="B840" t="s">
        <v>704</v>
      </c>
      <c r="C840">
        <v>13500000</v>
      </c>
      <c r="D840">
        <v>1181292450</v>
      </c>
      <c r="E840" t="s">
        <v>996</v>
      </c>
      <c r="F840" t="s">
        <v>704</v>
      </c>
      <c r="G840">
        <v>319</v>
      </c>
      <c r="H840" t="s">
        <v>1081</v>
      </c>
      <c r="I840" t="s">
        <v>1082</v>
      </c>
      <c r="J840" t="s">
        <v>986</v>
      </c>
      <c r="K840">
        <v>9540</v>
      </c>
      <c r="L840">
        <v>29</v>
      </c>
      <c r="M840">
        <v>61</v>
      </c>
      <c r="N840">
        <v>13436000</v>
      </c>
      <c r="O840">
        <v>3400</v>
      </c>
      <c r="P840">
        <v>53700</v>
      </c>
      <c r="Q840">
        <v>40300</v>
      </c>
      <c r="R840">
        <v>644900</v>
      </c>
      <c r="S840" t="s">
        <v>987</v>
      </c>
      <c r="T840">
        <v>2019</v>
      </c>
      <c r="U840" t="s">
        <v>1015</v>
      </c>
      <c r="V840">
        <v>19</v>
      </c>
      <c r="W840">
        <v>36.299999999999997</v>
      </c>
      <c r="X840">
        <v>270203917</v>
      </c>
      <c r="Y840">
        <v>4.6900000000000004</v>
      </c>
      <c r="Z840">
        <v>151509724</v>
      </c>
      <c r="AA840">
        <v>-0.78927499999999995</v>
      </c>
      <c r="AB840">
        <v>113.92132700000001</v>
      </c>
    </row>
    <row r="841" spans="1:28" x14ac:dyDescent="0.3">
      <c r="A841">
        <v>840</v>
      </c>
      <c r="B841" t="s">
        <v>576</v>
      </c>
      <c r="C841">
        <v>13500000</v>
      </c>
      <c r="D841">
        <v>4301581610</v>
      </c>
      <c r="E841" t="s">
        <v>996</v>
      </c>
      <c r="F841" t="s">
        <v>576</v>
      </c>
      <c r="G841">
        <v>4312</v>
      </c>
      <c r="H841" t="s">
        <v>1017</v>
      </c>
      <c r="I841" t="s">
        <v>1018</v>
      </c>
      <c r="J841" t="s">
        <v>986</v>
      </c>
      <c r="K841">
        <v>1716</v>
      </c>
      <c r="L841">
        <v>11</v>
      </c>
      <c r="M841">
        <v>61</v>
      </c>
      <c r="N841">
        <v>32557000</v>
      </c>
      <c r="O841">
        <v>8100</v>
      </c>
      <c r="P841">
        <v>130200</v>
      </c>
      <c r="Q841">
        <v>97700</v>
      </c>
      <c r="R841">
        <v>1600000</v>
      </c>
      <c r="S841" t="s">
        <v>987</v>
      </c>
      <c r="T841">
        <v>2008</v>
      </c>
      <c r="U841" t="s">
        <v>1010</v>
      </c>
      <c r="V841">
        <v>24</v>
      </c>
      <c r="W841">
        <v>68.900000000000006</v>
      </c>
      <c r="X841">
        <v>36991981</v>
      </c>
      <c r="Y841">
        <v>5.56</v>
      </c>
      <c r="Z841">
        <v>30628482</v>
      </c>
      <c r="AA841">
        <v>56.130366000000002</v>
      </c>
      <c r="AB841">
        <v>-106.346771</v>
      </c>
    </row>
    <row r="842" spans="1:28" x14ac:dyDescent="0.3">
      <c r="A842">
        <v>841</v>
      </c>
      <c r="B842" t="s">
        <v>604</v>
      </c>
      <c r="C842">
        <v>13500000</v>
      </c>
      <c r="D842">
        <v>3445794123</v>
      </c>
      <c r="E842" t="s">
        <v>1011</v>
      </c>
      <c r="F842" t="s">
        <v>604</v>
      </c>
      <c r="G842">
        <v>591</v>
      </c>
      <c r="H842" t="s">
        <v>978</v>
      </c>
      <c r="I842" t="s">
        <v>979</v>
      </c>
      <c r="J842" t="s">
        <v>1053</v>
      </c>
      <c r="K842">
        <v>2364</v>
      </c>
      <c r="L842">
        <v>115</v>
      </c>
      <c r="M842">
        <v>30</v>
      </c>
      <c r="N842">
        <v>29706000</v>
      </c>
      <c r="O842">
        <v>7400</v>
      </c>
      <c r="P842">
        <v>118800</v>
      </c>
      <c r="Q842">
        <v>89100</v>
      </c>
      <c r="R842">
        <v>1400000</v>
      </c>
      <c r="S842" t="s">
        <v>987</v>
      </c>
      <c r="T842">
        <v>2012</v>
      </c>
      <c r="U842" t="s">
        <v>980</v>
      </c>
      <c r="V842">
        <v>10</v>
      </c>
      <c r="W842">
        <v>28.1</v>
      </c>
      <c r="X842">
        <v>1366417754</v>
      </c>
      <c r="Y842">
        <v>5.36</v>
      </c>
      <c r="Z842">
        <v>471031528</v>
      </c>
      <c r="AA842">
        <v>20.593684</v>
      </c>
      <c r="AB842">
        <v>78.962879999999998</v>
      </c>
    </row>
    <row r="843" spans="1:28" x14ac:dyDescent="0.3">
      <c r="A843">
        <v>842</v>
      </c>
      <c r="B843" t="s">
        <v>816</v>
      </c>
      <c r="C843">
        <v>13500000</v>
      </c>
      <c r="D843">
        <v>5380132790</v>
      </c>
      <c r="E843" t="s">
        <v>988</v>
      </c>
      <c r="F843" t="s">
        <v>1265</v>
      </c>
      <c r="G843">
        <v>19</v>
      </c>
      <c r="H843" t="s">
        <v>1013</v>
      </c>
      <c r="I843" t="s">
        <v>1014</v>
      </c>
      <c r="J843" t="s">
        <v>977</v>
      </c>
      <c r="K843">
        <v>3767960</v>
      </c>
      <c r="L843">
        <v>2492</v>
      </c>
      <c r="M843">
        <v>3189</v>
      </c>
      <c r="N843">
        <v>1615</v>
      </c>
      <c r="O843">
        <v>0.4</v>
      </c>
      <c r="P843">
        <v>6</v>
      </c>
      <c r="Q843">
        <v>5</v>
      </c>
      <c r="R843">
        <v>78</v>
      </c>
      <c r="S843">
        <v>130</v>
      </c>
      <c r="T843">
        <v>2015</v>
      </c>
      <c r="U843" t="s">
        <v>980</v>
      </c>
      <c r="V843">
        <v>24</v>
      </c>
      <c r="W843">
        <v>60</v>
      </c>
      <c r="X843">
        <v>66834405</v>
      </c>
      <c r="Y843">
        <v>3.85</v>
      </c>
      <c r="Z843">
        <v>55908316</v>
      </c>
      <c r="AA843">
        <v>55.378050999999999</v>
      </c>
      <c r="AB843">
        <v>-3.4359730000000002</v>
      </c>
    </row>
    <row r="844" spans="1:28" x14ac:dyDescent="0.3">
      <c r="A844">
        <v>843</v>
      </c>
      <c r="B844" t="s">
        <v>569</v>
      </c>
      <c r="C844">
        <v>13500000</v>
      </c>
      <c r="D844">
        <v>5545936485</v>
      </c>
      <c r="E844" t="s">
        <v>977</v>
      </c>
      <c r="F844" t="s">
        <v>569</v>
      </c>
      <c r="G844">
        <v>814</v>
      </c>
      <c r="H844" t="s">
        <v>1013</v>
      </c>
      <c r="I844" t="s">
        <v>1014</v>
      </c>
      <c r="J844" t="s">
        <v>977</v>
      </c>
      <c r="K844">
        <v>1183</v>
      </c>
      <c r="L844">
        <v>30</v>
      </c>
      <c r="M844">
        <v>140</v>
      </c>
      <c r="N844">
        <v>35309000</v>
      </c>
      <c r="O844">
        <v>8800</v>
      </c>
      <c r="P844">
        <v>141200</v>
      </c>
      <c r="Q844">
        <v>105900</v>
      </c>
      <c r="R844">
        <v>1700000</v>
      </c>
      <c r="S844">
        <v>100000</v>
      </c>
      <c r="T844">
        <v>2006</v>
      </c>
      <c r="U844" t="s">
        <v>1005</v>
      </c>
      <c r="V844">
        <v>25</v>
      </c>
      <c r="W844">
        <v>60</v>
      </c>
      <c r="X844">
        <v>66834405</v>
      </c>
      <c r="Y844">
        <v>3.85</v>
      </c>
      <c r="Z844">
        <v>55908316</v>
      </c>
      <c r="AA844">
        <v>55.378050999999999</v>
      </c>
      <c r="AB844">
        <v>-3.4359730000000002</v>
      </c>
    </row>
    <row r="845" spans="1:28" x14ac:dyDescent="0.3">
      <c r="A845">
        <v>844</v>
      </c>
      <c r="B845" t="s">
        <v>415</v>
      </c>
      <c r="C845">
        <v>13500000</v>
      </c>
      <c r="D845">
        <v>8265920659</v>
      </c>
      <c r="E845" t="s">
        <v>988</v>
      </c>
      <c r="F845" t="s">
        <v>415</v>
      </c>
      <c r="G845">
        <v>1403</v>
      </c>
      <c r="H845" t="s">
        <v>1152</v>
      </c>
      <c r="I845" t="s">
        <v>1153</v>
      </c>
      <c r="J845" t="s">
        <v>1002</v>
      </c>
      <c r="K845">
        <v>620</v>
      </c>
      <c r="L845">
        <v>4</v>
      </c>
      <c r="M845">
        <v>52</v>
      </c>
      <c r="N845">
        <v>75162000</v>
      </c>
      <c r="O845">
        <v>18800</v>
      </c>
      <c r="P845">
        <v>300600</v>
      </c>
      <c r="Q845">
        <v>225500</v>
      </c>
      <c r="R845">
        <v>3600000</v>
      </c>
      <c r="S845">
        <v>100000</v>
      </c>
      <c r="T845">
        <v>2016</v>
      </c>
      <c r="U845" t="s">
        <v>980</v>
      </c>
      <c r="V845">
        <v>21</v>
      </c>
      <c r="W845">
        <v>82.7</v>
      </c>
      <c r="X845">
        <v>44385155</v>
      </c>
      <c r="Y845">
        <v>8.8800000000000008</v>
      </c>
      <c r="Z845">
        <v>30835699</v>
      </c>
      <c r="AA845">
        <v>48.379432999999999</v>
      </c>
      <c r="AB845">
        <v>31.165579999999999</v>
      </c>
    </row>
    <row r="846" spans="1:28" x14ac:dyDescent="0.3">
      <c r="A846">
        <v>845</v>
      </c>
      <c r="B846" t="s">
        <v>208</v>
      </c>
      <c r="C846">
        <v>13500000</v>
      </c>
      <c r="D846">
        <v>3912334359</v>
      </c>
      <c r="E846" t="s">
        <v>988</v>
      </c>
      <c r="F846" t="s">
        <v>208</v>
      </c>
      <c r="G846">
        <v>1793</v>
      </c>
      <c r="H846" t="s">
        <v>978</v>
      </c>
      <c r="I846" t="s">
        <v>979</v>
      </c>
      <c r="J846" t="s">
        <v>986</v>
      </c>
      <c r="K846">
        <v>1954</v>
      </c>
      <c r="L846">
        <v>114</v>
      </c>
      <c r="M846">
        <v>60</v>
      </c>
      <c r="N846">
        <v>179232000</v>
      </c>
      <c r="O846">
        <v>44800</v>
      </c>
      <c r="P846">
        <v>716900</v>
      </c>
      <c r="Q846">
        <v>537700</v>
      </c>
      <c r="R846">
        <v>8600000</v>
      </c>
      <c r="S846">
        <v>400000</v>
      </c>
      <c r="T846">
        <v>2015</v>
      </c>
      <c r="U846" t="s">
        <v>999</v>
      </c>
      <c r="V846">
        <v>29</v>
      </c>
      <c r="W846">
        <v>28.1</v>
      </c>
      <c r="X846">
        <v>1366417754</v>
      </c>
      <c r="Y846">
        <v>5.36</v>
      </c>
      <c r="Z846">
        <v>471031528</v>
      </c>
      <c r="AA846">
        <v>20.593684</v>
      </c>
      <c r="AB846">
        <v>78.962879999999998</v>
      </c>
    </row>
    <row r="847" spans="1:28" x14ac:dyDescent="0.3">
      <c r="A847">
        <v>846</v>
      </c>
      <c r="B847" t="s">
        <v>61</v>
      </c>
      <c r="C847">
        <v>13500000</v>
      </c>
      <c r="D847">
        <v>11717217293</v>
      </c>
      <c r="E847" t="s">
        <v>1044</v>
      </c>
      <c r="F847" t="s">
        <v>61</v>
      </c>
      <c r="G847">
        <v>975</v>
      </c>
      <c r="H847" t="s">
        <v>1013</v>
      </c>
      <c r="I847" t="s">
        <v>1014</v>
      </c>
      <c r="J847" t="s">
        <v>988</v>
      </c>
      <c r="K847">
        <v>333</v>
      </c>
      <c r="L847">
        <v>29</v>
      </c>
      <c r="M847">
        <v>160</v>
      </c>
      <c r="N847">
        <v>495561000</v>
      </c>
      <c r="O847">
        <v>123900</v>
      </c>
      <c r="P847">
        <v>2000000</v>
      </c>
      <c r="Q847">
        <v>1500000</v>
      </c>
      <c r="R847">
        <v>23800000</v>
      </c>
      <c r="S847">
        <v>400000</v>
      </c>
      <c r="T847">
        <v>2013</v>
      </c>
      <c r="U847" t="s">
        <v>980</v>
      </c>
      <c r="V847">
        <v>30</v>
      </c>
      <c r="W847">
        <v>60</v>
      </c>
      <c r="X847">
        <v>66834405</v>
      </c>
      <c r="Y847">
        <v>3.85</v>
      </c>
      <c r="Z847">
        <v>55908316</v>
      </c>
      <c r="AA847">
        <v>55.378050999999999</v>
      </c>
      <c r="AB847">
        <v>-3.4359730000000002</v>
      </c>
    </row>
    <row r="848" spans="1:28" x14ac:dyDescent="0.3">
      <c r="A848">
        <v>847</v>
      </c>
      <c r="B848" t="s">
        <v>316</v>
      </c>
      <c r="C848">
        <v>13500000</v>
      </c>
      <c r="D848">
        <v>7958771872</v>
      </c>
      <c r="E848" t="s">
        <v>988</v>
      </c>
      <c r="F848" t="s">
        <v>316</v>
      </c>
      <c r="G848">
        <v>1357</v>
      </c>
      <c r="H848" t="s">
        <v>978</v>
      </c>
      <c r="I848" t="s">
        <v>979</v>
      </c>
      <c r="J848" t="s">
        <v>988</v>
      </c>
      <c r="K848">
        <v>663</v>
      </c>
      <c r="L848">
        <v>116</v>
      </c>
      <c r="M848">
        <v>162</v>
      </c>
      <c r="N848">
        <v>109813000</v>
      </c>
      <c r="O848">
        <v>27500</v>
      </c>
      <c r="P848">
        <v>439300</v>
      </c>
      <c r="Q848">
        <v>329400</v>
      </c>
      <c r="R848">
        <v>5300000</v>
      </c>
      <c r="S848">
        <v>300000</v>
      </c>
      <c r="T848">
        <v>2019</v>
      </c>
      <c r="U848" t="s">
        <v>980</v>
      </c>
      <c r="V848">
        <v>22</v>
      </c>
      <c r="W848">
        <v>28.1</v>
      </c>
      <c r="X848">
        <v>1366417754</v>
      </c>
      <c r="Y848">
        <v>5.36</v>
      </c>
      <c r="Z848">
        <v>471031528</v>
      </c>
      <c r="AA848">
        <v>20.593684</v>
      </c>
      <c r="AB848">
        <v>78.962879999999998</v>
      </c>
    </row>
    <row r="849" spans="1:28" x14ac:dyDescent="0.3">
      <c r="A849">
        <v>848</v>
      </c>
      <c r="B849" t="s">
        <v>724</v>
      </c>
      <c r="C849">
        <v>13500000</v>
      </c>
      <c r="D849">
        <v>2750993392</v>
      </c>
      <c r="E849" t="s">
        <v>977</v>
      </c>
      <c r="F849" t="s">
        <v>724</v>
      </c>
      <c r="G849">
        <v>321</v>
      </c>
      <c r="H849" t="s">
        <v>984</v>
      </c>
      <c r="I849" t="s">
        <v>985</v>
      </c>
      <c r="J849" t="s">
        <v>977</v>
      </c>
      <c r="K849">
        <v>3257</v>
      </c>
      <c r="L849">
        <v>165</v>
      </c>
      <c r="M849">
        <v>140</v>
      </c>
      <c r="N849">
        <v>10787000</v>
      </c>
      <c r="O849">
        <v>2700</v>
      </c>
      <c r="P849">
        <v>43100</v>
      </c>
      <c r="Q849">
        <v>32400</v>
      </c>
      <c r="R849">
        <v>517800</v>
      </c>
      <c r="S849" t="s">
        <v>987</v>
      </c>
      <c r="T849">
        <v>2006</v>
      </c>
      <c r="U849" t="s">
        <v>995</v>
      </c>
      <c r="V849">
        <v>19</v>
      </c>
      <c r="W849">
        <v>88.2</v>
      </c>
      <c r="X849">
        <v>328239523</v>
      </c>
      <c r="Y849">
        <v>14.7</v>
      </c>
      <c r="Z849">
        <v>270663028</v>
      </c>
      <c r="AA849">
        <v>37.090240000000001</v>
      </c>
      <c r="AB849">
        <v>-95.712890999999999</v>
      </c>
    </row>
    <row r="850" spans="1:28" x14ac:dyDescent="0.3">
      <c r="A850">
        <v>849</v>
      </c>
      <c r="B850" t="s">
        <v>784</v>
      </c>
      <c r="C850">
        <v>13500000</v>
      </c>
      <c r="D850">
        <v>1900272833</v>
      </c>
      <c r="E850" t="s">
        <v>1011</v>
      </c>
      <c r="F850" t="s">
        <v>784</v>
      </c>
      <c r="G850">
        <v>462</v>
      </c>
      <c r="H850" t="s">
        <v>984</v>
      </c>
      <c r="I850" t="s">
        <v>985</v>
      </c>
      <c r="J850" t="s">
        <v>1053</v>
      </c>
      <c r="K850">
        <v>5297</v>
      </c>
      <c r="L850">
        <v>165</v>
      </c>
      <c r="M850">
        <v>30</v>
      </c>
      <c r="N850">
        <v>1335000</v>
      </c>
      <c r="O850">
        <v>334</v>
      </c>
      <c r="P850">
        <v>5300</v>
      </c>
      <c r="Q850">
        <v>4000</v>
      </c>
      <c r="R850">
        <v>64100</v>
      </c>
      <c r="S850">
        <v>100000</v>
      </c>
      <c r="T850">
        <v>2010</v>
      </c>
      <c r="U850" t="s">
        <v>991</v>
      </c>
      <c r="V850">
        <v>9</v>
      </c>
      <c r="W850">
        <v>88.2</v>
      </c>
      <c r="X850">
        <v>328239523</v>
      </c>
      <c r="Y850">
        <v>14.7</v>
      </c>
      <c r="Z850">
        <v>270663028</v>
      </c>
      <c r="AA850">
        <v>37.090240000000001</v>
      </c>
      <c r="AB850">
        <v>-95.712890999999999</v>
      </c>
    </row>
    <row r="851" spans="1:28" x14ac:dyDescent="0.3">
      <c r="A851">
        <v>850</v>
      </c>
      <c r="B851" t="s">
        <v>366</v>
      </c>
      <c r="C851">
        <v>13400000</v>
      </c>
      <c r="D851">
        <v>4622628957</v>
      </c>
      <c r="E851" t="s">
        <v>987</v>
      </c>
      <c r="F851" t="s">
        <v>366</v>
      </c>
      <c r="G851">
        <v>477</v>
      </c>
      <c r="H851" t="s">
        <v>984</v>
      </c>
      <c r="I851" t="s">
        <v>985</v>
      </c>
      <c r="J851" t="s">
        <v>988</v>
      </c>
      <c r="K851">
        <v>1537</v>
      </c>
      <c r="L851">
        <v>166</v>
      </c>
      <c r="M851">
        <v>162</v>
      </c>
      <c r="N851">
        <v>92228000</v>
      </c>
      <c r="O851">
        <v>23100</v>
      </c>
      <c r="P851">
        <v>368900</v>
      </c>
      <c r="Q851">
        <v>276700</v>
      </c>
      <c r="R851">
        <v>4400000</v>
      </c>
      <c r="S851">
        <v>200000</v>
      </c>
      <c r="T851">
        <v>2018</v>
      </c>
      <c r="U851" t="s">
        <v>1029</v>
      </c>
      <c r="V851">
        <v>8</v>
      </c>
      <c r="W851">
        <v>88.2</v>
      </c>
      <c r="X851">
        <v>328239523</v>
      </c>
      <c r="Y851">
        <v>14.7</v>
      </c>
      <c r="Z851">
        <v>270663028</v>
      </c>
      <c r="AA851">
        <v>37.090240000000001</v>
      </c>
      <c r="AB851">
        <v>-95.712890999999999</v>
      </c>
    </row>
    <row r="852" spans="1:28" x14ac:dyDescent="0.3">
      <c r="A852">
        <v>851</v>
      </c>
      <c r="B852" t="s">
        <v>168</v>
      </c>
      <c r="C852">
        <v>13400000</v>
      </c>
      <c r="D852">
        <v>11789678655</v>
      </c>
      <c r="E852" t="s">
        <v>977</v>
      </c>
      <c r="F852" t="s">
        <v>168</v>
      </c>
      <c r="G852">
        <v>7356</v>
      </c>
      <c r="H852" t="s">
        <v>1051</v>
      </c>
      <c r="I852" t="s">
        <v>1052</v>
      </c>
      <c r="J852" t="s">
        <v>977</v>
      </c>
      <c r="K852">
        <v>330</v>
      </c>
      <c r="L852">
        <v>9</v>
      </c>
      <c r="M852">
        <v>140</v>
      </c>
      <c r="N852">
        <v>228902000</v>
      </c>
      <c r="O852">
        <v>57200</v>
      </c>
      <c r="P852">
        <v>915600</v>
      </c>
      <c r="Q852">
        <v>686700</v>
      </c>
      <c r="R852">
        <v>11000000</v>
      </c>
      <c r="S852">
        <v>100000</v>
      </c>
      <c r="T852">
        <v>2007</v>
      </c>
      <c r="U852" t="s">
        <v>989</v>
      </c>
      <c r="V852">
        <v>8</v>
      </c>
      <c r="W852">
        <v>55.3</v>
      </c>
      <c r="X852">
        <v>50339443</v>
      </c>
      <c r="Y852">
        <v>9.7100000000000009</v>
      </c>
      <c r="Z852">
        <v>40827302</v>
      </c>
      <c r="AA852">
        <v>4.5708679999999999</v>
      </c>
      <c r="AB852">
        <v>-74.297332999999995</v>
      </c>
    </row>
    <row r="853" spans="1:28" x14ac:dyDescent="0.3">
      <c r="A853">
        <v>852</v>
      </c>
      <c r="B853" t="s">
        <v>786</v>
      </c>
      <c r="C853">
        <v>13400000</v>
      </c>
      <c r="D853">
        <v>2139769210</v>
      </c>
      <c r="E853" t="s">
        <v>994</v>
      </c>
      <c r="F853" t="s">
        <v>786</v>
      </c>
      <c r="G853">
        <v>1028</v>
      </c>
      <c r="H853" t="s">
        <v>978</v>
      </c>
      <c r="I853" t="s">
        <v>979</v>
      </c>
      <c r="J853" t="s">
        <v>1002</v>
      </c>
      <c r="K853">
        <v>4540</v>
      </c>
      <c r="L853">
        <v>116</v>
      </c>
      <c r="M853">
        <v>53</v>
      </c>
      <c r="N853">
        <v>1043000</v>
      </c>
      <c r="O853">
        <v>261</v>
      </c>
      <c r="P853">
        <v>4200</v>
      </c>
      <c r="Q853">
        <v>3100</v>
      </c>
      <c r="R853">
        <v>50100</v>
      </c>
      <c r="S853" t="s">
        <v>987</v>
      </c>
      <c r="T853">
        <v>2016</v>
      </c>
      <c r="U853" t="s">
        <v>991</v>
      </c>
      <c r="V853">
        <v>9</v>
      </c>
      <c r="W853">
        <v>28.1</v>
      </c>
      <c r="X853">
        <v>1366417754</v>
      </c>
      <c r="Y853">
        <v>5.36</v>
      </c>
      <c r="Z853">
        <v>471031528</v>
      </c>
      <c r="AA853">
        <v>20.593684</v>
      </c>
      <c r="AB853">
        <v>78.962879999999998</v>
      </c>
    </row>
    <row r="854" spans="1:28" x14ac:dyDescent="0.3">
      <c r="A854">
        <v>853</v>
      </c>
      <c r="B854" t="s">
        <v>659</v>
      </c>
      <c r="C854">
        <v>13400000</v>
      </c>
      <c r="D854">
        <v>20563378</v>
      </c>
      <c r="E854" t="s">
        <v>987</v>
      </c>
      <c r="F854" t="s">
        <v>659</v>
      </c>
      <c r="G854">
        <v>256</v>
      </c>
      <c r="H854" t="s">
        <v>978</v>
      </c>
      <c r="I854" t="s">
        <v>979</v>
      </c>
      <c r="J854" t="s">
        <v>990</v>
      </c>
      <c r="K854">
        <v>342460</v>
      </c>
      <c r="L854">
        <v>114</v>
      </c>
      <c r="M854">
        <v>40</v>
      </c>
      <c r="N854">
        <v>20264000</v>
      </c>
      <c r="O854">
        <v>5100</v>
      </c>
      <c r="P854">
        <v>81100</v>
      </c>
      <c r="Q854">
        <v>60800</v>
      </c>
      <c r="R854">
        <v>972700</v>
      </c>
      <c r="S854">
        <v>300000</v>
      </c>
      <c r="T854">
        <v>2022</v>
      </c>
      <c r="U854" t="s">
        <v>1008</v>
      </c>
      <c r="V854">
        <v>5</v>
      </c>
      <c r="W854">
        <v>28.1</v>
      </c>
      <c r="X854">
        <v>1366417754</v>
      </c>
      <c r="Y854">
        <v>5.36</v>
      </c>
      <c r="Z854">
        <v>471031528</v>
      </c>
      <c r="AA854">
        <v>20.593684</v>
      </c>
      <c r="AB854">
        <v>78.962879999999998</v>
      </c>
    </row>
    <row r="855" spans="1:28" x14ac:dyDescent="0.3">
      <c r="A855">
        <v>854</v>
      </c>
      <c r="B855" t="s">
        <v>938</v>
      </c>
      <c r="C855">
        <v>13400000</v>
      </c>
      <c r="D855">
        <v>2650061211</v>
      </c>
      <c r="E855" t="s">
        <v>988</v>
      </c>
      <c r="F855" t="s">
        <v>938</v>
      </c>
      <c r="G855">
        <v>0</v>
      </c>
      <c r="H855" t="s">
        <v>978</v>
      </c>
      <c r="I855" t="s">
        <v>979</v>
      </c>
      <c r="J855" t="s">
        <v>987</v>
      </c>
      <c r="K855">
        <v>4057944</v>
      </c>
      <c r="L855">
        <v>5589</v>
      </c>
      <c r="M855" t="s">
        <v>987</v>
      </c>
      <c r="N855" t="s">
        <v>987</v>
      </c>
      <c r="O855">
        <v>0</v>
      </c>
      <c r="P855">
        <v>0</v>
      </c>
      <c r="Q855">
        <v>0</v>
      </c>
      <c r="R855">
        <v>0</v>
      </c>
      <c r="S855" t="s">
        <v>987</v>
      </c>
      <c r="T855">
        <v>2017</v>
      </c>
      <c r="U855" t="s">
        <v>1015</v>
      </c>
      <c r="V855">
        <v>4</v>
      </c>
      <c r="W855">
        <v>28.1</v>
      </c>
      <c r="X855">
        <v>1366417754</v>
      </c>
      <c r="Y855">
        <v>5.36</v>
      </c>
      <c r="Z855">
        <v>471031528</v>
      </c>
      <c r="AA855">
        <v>20.593684</v>
      </c>
      <c r="AB855">
        <v>78.962879999999998</v>
      </c>
    </row>
    <row r="856" spans="1:28" x14ac:dyDescent="0.3">
      <c r="A856">
        <v>855</v>
      </c>
      <c r="B856" t="s">
        <v>695</v>
      </c>
      <c r="C856">
        <v>13400000</v>
      </c>
      <c r="D856">
        <v>2319515787</v>
      </c>
      <c r="E856" t="s">
        <v>1011</v>
      </c>
      <c r="F856" t="s">
        <v>695</v>
      </c>
      <c r="G856">
        <v>1349</v>
      </c>
      <c r="H856" t="s">
        <v>984</v>
      </c>
      <c r="I856" t="s">
        <v>985</v>
      </c>
      <c r="J856" t="s">
        <v>1053</v>
      </c>
      <c r="K856">
        <v>4039</v>
      </c>
      <c r="L856">
        <v>166</v>
      </c>
      <c r="M856">
        <v>31</v>
      </c>
      <c r="N856">
        <v>14498000</v>
      </c>
      <c r="O856">
        <v>3600</v>
      </c>
      <c r="P856">
        <v>58000</v>
      </c>
      <c r="Q856">
        <v>43500</v>
      </c>
      <c r="R856">
        <v>695900</v>
      </c>
      <c r="S856" t="s">
        <v>987</v>
      </c>
      <c r="T856">
        <v>2006</v>
      </c>
      <c r="U856" t="s">
        <v>1005</v>
      </c>
      <c r="V856">
        <v>16</v>
      </c>
      <c r="W856">
        <v>88.2</v>
      </c>
      <c r="X856">
        <v>328239523</v>
      </c>
      <c r="Y856">
        <v>14.7</v>
      </c>
      <c r="Z856">
        <v>270663028</v>
      </c>
      <c r="AA856">
        <v>37.090240000000001</v>
      </c>
      <c r="AB856">
        <v>-95.712890999999999</v>
      </c>
    </row>
    <row r="857" spans="1:28" x14ac:dyDescent="0.3">
      <c r="A857">
        <v>856</v>
      </c>
      <c r="B857" t="s">
        <v>539</v>
      </c>
      <c r="C857">
        <v>13400000</v>
      </c>
      <c r="D857">
        <v>3363634923</v>
      </c>
      <c r="E857" t="s">
        <v>1044</v>
      </c>
      <c r="F857" t="s">
        <v>539</v>
      </c>
      <c r="G857">
        <v>1195</v>
      </c>
      <c r="H857" t="s">
        <v>1048</v>
      </c>
      <c r="I857" t="s">
        <v>1049</v>
      </c>
      <c r="J857" t="s">
        <v>988</v>
      </c>
      <c r="K857">
        <v>2436</v>
      </c>
      <c r="L857">
        <v>15</v>
      </c>
      <c r="M857">
        <v>162</v>
      </c>
      <c r="N857">
        <v>41672000</v>
      </c>
      <c r="O857">
        <v>10400</v>
      </c>
      <c r="P857">
        <v>166700</v>
      </c>
      <c r="Q857">
        <v>125000</v>
      </c>
      <c r="R857">
        <v>2000000</v>
      </c>
      <c r="S857" t="s">
        <v>987</v>
      </c>
      <c r="T857">
        <v>2014</v>
      </c>
      <c r="U857" t="s">
        <v>1005</v>
      </c>
      <c r="V857">
        <v>8</v>
      </c>
      <c r="W857">
        <v>49.3</v>
      </c>
      <c r="X857">
        <v>69625582</v>
      </c>
      <c r="Y857">
        <v>0.75</v>
      </c>
      <c r="Z857">
        <v>35294600</v>
      </c>
      <c r="AA857">
        <v>15.870032</v>
      </c>
      <c r="AB857">
        <v>100.992541</v>
      </c>
    </row>
    <row r="858" spans="1:28" x14ac:dyDescent="0.3">
      <c r="A858">
        <v>857</v>
      </c>
      <c r="B858" t="s">
        <v>678</v>
      </c>
      <c r="C858">
        <v>13400000</v>
      </c>
      <c r="D858">
        <v>4356686216</v>
      </c>
      <c r="E858" t="s">
        <v>996</v>
      </c>
      <c r="F858" t="s">
        <v>678</v>
      </c>
      <c r="G858">
        <v>3727</v>
      </c>
      <c r="H858" t="s">
        <v>984</v>
      </c>
      <c r="I858" t="s">
        <v>985</v>
      </c>
      <c r="J858" t="s">
        <v>986</v>
      </c>
      <c r="K858">
        <v>1683</v>
      </c>
      <c r="L858">
        <v>166</v>
      </c>
      <c r="M858">
        <v>62</v>
      </c>
      <c r="N858">
        <v>16785000</v>
      </c>
      <c r="O858">
        <v>4200</v>
      </c>
      <c r="P858">
        <v>67100</v>
      </c>
      <c r="Q858">
        <v>50400</v>
      </c>
      <c r="R858">
        <v>805700</v>
      </c>
      <c r="S858" t="s">
        <v>987</v>
      </c>
      <c r="T858">
        <v>2007</v>
      </c>
      <c r="U858" t="s">
        <v>995</v>
      </c>
      <c r="V858">
        <v>24</v>
      </c>
      <c r="W858">
        <v>88.2</v>
      </c>
      <c r="X858">
        <v>328239523</v>
      </c>
      <c r="Y858">
        <v>14.7</v>
      </c>
      <c r="Z858">
        <v>270663028</v>
      </c>
      <c r="AA858">
        <v>37.090240000000001</v>
      </c>
      <c r="AB858">
        <v>-95.712890999999999</v>
      </c>
    </row>
    <row r="859" spans="1:28" x14ac:dyDescent="0.3">
      <c r="A859">
        <v>858</v>
      </c>
      <c r="B859" t="s">
        <v>304</v>
      </c>
      <c r="C859">
        <v>13400000</v>
      </c>
      <c r="D859">
        <v>9569814790</v>
      </c>
      <c r="E859" t="s">
        <v>1026</v>
      </c>
      <c r="F859" t="s">
        <v>304</v>
      </c>
      <c r="G859">
        <v>296272</v>
      </c>
      <c r="H859" t="s">
        <v>1045</v>
      </c>
      <c r="I859" t="s">
        <v>1046</v>
      </c>
      <c r="J859" t="s">
        <v>1027</v>
      </c>
      <c r="K859">
        <v>486</v>
      </c>
      <c r="L859">
        <v>10</v>
      </c>
      <c r="M859">
        <v>22</v>
      </c>
      <c r="N859">
        <v>115459000</v>
      </c>
      <c r="O859">
        <v>28900</v>
      </c>
      <c r="P859">
        <v>461800</v>
      </c>
      <c r="Q859">
        <v>346400</v>
      </c>
      <c r="R859">
        <v>5500000</v>
      </c>
      <c r="S859">
        <v>100000</v>
      </c>
      <c r="T859">
        <v>2007</v>
      </c>
      <c r="U859" t="s">
        <v>1025</v>
      </c>
      <c r="V859">
        <v>29</v>
      </c>
      <c r="W859">
        <v>35.5</v>
      </c>
      <c r="X859">
        <v>108116615</v>
      </c>
      <c r="Y859">
        <v>2.15</v>
      </c>
      <c r="Z859">
        <v>50975903</v>
      </c>
      <c r="AA859">
        <v>12.879721</v>
      </c>
      <c r="AB859">
        <v>121.774017</v>
      </c>
    </row>
    <row r="860" spans="1:28" x14ac:dyDescent="0.3">
      <c r="A860">
        <v>859</v>
      </c>
      <c r="B860" t="s">
        <v>86</v>
      </c>
      <c r="C860">
        <v>13400000</v>
      </c>
      <c r="D860">
        <v>10022557589</v>
      </c>
      <c r="E860" t="s">
        <v>994</v>
      </c>
      <c r="F860" t="s">
        <v>86</v>
      </c>
      <c r="G860">
        <v>319</v>
      </c>
      <c r="H860" t="s">
        <v>984</v>
      </c>
      <c r="I860" t="s">
        <v>985</v>
      </c>
      <c r="J860" t="s">
        <v>1002</v>
      </c>
      <c r="K860">
        <v>433</v>
      </c>
      <c r="L860">
        <v>165</v>
      </c>
      <c r="M860">
        <v>52</v>
      </c>
      <c r="N860">
        <v>397715000</v>
      </c>
      <c r="O860">
        <v>99400</v>
      </c>
      <c r="P860">
        <v>1600000</v>
      </c>
      <c r="Q860">
        <v>1200000</v>
      </c>
      <c r="R860">
        <v>19100000</v>
      </c>
      <c r="S860">
        <v>500000</v>
      </c>
      <c r="T860">
        <v>2014</v>
      </c>
      <c r="U860" t="s">
        <v>1008</v>
      </c>
      <c r="V860">
        <v>1</v>
      </c>
      <c r="W860">
        <v>88.2</v>
      </c>
      <c r="X860">
        <v>328239523</v>
      </c>
      <c r="Y860">
        <v>14.7</v>
      </c>
      <c r="Z860">
        <v>270663028</v>
      </c>
      <c r="AA860">
        <v>37.090240000000001</v>
      </c>
      <c r="AB860">
        <v>-95.712890999999999</v>
      </c>
    </row>
    <row r="861" spans="1:28" x14ac:dyDescent="0.3">
      <c r="A861">
        <v>860</v>
      </c>
      <c r="B861" t="s">
        <v>860</v>
      </c>
      <c r="C861">
        <v>13400000</v>
      </c>
      <c r="D861">
        <v>4306212515</v>
      </c>
      <c r="E861" t="s">
        <v>994</v>
      </c>
      <c r="F861" t="s">
        <v>1266</v>
      </c>
      <c r="G861">
        <v>96</v>
      </c>
      <c r="H861" t="s">
        <v>984</v>
      </c>
      <c r="I861" t="s">
        <v>985</v>
      </c>
      <c r="J861" t="s">
        <v>1004</v>
      </c>
      <c r="K861">
        <v>3846885</v>
      </c>
      <c r="L861">
        <v>7615</v>
      </c>
      <c r="M861">
        <v>4466</v>
      </c>
      <c r="N861">
        <v>3</v>
      </c>
      <c r="O861">
        <v>0</v>
      </c>
      <c r="P861">
        <v>0.01</v>
      </c>
      <c r="Q861">
        <v>0.01</v>
      </c>
      <c r="R861">
        <v>0.14000000000000001</v>
      </c>
      <c r="S861">
        <v>1</v>
      </c>
      <c r="T861">
        <v>2006</v>
      </c>
      <c r="U861" t="s">
        <v>1003</v>
      </c>
      <c r="V861">
        <v>17</v>
      </c>
      <c r="W861">
        <v>88.2</v>
      </c>
      <c r="X861">
        <v>328239523</v>
      </c>
      <c r="Y861">
        <v>14.7</v>
      </c>
      <c r="Z861">
        <v>270663028</v>
      </c>
      <c r="AA861">
        <v>37.090240000000001</v>
      </c>
      <c r="AB861">
        <v>-95.712890999999999</v>
      </c>
    </row>
    <row r="862" spans="1:28" x14ac:dyDescent="0.3">
      <c r="A862">
        <v>861</v>
      </c>
      <c r="B862" t="s">
        <v>523</v>
      </c>
      <c r="C862">
        <v>13300000</v>
      </c>
      <c r="D862">
        <v>2262690743</v>
      </c>
      <c r="E862" t="s">
        <v>1088</v>
      </c>
      <c r="F862" t="s">
        <v>523</v>
      </c>
      <c r="G862">
        <v>3640</v>
      </c>
      <c r="H862" t="s">
        <v>978</v>
      </c>
      <c r="I862" t="s">
        <v>979</v>
      </c>
      <c r="J862" t="s">
        <v>1089</v>
      </c>
      <c r="K862">
        <v>4152</v>
      </c>
      <c r="L862">
        <v>116</v>
      </c>
      <c r="M862">
        <v>16</v>
      </c>
      <c r="N862">
        <v>43669000</v>
      </c>
      <c r="O862">
        <v>10900</v>
      </c>
      <c r="P862">
        <v>174700</v>
      </c>
      <c r="Q862">
        <v>131000</v>
      </c>
      <c r="R862">
        <v>2100000</v>
      </c>
      <c r="S862">
        <v>100000</v>
      </c>
      <c r="T862">
        <v>2011</v>
      </c>
      <c r="U862" t="s">
        <v>1029</v>
      </c>
      <c r="V862">
        <v>2</v>
      </c>
      <c r="W862">
        <v>28.1</v>
      </c>
      <c r="X862">
        <v>1366417754</v>
      </c>
      <c r="Y862">
        <v>5.36</v>
      </c>
      <c r="Z862">
        <v>471031528</v>
      </c>
      <c r="AA862">
        <v>20.593684</v>
      </c>
      <c r="AB862">
        <v>78.962879999999998</v>
      </c>
    </row>
    <row r="863" spans="1:28" x14ac:dyDescent="0.3">
      <c r="A863">
        <v>862</v>
      </c>
      <c r="B863" t="s">
        <v>685</v>
      </c>
      <c r="C863">
        <v>13300000</v>
      </c>
      <c r="D863">
        <v>6050102764</v>
      </c>
      <c r="E863" t="s">
        <v>996</v>
      </c>
      <c r="F863" t="s">
        <v>685</v>
      </c>
      <c r="G863">
        <v>8195</v>
      </c>
      <c r="H863" t="s">
        <v>984</v>
      </c>
      <c r="I863" t="s">
        <v>985</v>
      </c>
      <c r="J863" t="s">
        <v>986</v>
      </c>
      <c r="K863">
        <v>1038</v>
      </c>
      <c r="L863">
        <v>167</v>
      </c>
      <c r="M863">
        <v>63</v>
      </c>
      <c r="N863">
        <v>15694000</v>
      </c>
      <c r="O863">
        <v>3900</v>
      </c>
      <c r="P863">
        <v>62800</v>
      </c>
      <c r="Q863">
        <v>47100</v>
      </c>
      <c r="R863">
        <v>753300</v>
      </c>
      <c r="S863" t="s">
        <v>987</v>
      </c>
      <c r="T863">
        <v>2006</v>
      </c>
      <c r="U863" t="s">
        <v>1029</v>
      </c>
      <c r="V863">
        <v>27</v>
      </c>
      <c r="W863">
        <v>88.2</v>
      </c>
      <c r="X863">
        <v>328239523</v>
      </c>
      <c r="Y863">
        <v>14.7</v>
      </c>
      <c r="Z863">
        <v>270663028</v>
      </c>
      <c r="AA863">
        <v>37.090240000000001</v>
      </c>
      <c r="AB863">
        <v>-95.712890999999999</v>
      </c>
    </row>
    <row r="864" spans="1:28" x14ac:dyDescent="0.3">
      <c r="A864">
        <v>863</v>
      </c>
      <c r="B864" t="s">
        <v>779</v>
      </c>
      <c r="C864">
        <v>13300000</v>
      </c>
      <c r="D864">
        <v>3299216601</v>
      </c>
      <c r="E864" t="s">
        <v>988</v>
      </c>
      <c r="F864" t="s">
        <v>779</v>
      </c>
      <c r="G864">
        <v>331</v>
      </c>
      <c r="H864" t="s">
        <v>984</v>
      </c>
      <c r="I864" t="s">
        <v>985</v>
      </c>
      <c r="J864" t="s">
        <v>988</v>
      </c>
      <c r="K864">
        <v>14275</v>
      </c>
      <c r="L864">
        <v>692</v>
      </c>
      <c r="M864">
        <v>694</v>
      </c>
      <c r="N864">
        <v>1929000</v>
      </c>
      <c r="O864">
        <v>482</v>
      </c>
      <c r="P864">
        <v>7700</v>
      </c>
      <c r="Q864">
        <v>5800</v>
      </c>
      <c r="R864">
        <v>92600</v>
      </c>
      <c r="S864" t="s">
        <v>987</v>
      </c>
      <c r="T864">
        <v>2007</v>
      </c>
      <c r="U864" t="s">
        <v>1029</v>
      </c>
      <c r="V864">
        <v>28</v>
      </c>
      <c r="W864">
        <v>88.2</v>
      </c>
      <c r="X864">
        <v>328239523</v>
      </c>
      <c r="Y864">
        <v>14.7</v>
      </c>
      <c r="Z864">
        <v>270663028</v>
      </c>
      <c r="AA864">
        <v>37.090240000000001</v>
      </c>
      <c r="AB864">
        <v>-95.712890999999999</v>
      </c>
    </row>
    <row r="865" spans="1:28" x14ac:dyDescent="0.3">
      <c r="A865">
        <v>864</v>
      </c>
      <c r="B865" t="s">
        <v>864</v>
      </c>
      <c r="C865">
        <v>13300000</v>
      </c>
      <c r="D865">
        <v>3364230487</v>
      </c>
      <c r="E865" t="s">
        <v>994</v>
      </c>
      <c r="F865" t="s">
        <v>1267</v>
      </c>
      <c r="G865">
        <v>3</v>
      </c>
      <c r="H865" t="s">
        <v>987</v>
      </c>
      <c r="I865" t="s">
        <v>987</v>
      </c>
      <c r="J865" t="s">
        <v>1044</v>
      </c>
      <c r="K865">
        <v>4057875</v>
      </c>
      <c r="L865" t="s">
        <v>987</v>
      </c>
      <c r="M865">
        <v>4896</v>
      </c>
      <c r="N865">
        <v>2</v>
      </c>
      <c r="O865">
        <v>0</v>
      </c>
      <c r="P865">
        <v>0.01</v>
      </c>
      <c r="Q865">
        <v>0.01</v>
      </c>
      <c r="R865">
        <v>0.1</v>
      </c>
      <c r="S865">
        <v>1</v>
      </c>
      <c r="T865">
        <v>2007</v>
      </c>
      <c r="U865" t="s">
        <v>980</v>
      </c>
      <c r="V865">
        <v>17</v>
      </c>
      <c r="W865" t="s">
        <v>987</v>
      </c>
      <c r="X865" t="s">
        <v>987</v>
      </c>
      <c r="Y865" t="s">
        <v>987</v>
      </c>
      <c r="Z865" t="s">
        <v>987</v>
      </c>
      <c r="AA865" t="s">
        <v>987</v>
      </c>
      <c r="AB865" t="s">
        <v>987</v>
      </c>
    </row>
    <row r="866" spans="1:28" x14ac:dyDescent="0.3">
      <c r="A866">
        <v>865</v>
      </c>
      <c r="B866" t="s">
        <v>765</v>
      </c>
      <c r="C866">
        <v>13300000</v>
      </c>
      <c r="D866">
        <v>3733856870</v>
      </c>
      <c r="E866" t="s">
        <v>988</v>
      </c>
      <c r="F866" t="s">
        <v>765</v>
      </c>
      <c r="G866">
        <v>698</v>
      </c>
      <c r="H866" t="s">
        <v>984</v>
      </c>
      <c r="I866" t="s">
        <v>985</v>
      </c>
      <c r="J866" t="s">
        <v>988</v>
      </c>
      <c r="K866">
        <v>2110</v>
      </c>
      <c r="L866">
        <v>167</v>
      </c>
      <c r="M866">
        <v>163</v>
      </c>
      <c r="N866">
        <v>4233000</v>
      </c>
      <c r="O866">
        <v>1100</v>
      </c>
      <c r="P866">
        <v>16900</v>
      </c>
      <c r="Q866">
        <v>12700</v>
      </c>
      <c r="R866">
        <v>203200</v>
      </c>
      <c r="S866" t="s">
        <v>987</v>
      </c>
      <c r="T866">
        <v>2007</v>
      </c>
      <c r="U866" t="s">
        <v>1025</v>
      </c>
      <c r="V866">
        <v>16</v>
      </c>
      <c r="W866">
        <v>88.2</v>
      </c>
      <c r="X866">
        <v>328239523</v>
      </c>
      <c r="Y866">
        <v>14.7</v>
      </c>
      <c r="Z866">
        <v>270663028</v>
      </c>
      <c r="AA866">
        <v>37.090240000000001</v>
      </c>
      <c r="AB866">
        <v>-95.712890999999999</v>
      </c>
    </row>
    <row r="867" spans="1:28" x14ac:dyDescent="0.3">
      <c r="A867">
        <v>866</v>
      </c>
      <c r="B867" t="s">
        <v>512</v>
      </c>
      <c r="C867">
        <v>13300000</v>
      </c>
      <c r="D867">
        <v>4177184071</v>
      </c>
      <c r="E867" t="s">
        <v>988</v>
      </c>
      <c r="F867" t="s">
        <v>512</v>
      </c>
      <c r="G867">
        <v>3166</v>
      </c>
      <c r="H867" t="s">
        <v>984</v>
      </c>
      <c r="I867" t="s">
        <v>985</v>
      </c>
      <c r="J867" t="s">
        <v>1002</v>
      </c>
      <c r="K867">
        <v>1789</v>
      </c>
      <c r="L867">
        <v>167</v>
      </c>
      <c r="M867">
        <v>54</v>
      </c>
      <c r="N867">
        <v>45095000</v>
      </c>
      <c r="O867">
        <v>11300</v>
      </c>
      <c r="P867">
        <v>180400</v>
      </c>
      <c r="Q867">
        <v>135300</v>
      </c>
      <c r="R867">
        <v>2200000</v>
      </c>
      <c r="S867">
        <v>100000</v>
      </c>
      <c r="T867">
        <v>2008</v>
      </c>
      <c r="U867" t="s">
        <v>1008</v>
      </c>
      <c r="V867">
        <v>29</v>
      </c>
      <c r="W867">
        <v>88.2</v>
      </c>
      <c r="X867">
        <v>328239523</v>
      </c>
      <c r="Y867">
        <v>14.7</v>
      </c>
      <c r="Z867">
        <v>270663028</v>
      </c>
      <c r="AA867">
        <v>37.090240000000001</v>
      </c>
      <c r="AB867">
        <v>-95.712890999999999</v>
      </c>
    </row>
    <row r="868" spans="1:28" x14ac:dyDescent="0.3">
      <c r="A868">
        <v>867</v>
      </c>
      <c r="B868" t="s">
        <v>1268</v>
      </c>
      <c r="C868">
        <v>13300000</v>
      </c>
      <c r="D868">
        <v>6482687220</v>
      </c>
      <c r="E868" t="s">
        <v>994</v>
      </c>
      <c r="F868" t="s">
        <v>1268</v>
      </c>
      <c r="G868">
        <v>608</v>
      </c>
      <c r="H868" t="s">
        <v>1000</v>
      </c>
      <c r="I868" t="s">
        <v>1001</v>
      </c>
      <c r="J868" t="s">
        <v>988</v>
      </c>
      <c r="K868">
        <v>927</v>
      </c>
      <c r="L868">
        <v>13</v>
      </c>
      <c r="M868">
        <v>163</v>
      </c>
      <c r="N868">
        <v>90241000</v>
      </c>
      <c r="O868">
        <v>22600</v>
      </c>
      <c r="P868">
        <v>361000</v>
      </c>
      <c r="Q868">
        <v>270700</v>
      </c>
      <c r="R868">
        <v>4300000</v>
      </c>
      <c r="S868">
        <v>100000</v>
      </c>
      <c r="T868">
        <v>2015</v>
      </c>
      <c r="U868" t="s">
        <v>1025</v>
      </c>
      <c r="V868">
        <v>4</v>
      </c>
      <c r="W868">
        <v>81.900000000000006</v>
      </c>
      <c r="X868">
        <v>144373535</v>
      </c>
      <c r="Y868">
        <v>4.59</v>
      </c>
      <c r="Z868">
        <v>107683889</v>
      </c>
      <c r="AA868">
        <v>61.524009999999997</v>
      </c>
      <c r="AB868">
        <v>105.31875599999999</v>
      </c>
    </row>
    <row r="869" spans="1:28" x14ac:dyDescent="0.3">
      <c r="A869">
        <v>868</v>
      </c>
      <c r="B869" t="s">
        <v>231</v>
      </c>
      <c r="C869">
        <v>13300000</v>
      </c>
      <c r="D869">
        <v>9088562002</v>
      </c>
      <c r="E869" t="s">
        <v>994</v>
      </c>
      <c r="F869" t="s">
        <v>231</v>
      </c>
      <c r="G869">
        <v>2742</v>
      </c>
      <c r="H869" t="s">
        <v>984</v>
      </c>
      <c r="I869" t="s">
        <v>985</v>
      </c>
      <c r="J869" t="s">
        <v>990</v>
      </c>
      <c r="K869">
        <v>524</v>
      </c>
      <c r="L869">
        <v>166</v>
      </c>
      <c r="M869">
        <v>41</v>
      </c>
      <c r="N869">
        <v>161889000</v>
      </c>
      <c r="O869">
        <v>40500</v>
      </c>
      <c r="P869">
        <v>647600</v>
      </c>
      <c r="Q869">
        <v>485700</v>
      </c>
      <c r="R869">
        <v>7800000</v>
      </c>
      <c r="S869">
        <v>100000</v>
      </c>
      <c r="T869">
        <v>2011</v>
      </c>
      <c r="U869" t="s">
        <v>1029</v>
      </c>
      <c r="V869">
        <v>26</v>
      </c>
      <c r="W869">
        <v>88.2</v>
      </c>
      <c r="X869">
        <v>328239523</v>
      </c>
      <c r="Y869">
        <v>14.7</v>
      </c>
      <c r="Z869">
        <v>270663028</v>
      </c>
      <c r="AA869">
        <v>37.090240000000001</v>
      </c>
      <c r="AB869">
        <v>-95.712890999999999</v>
      </c>
    </row>
    <row r="870" spans="1:28" x14ac:dyDescent="0.3">
      <c r="A870">
        <v>869</v>
      </c>
      <c r="B870" t="s">
        <v>887</v>
      </c>
      <c r="C870">
        <v>13300000</v>
      </c>
      <c r="D870">
        <v>7923901253</v>
      </c>
      <c r="E870" t="s">
        <v>988</v>
      </c>
      <c r="F870" t="s">
        <v>887</v>
      </c>
      <c r="G870">
        <v>2411</v>
      </c>
      <c r="H870" t="s">
        <v>1152</v>
      </c>
      <c r="I870" t="s">
        <v>1153</v>
      </c>
      <c r="J870" t="s">
        <v>988</v>
      </c>
      <c r="K870">
        <v>669</v>
      </c>
      <c r="L870">
        <v>5</v>
      </c>
      <c r="M870">
        <v>163</v>
      </c>
      <c r="N870">
        <v>379346000</v>
      </c>
      <c r="O870">
        <v>0</v>
      </c>
      <c r="P870">
        <v>0</v>
      </c>
      <c r="Q870">
        <v>0</v>
      </c>
      <c r="R870">
        <v>0</v>
      </c>
      <c r="S870" t="s">
        <v>987</v>
      </c>
      <c r="T870">
        <v>2014</v>
      </c>
      <c r="U870" t="s">
        <v>991</v>
      </c>
      <c r="V870">
        <v>8</v>
      </c>
      <c r="W870">
        <v>82.7</v>
      </c>
      <c r="X870">
        <v>44385155</v>
      </c>
      <c r="Y870">
        <v>8.8800000000000008</v>
      </c>
      <c r="Z870">
        <v>30835699</v>
      </c>
      <c r="AA870">
        <v>48.379432999999999</v>
      </c>
      <c r="AB870">
        <v>31.165579999999999</v>
      </c>
    </row>
    <row r="871" spans="1:28" x14ac:dyDescent="0.3">
      <c r="A871">
        <v>870</v>
      </c>
      <c r="B871" t="s">
        <v>195</v>
      </c>
      <c r="C871">
        <v>13300000</v>
      </c>
      <c r="D871">
        <v>7773543609</v>
      </c>
      <c r="E871" t="s">
        <v>996</v>
      </c>
      <c r="F871" t="s">
        <v>195</v>
      </c>
      <c r="G871">
        <v>4613</v>
      </c>
      <c r="H871" t="s">
        <v>984</v>
      </c>
      <c r="I871" t="s">
        <v>985</v>
      </c>
      <c r="J871" t="s">
        <v>988</v>
      </c>
      <c r="K871">
        <v>689</v>
      </c>
      <c r="L871">
        <v>166</v>
      </c>
      <c r="M871">
        <v>162</v>
      </c>
      <c r="N871">
        <v>188948000</v>
      </c>
      <c r="O871">
        <v>47200</v>
      </c>
      <c r="P871">
        <v>755800</v>
      </c>
      <c r="Q871">
        <v>566800</v>
      </c>
      <c r="R871">
        <v>9100000</v>
      </c>
      <c r="S871">
        <v>200000</v>
      </c>
      <c r="T871">
        <v>2007</v>
      </c>
      <c r="U871" t="s">
        <v>995</v>
      </c>
      <c r="V871">
        <v>7</v>
      </c>
      <c r="W871">
        <v>88.2</v>
      </c>
      <c r="X871">
        <v>328239523</v>
      </c>
      <c r="Y871">
        <v>14.7</v>
      </c>
      <c r="Z871">
        <v>270663028</v>
      </c>
      <c r="AA871">
        <v>37.090240000000001</v>
      </c>
      <c r="AB871">
        <v>-95.712890999999999</v>
      </c>
    </row>
    <row r="872" spans="1:28" x14ac:dyDescent="0.3">
      <c r="A872">
        <v>871</v>
      </c>
      <c r="B872" t="s">
        <v>672</v>
      </c>
      <c r="C872">
        <v>13300000</v>
      </c>
      <c r="D872">
        <v>7406628736</v>
      </c>
      <c r="E872" t="s">
        <v>1044</v>
      </c>
      <c r="F872" t="s">
        <v>672</v>
      </c>
      <c r="G872">
        <v>6916</v>
      </c>
      <c r="H872" t="s">
        <v>984</v>
      </c>
      <c r="I872" t="s">
        <v>985</v>
      </c>
      <c r="J872" t="s">
        <v>1044</v>
      </c>
      <c r="K872">
        <v>764</v>
      </c>
      <c r="L872">
        <v>167</v>
      </c>
      <c r="M872">
        <v>38</v>
      </c>
      <c r="N872">
        <v>17468000</v>
      </c>
      <c r="O872">
        <v>4400</v>
      </c>
      <c r="P872">
        <v>69900</v>
      </c>
      <c r="Q872">
        <v>52400</v>
      </c>
      <c r="R872">
        <v>838500</v>
      </c>
      <c r="S872">
        <v>100000</v>
      </c>
      <c r="T872">
        <v>2007</v>
      </c>
      <c r="U872" t="s">
        <v>1003</v>
      </c>
      <c r="V872">
        <v>14</v>
      </c>
      <c r="W872">
        <v>88.2</v>
      </c>
      <c r="X872">
        <v>328239523</v>
      </c>
      <c r="Y872">
        <v>14.7</v>
      </c>
      <c r="Z872">
        <v>270663028</v>
      </c>
      <c r="AA872">
        <v>37.090240000000001</v>
      </c>
      <c r="AB872">
        <v>-95.712890999999999</v>
      </c>
    </row>
    <row r="873" spans="1:28" x14ac:dyDescent="0.3">
      <c r="A873">
        <v>872</v>
      </c>
      <c r="B873" t="s">
        <v>528</v>
      </c>
      <c r="C873">
        <v>13300000</v>
      </c>
      <c r="D873">
        <v>2831275503</v>
      </c>
      <c r="E873" t="s">
        <v>1011</v>
      </c>
      <c r="F873" t="s">
        <v>528</v>
      </c>
      <c r="G873">
        <v>1489</v>
      </c>
      <c r="H873" t="s">
        <v>978</v>
      </c>
      <c r="I873" t="s">
        <v>979</v>
      </c>
      <c r="J873" t="s">
        <v>1053</v>
      </c>
      <c r="K873">
        <v>3123</v>
      </c>
      <c r="L873">
        <v>117</v>
      </c>
      <c r="M873">
        <v>32</v>
      </c>
      <c r="N873">
        <v>43118000</v>
      </c>
      <c r="O873">
        <v>10800</v>
      </c>
      <c r="P873">
        <v>172500</v>
      </c>
      <c r="Q873">
        <v>129400</v>
      </c>
      <c r="R873">
        <v>2100000</v>
      </c>
      <c r="S873" t="s">
        <v>987</v>
      </c>
      <c r="T873">
        <v>2014</v>
      </c>
      <c r="U873" t="s">
        <v>1025</v>
      </c>
      <c r="V873">
        <v>7</v>
      </c>
      <c r="W873">
        <v>28.1</v>
      </c>
      <c r="X873">
        <v>1366417754</v>
      </c>
      <c r="Y873">
        <v>5.36</v>
      </c>
      <c r="Z873">
        <v>471031528</v>
      </c>
      <c r="AA873">
        <v>20.593684</v>
      </c>
      <c r="AB873">
        <v>78.962879999999998</v>
      </c>
    </row>
    <row r="874" spans="1:28" x14ac:dyDescent="0.3">
      <c r="A874">
        <v>873</v>
      </c>
      <c r="B874" t="s">
        <v>425</v>
      </c>
      <c r="C874">
        <v>13300000</v>
      </c>
      <c r="D874">
        <v>4129249415</v>
      </c>
      <c r="E874" t="s">
        <v>996</v>
      </c>
      <c r="F874" t="s">
        <v>425</v>
      </c>
      <c r="G874">
        <v>1640</v>
      </c>
      <c r="H874" t="s">
        <v>1071</v>
      </c>
      <c r="I874" t="s">
        <v>1072</v>
      </c>
      <c r="J874" t="s">
        <v>986</v>
      </c>
      <c r="K874">
        <v>1818</v>
      </c>
      <c r="L874">
        <v>7</v>
      </c>
      <c r="M874">
        <v>63</v>
      </c>
      <c r="N874">
        <v>70712000</v>
      </c>
      <c r="O874">
        <v>17700</v>
      </c>
      <c r="P874">
        <v>282800</v>
      </c>
      <c r="Q874">
        <v>212100</v>
      </c>
      <c r="R874">
        <v>3400000</v>
      </c>
      <c r="S874">
        <v>200000</v>
      </c>
      <c r="T874">
        <v>2013</v>
      </c>
      <c r="U874" t="s">
        <v>1010</v>
      </c>
      <c r="V874">
        <v>20</v>
      </c>
      <c r="W874">
        <v>68</v>
      </c>
      <c r="X874">
        <v>34268528</v>
      </c>
      <c r="Y874">
        <v>5.93</v>
      </c>
      <c r="Z874">
        <v>28807838</v>
      </c>
      <c r="AA874">
        <v>23.885942</v>
      </c>
      <c r="AB874">
        <v>45.079161999999997</v>
      </c>
    </row>
    <row r="875" spans="1:28" x14ac:dyDescent="0.3">
      <c r="A875">
        <v>874</v>
      </c>
      <c r="B875" t="s">
        <v>758</v>
      </c>
      <c r="C875">
        <v>13300000</v>
      </c>
      <c r="D875">
        <v>6412313570</v>
      </c>
      <c r="E875" t="s">
        <v>996</v>
      </c>
      <c r="F875" t="s">
        <v>758</v>
      </c>
      <c r="G875">
        <v>1749</v>
      </c>
      <c r="H875" t="s">
        <v>1017</v>
      </c>
      <c r="I875" t="s">
        <v>1018</v>
      </c>
      <c r="J875" t="s">
        <v>988</v>
      </c>
      <c r="K875">
        <v>949</v>
      </c>
      <c r="L875">
        <v>12</v>
      </c>
      <c r="M875">
        <v>163</v>
      </c>
      <c r="N875">
        <v>5387000</v>
      </c>
      <c r="O875">
        <v>1300</v>
      </c>
      <c r="P875">
        <v>21500</v>
      </c>
      <c r="Q875">
        <v>16200</v>
      </c>
      <c r="R875">
        <v>258600</v>
      </c>
      <c r="S875">
        <v>100000</v>
      </c>
      <c r="T875">
        <v>2015</v>
      </c>
      <c r="U875" t="s">
        <v>995</v>
      </c>
      <c r="V875">
        <v>8</v>
      </c>
      <c r="W875">
        <v>68.900000000000006</v>
      </c>
      <c r="X875">
        <v>36991981</v>
      </c>
      <c r="Y875">
        <v>5.56</v>
      </c>
      <c r="Z875">
        <v>30628482</v>
      </c>
      <c r="AA875">
        <v>56.130366000000002</v>
      </c>
      <c r="AB875">
        <v>-106.346771</v>
      </c>
    </row>
    <row r="876" spans="1:28" x14ac:dyDescent="0.3">
      <c r="A876">
        <v>875</v>
      </c>
      <c r="B876" t="s">
        <v>117</v>
      </c>
      <c r="C876">
        <v>13200000</v>
      </c>
      <c r="D876">
        <v>9884886099</v>
      </c>
      <c r="E876" t="s">
        <v>988</v>
      </c>
      <c r="F876" t="s">
        <v>117</v>
      </c>
      <c r="G876">
        <v>538</v>
      </c>
      <c r="H876" t="s">
        <v>984</v>
      </c>
      <c r="I876" t="s">
        <v>985</v>
      </c>
      <c r="J876" t="s">
        <v>988</v>
      </c>
      <c r="K876">
        <v>454</v>
      </c>
      <c r="L876">
        <v>167</v>
      </c>
      <c r="M876">
        <v>163</v>
      </c>
      <c r="N876">
        <v>319647000</v>
      </c>
      <c r="O876">
        <v>79900</v>
      </c>
      <c r="P876">
        <v>1300000</v>
      </c>
      <c r="Q876">
        <v>958900</v>
      </c>
      <c r="R876">
        <v>15300000</v>
      </c>
      <c r="S876">
        <v>500000</v>
      </c>
      <c r="T876">
        <v>2021</v>
      </c>
      <c r="U876" t="s">
        <v>989</v>
      </c>
      <c r="V876">
        <v>20</v>
      </c>
      <c r="W876">
        <v>88.2</v>
      </c>
      <c r="X876">
        <v>328239523</v>
      </c>
      <c r="Y876">
        <v>14.7</v>
      </c>
      <c r="Z876">
        <v>270663028</v>
      </c>
      <c r="AA876">
        <v>37.090240000000001</v>
      </c>
      <c r="AB876">
        <v>-95.712890999999999</v>
      </c>
    </row>
    <row r="877" spans="1:28" x14ac:dyDescent="0.3">
      <c r="A877">
        <v>876</v>
      </c>
      <c r="B877" t="s">
        <v>739</v>
      </c>
      <c r="C877">
        <v>13200000</v>
      </c>
      <c r="D877">
        <v>1148422000</v>
      </c>
      <c r="E877" t="s">
        <v>988</v>
      </c>
      <c r="F877" t="s">
        <v>739</v>
      </c>
      <c r="G877">
        <v>192</v>
      </c>
      <c r="H877" t="s">
        <v>1000</v>
      </c>
      <c r="I877" t="s">
        <v>1001</v>
      </c>
      <c r="J877" t="s">
        <v>988</v>
      </c>
      <c r="K877">
        <v>9855</v>
      </c>
      <c r="L877">
        <v>13</v>
      </c>
      <c r="M877">
        <v>163</v>
      </c>
      <c r="N877">
        <v>8769000</v>
      </c>
      <c r="O877">
        <v>2200</v>
      </c>
      <c r="P877">
        <v>35100</v>
      </c>
      <c r="Q877">
        <v>26300</v>
      </c>
      <c r="R877">
        <v>420900</v>
      </c>
      <c r="S877">
        <v>200000</v>
      </c>
      <c r="T877">
        <v>2019</v>
      </c>
      <c r="U877" t="s">
        <v>1003</v>
      </c>
      <c r="V877">
        <v>10</v>
      </c>
      <c r="W877">
        <v>81.900000000000006</v>
      </c>
      <c r="X877">
        <v>144373535</v>
      </c>
      <c r="Y877">
        <v>4.59</v>
      </c>
      <c r="Z877">
        <v>107683889</v>
      </c>
      <c r="AA877">
        <v>61.524009999999997</v>
      </c>
      <c r="AB877">
        <v>105.31875599999999</v>
      </c>
    </row>
    <row r="878" spans="1:28" x14ac:dyDescent="0.3">
      <c r="A878">
        <v>877</v>
      </c>
      <c r="B878" t="s">
        <v>658</v>
      </c>
      <c r="C878">
        <v>13200000</v>
      </c>
      <c r="D878">
        <v>2036408398</v>
      </c>
      <c r="E878" t="s">
        <v>996</v>
      </c>
      <c r="F878" t="s">
        <v>658</v>
      </c>
      <c r="G878">
        <v>172</v>
      </c>
      <c r="H878" t="s">
        <v>1269</v>
      </c>
      <c r="I878" t="s">
        <v>1270</v>
      </c>
      <c r="J878" t="s">
        <v>986</v>
      </c>
      <c r="K878">
        <v>4846</v>
      </c>
      <c r="L878">
        <v>1</v>
      </c>
      <c r="M878">
        <v>64</v>
      </c>
      <c r="N878">
        <v>20369000</v>
      </c>
      <c r="O878">
        <v>5100</v>
      </c>
      <c r="P878">
        <v>81500</v>
      </c>
      <c r="Q878">
        <v>61100</v>
      </c>
      <c r="R878">
        <v>977700</v>
      </c>
      <c r="S878" t="s">
        <v>987</v>
      </c>
      <c r="T878">
        <v>2017</v>
      </c>
      <c r="U878" t="s">
        <v>999</v>
      </c>
      <c r="V878">
        <v>28</v>
      </c>
      <c r="W878">
        <v>88.2</v>
      </c>
      <c r="X878">
        <v>5520314</v>
      </c>
      <c r="Y878">
        <v>6.59</v>
      </c>
      <c r="Z878">
        <v>4716888</v>
      </c>
      <c r="AA878">
        <v>61.924109999999999</v>
      </c>
      <c r="AB878">
        <v>25.748151</v>
      </c>
    </row>
    <row r="879" spans="1:28" x14ac:dyDescent="0.3">
      <c r="A879">
        <v>878</v>
      </c>
      <c r="B879" t="s">
        <v>935</v>
      </c>
      <c r="C879">
        <v>13200000</v>
      </c>
      <c r="D879">
        <v>3568392223</v>
      </c>
      <c r="E879" t="s">
        <v>988</v>
      </c>
      <c r="F879" t="s">
        <v>1271</v>
      </c>
      <c r="G879">
        <v>0</v>
      </c>
      <c r="H879" t="s">
        <v>987</v>
      </c>
      <c r="I879" t="s">
        <v>987</v>
      </c>
      <c r="J879" t="s">
        <v>986</v>
      </c>
      <c r="K879">
        <v>4057944</v>
      </c>
      <c r="L879" t="s">
        <v>987</v>
      </c>
      <c r="M879">
        <v>7399</v>
      </c>
      <c r="N879" t="s">
        <v>987</v>
      </c>
      <c r="O879">
        <v>0</v>
      </c>
      <c r="P879">
        <v>0</v>
      </c>
      <c r="Q879">
        <v>0</v>
      </c>
      <c r="R879">
        <v>0</v>
      </c>
      <c r="S879" t="s">
        <v>987</v>
      </c>
      <c r="T879">
        <v>2007</v>
      </c>
      <c r="U879" t="s">
        <v>1029</v>
      </c>
      <c r="V879">
        <v>19</v>
      </c>
      <c r="W879" t="s">
        <v>987</v>
      </c>
      <c r="X879" t="s">
        <v>987</v>
      </c>
      <c r="Y879" t="s">
        <v>987</v>
      </c>
      <c r="Z879" t="s">
        <v>987</v>
      </c>
      <c r="AA879" t="s">
        <v>987</v>
      </c>
      <c r="AB879" t="s">
        <v>987</v>
      </c>
    </row>
    <row r="880" spans="1:28" x14ac:dyDescent="0.3">
      <c r="A880">
        <v>879</v>
      </c>
      <c r="B880" t="s">
        <v>631</v>
      </c>
      <c r="C880">
        <v>13200000</v>
      </c>
      <c r="D880">
        <v>3789736218</v>
      </c>
      <c r="E880" t="s">
        <v>988</v>
      </c>
      <c r="F880" t="s">
        <v>631</v>
      </c>
      <c r="G880">
        <v>8019</v>
      </c>
      <c r="H880" t="s">
        <v>978</v>
      </c>
      <c r="I880" t="s">
        <v>979</v>
      </c>
      <c r="J880" t="s">
        <v>977</v>
      </c>
      <c r="K880">
        <v>2063</v>
      </c>
      <c r="L880">
        <v>118</v>
      </c>
      <c r="M880">
        <v>142</v>
      </c>
      <c r="N880">
        <v>25321000</v>
      </c>
      <c r="O880">
        <v>6300</v>
      </c>
      <c r="P880">
        <v>101300</v>
      </c>
      <c r="Q880">
        <v>76000</v>
      </c>
      <c r="R880">
        <v>1200000</v>
      </c>
      <c r="S880" t="s">
        <v>987</v>
      </c>
      <c r="T880">
        <v>2010</v>
      </c>
      <c r="U880" t="s">
        <v>1005</v>
      </c>
      <c r="V880">
        <v>27</v>
      </c>
      <c r="W880">
        <v>28.1</v>
      </c>
      <c r="X880">
        <v>1366417754</v>
      </c>
      <c r="Y880">
        <v>5.36</v>
      </c>
      <c r="Z880">
        <v>471031528</v>
      </c>
      <c r="AA880">
        <v>20.593684</v>
      </c>
      <c r="AB880">
        <v>78.962879999999998</v>
      </c>
    </row>
    <row r="881" spans="1:28" x14ac:dyDescent="0.3">
      <c r="A881">
        <v>880</v>
      </c>
      <c r="B881" t="s">
        <v>142</v>
      </c>
      <c r="C881">
        <v>13200000</v>
      </c>
      <c r="D881">
        <v>4205664894</v>
      </c>
      <c r="E881" t="s">
        <v>987</v>
      </c>
      <c r="F881" t="s">
        <v>142</v>
      </c>
      <c r="G881">
        <v>1324</v>
      </c>
      <c r="H881" t="s">
        <v>1081</v>
      </c>
      <c r="I881" t="s">
        <v>1082</v>
      </c>
      <c r="J881" t="s">
        <v>1002</v>
      </c>
      <c r="K881">
        <v>1786</v>
      </c>
      <c r="L881">
        <v>30</v>
      </c>
      <c r="M881">
        <v>55</v>
      </c>
      <c r="N881">
        <v>264308000</v>
      </c>
      <c r="O881">
        <v>66100</v>
      </c>
      <c r="P881">
        <v>1100000</v>
      </c>
      <c r="Q881">
        <v>792900</v>
      </c>
      <c r="R881">
        <v>12700000</v>
      </c>
      <c r="S881">
        <v>800000</v>
      </c>
      <c r="T881">
        <v>2013</v>
      </c>
      <c r="U881" t="s">
        <v>991</v>
      </c>
      <c r="V881">
        <v>25</v>
      </c>
      <c r="W881">
        <v>36.299999999999997</v>
      </c>
      <c r="X881">
        <v>270203917</v>
      </c>
      <c r="Y881">
        <v>4.6900000000000004</v>
      </c>
      <c r="Z881">
        <v>151509724</v>
      </c>
      <c r="AA881">
        <v>-0.78927499999999995</v>
      </c>
      <c r="AB881">
        <v>113.92132700000001</v>
      </c>
    </row>
    <row r="882" spans="1:28" x14ac:dyDescent="0.3">
      <c r="A882">
        <v>881</v>
      </c>
      <c r="B882" t="s">
        <v>441</v>
      </c>
      <c r="C882">
        <v>13200000</v>
      </c>
      <c r="D882">
        <v>5224764969</v>
      </c>
      <c r="E882" t="s">
        <v>988</v>
      </c>
      <c r="F882" t="s">
        <v>441</v>
      </c>
      <c r="G882">
        <v>413</v>
      </c>
      <c r="H882" t="s">
        <v>1019</v>
      </c>
      <c r="I882" t="s">
        <v>1020</v>
      </c>
      <c r="J882" t="s">
        <v>988</v>
      </c>
      <c r="K882">
        <v>1269</v>
      </c>
      <c r="L882">
        <v>49</v>
      </c>
      <c r="M882">
        <v>164</v>
      </c>
      <c r="N882">
        <v>64517000</v>
      </c>
      <c r="O882">
        <v>16100</v>
      </c>
      <c r="P882">
        <v>258100</v>
      </c>
      <c r="Q882">
        <v>193600</v>
      </c>
      <c r="R882">
        <v>3100000</v>
      </c>
      <c r="S882">
        <v>100000</v>
      </c>
      <c r="T882">
        <v>2018</v>
      </c>
      <c r="U882" t="s">
        <v>1003</v>
      </c>
      <c r="V882">
        <v>17</v>
      </c>
      <c r="W882">
        <v>51.3</v>
      </c>
      <c r="X882">
        <v>212559417</v>
      </c>
      <c r="Y882">
        <v>12.08</v>
      </c>
      <c r="Z882">
        <v>183241641</v>
      </c>
      <c r="AA882">
        <v>-14.235004</v>
      </c>
      <c r="AB882">
        <v>-51.925280000000001</v>
      </c>
    </row>
    <row r="883" spans="1:28" x14ac:dyDescent="0.3">
      <c r="A883">
        <v>882</v>
      </c>
      <c r="B883" t="s">
        <v>481</v>
      </c>
      <c r="C883">
        <v>13200000</v>
      </c>
      <c r="D883">
        <v>5263540904</v>
      </c>
      <c r="E883" t="s">
        <v>990</v>
      </c>
      <c r="F883" t="s">
        <v>481</v>
      </c>
      <c r="G883">
        <v>4279</v>
      </c>
      <c r="H883" t="s">
        <v>984</v>
      </c>
      <c r="I883" t="s">
        <v>985</v>
      </c>
      <c r="J883" t="s">
        <v>990</v>
      </c>
      <c r="K883">
        <v>1252</v>
      </c>
      <c r="L883">
        <v>168</v>
      </c>
      <c r="M883">
        <v>42</v>
      </c>
      <c r="N883">
        <v>51820000</v>
      </c>
      <c r="O883">
        <v>13000</v>
      </c>
      <c r="P883">
        <v>207300</v>
      </c>
      <c r="Q883">
        <v>155500</v>
      </c>
      <c r="R883">
        <v>2500000</v>
      </c>
      <c r="S883">
        <v>100000</v>
      </c>
      <c r="T883">
        <v>2011</v>
      </c>
      <c r="U883" t="s">
        <v>989</v>
      </c>
      <c r="V883">
        <v>26</v>
      </c>
      <c r="W883">
        <v>88.2</v>
      </c>
      <c r="X883">
        <v>328239523</v>
      </c>
      <c r="Y883">
        <v>14.7</v>
      </c>
      <c r="Z883">
        <v>270663028</v>
      </c>
      <c r="AA883">
        <v>37.090240000000001</v>
      </c>
      <c r="AB883">
        <v>-95.712890999999999</v>
      </c>
    </row>
    <row r="884" spans="1:28" x14ac:dyDescent="0.3">
      <c r="A884">
        <v>883</v>
      </c>
      <c r="B884" t="s">
        <v>389</v>
      </c>
      <c r="C884">
        <v>13200000</v>
      </c>
      <c r="D884">
        <v>20743586601</v>
      </c>
      <c r="E884" t="s">
        <v>977</v>
      </c>
      <c r="F884" t="s">
        <v>389</v>
      </c>
      <c r="G884">
        <v>237</v>
      </c>
      <c r="H884" t="s">
        <v>1051</v>
      </c>
      <c r="I884" t="s">
        <v>1052</v>
      </c>
      <c r="J884" t="s">
        <v>977</v>
      </c>
      <c r="K884">
        <v>113</v>
      </c>
      <c r="L884">
        <v>10</v>
      </c>
      <c r="M884">
        <v>142</v>
      </c>
      <c r="N884">
        <v>86270000</v>
      </c>
      <c r="O884">
        <v>21600</v>
      </c>
      <c r="P884">
        <v>345100</v>
      </c>
      <c r="Q884">
        <v>258800</v>
      </c>
      <c r="R884">
        <v>4100000</v>
      </c>
      <c r="S884" t="s">
        <v>987</v>
      </c>
      <c r="T884">
        <v>2010</v>
      </c>
      <c r="U884" t="s">
        <v>991</v>
      </c>
      <c r="V884">
        <v>30</v>
      </c>
      <c r="W884">
        <v>55.3</v>
      </c>
      <c r="X884">
        <v>50339443</v>
      </c>
      <c r="Y884">
        <v>9.7100000000000009</v>
      </c>
      <c r="Z884">
        <v>40827302</v>
      </c>
      <c r="AA884">
        <v>4.5708679999999999</v>
      </c>
      <c r="AB884">
        <v>-74.297332999999995</v>
      </c>
    </row>
    <row r="885" spans="1:28" x14ac:dyDescent="0.3">
      <c r="A885">
        <v>884</v>
      </c>
      <c r="B885" t="s">
        <v>1272</v>
      </c>
      <c r="C885">
        <v>13200000</v>
      </c>
      <c r="D885">
        <v>9378175604</v>
      </c>
      <c r="E885" t="s">
        <v>994</v>
      </c>
      <c r="F885" t="s">
        <v>1272</v>
      </c>
      <c r="G885">
        <v>6888</v>
      </c>
      <c r="H885" t="s">
        <v>984</v>
      </c>
      <c r="I885" t="s">
        <v>985</v>
      </c>
      <c r="J885" t="s">
        <v>1002</v>
      </c>
      <c r="K885">
        <v>503</v>
      </c>
      <c r="L885">
        <v>168</v>
      </c>
      <c r="M885">
        <v>55</v>
      </c>
      <c r="N885">
        <v>119389000</v>
      </c>
      <c r="O885">
        <v>29800</v>
      </c>
      <c r="P885">
        <v>477600</v>
      </c>
      <c r="Q885">
        <v>358200</v>
      </c>
      <c r="R885">
        <v>5700000</v>
      </c>
      <c r="S885">
        <v>300000</v>
      </c>
      <c r="T885">
        <v>2011</v>
      </c>
      <c r="U885" t="s">
        <v>995</v>
      </c>
      <c r="V885">
        <v>16</v>
      </c>
      <c r="W885">
        <v>88.2</v>
      </c>
      <c r="X885">
        <v>328239523</v>
      </c>
      <c r="Y885">
        <v>14.7</v>
      </c>
      <c r="Z885">
        <v>270663028</v>
      </c>
      <c r="AA885">
        <v>37.090240000000001</v>
      </c>
      <c r="AB885">
        <v>-95.712890999999999</v>
      </c>
    </row>
    <row r="886" spans="1:28" x14ac:dyDescent="0.3">
      <c r="A886">
        <v>885</v>
      </c>
      <c r="B886" t="s">
        <v>666</v>
      </c>
      <c r="C886">
        <v>13200000</v>
      </c>
      <c r="D886">
        <v>1138262456</v>
      </c>
      <c r="E886" t="s">
        <v>1088</v>
      </c>
      <c r="F886" t="s">
        <v>666</v>
      </c>
      <c r="G886">
        <v>1022</v>
      </c>
      <c r="H886" t="s">
        <v>978</v>
      </c>
      <c r="I886" t="s">
        <v>979</v>
      </c>
      <c r="J886" t="s">
        <v>1089</v>
      </c>
      <c r="K886">
        <v>9955</v>
      </c>
      <c r="L886">
        <v>118</v>
      </c>
      <c r="M886">
        <v>17</v>
      </c>
      <c r="N886">
        <v>18518000</v>
      </c>
      <c r="O886">
        <v>4600</v>
      </c>
      <c r="P886">
        <v>74100</v>
      </c>
      <c r="Q886">
        <v>55600</v>
      </c>
      <c r="R886">
        <v>888900</v>
      </c>
      <c r="S886">
        <v>100000</v>
      </c>
      <c r="T886">
        <v>2015</v>
      </c>
      <c r="U886" t="s">
        <v>1029</v>
      </c>
      <c r="V886">
        <v>17</v>
      </c>
      <c r="W886">
        <v>28.1</v>
      </c>
      <c r="X886">
        <v>1366417754</v>
      </c>
      <c r="Y886">
        <v>5.36</v>
      </c>
      <c r="Z886">
        <v>471031528</v>
      </c>
      <c r="AA886">
        <v>20.593684</v>
      </c>
      <c r="AB886">
        <v>78.962879999999998</v>
      </c>
    </row>
    <row r="887" spans="1:28" x14ac:dyDescent="0.3">
      <c r="A887">
        <v>886</v>
      </c>
      <c r="B887" t="s">
        <v>714</v>
      </c>
      <c r="C887">
        <v>13200000</v>
      </c>
      <c r="D887">
        <v>1758603195</v>
      </c>
      <c r="E887" t="s">
        <v>994</v>
      </c>
      <c r="F887" t="s">
        <v>714</v>
      </c>
      <c r="G887">
        <v>393</v>
      </c>
      <c r="H887" t="s">
        <v>978</v>
      </c>
      <c r="I887" t="s">
        <v>979</v>
      </c>
      <c r="J887" t="s">
        <v>1053</v>
      </c>
      <c r="K887">
        <v>5855</v>
      </c>
      <c r="L887">
        <v>118</v>
      </c>
      <c r="M887">
        <v>33</v>
      </c>
      <c r="N887">
        <v>11490000</v>
      </c>
      <c r="O887">
        <v>2900</v>
      </c>
      <c r="P887">
        <v>46000</v>
      </c>
      <c r="Q887">
        <v>34500</v>
      </c>
      <c r="R887">
        <v>551500</v>
      </c>
      <c r="S887" t="s">
        <v>987</v>
      </c>
      <c r="T887">
        <v>2017</v>
      </c>
      <c r="U887" t="s">
        <v>999</v>
      </c>
      <c r="V887">
        <v>4</v>
      </c>
      <c r="W887">
        <v>28.1</v>
      </c>
      <c r="X887">
        <v>1366417754</v>
      </c>
      <c r="Y887">
        <v>5.36</v>
      </c>
      <c r="Z887">
        <v>471031528</v>
      </c>
      <c r="AA887">
        <v>20.593684</v>
      </c>
      <c r="AB887">
        <v>78.962879999999998</v>
      </c>
    </row>
    <row r="888" spans="1:28" x14ac:dyDescent="0.3">
      <c r="A888">
        <v>887</v>
      </c>
      <c r="B888" t="s">
        <v>825</v>
      </c>
      <c r="C888">
        <v>13100000</v>
      </c>
      <c r="D888">
        <v>2182651464</v>
      </c>
      <c r="E888" t="s">
        <v>988</v>
      </c>
      <c r="F888" t="s">
        <v>825</v>
      </c>
      <c r="G888">
        <v>33</v>
      </c>
      <c r="H888" t="s">
        <v>984</v>
      </c>
      <c r="I888" t="s">
        <v>985</v>
      </c>
      <c r="J888" t="s">
        <v>1002</v>
      </c>
      <c r="K888">
        <v>4051001</v>
      </c>
      <c r="L888">
        <v>7683</v>
      </c>
      <c r="M888">
        <v>7670</v>
      </c>
      <c r="N888">
        <v>248</v>
      </c>
      <c r="O888">
        <v>0.06</v>
      </c>
      <c r="P888">
        <v>0.99</v>
      </c>
      <c r="Q888">
        <v>0.74</v>
      </c>
      <c r="R888">
        <v>12</v>
      </c>
      <c r="S888">
        <v>1</v>
      </c>
      <c r="T888">
        <v>2022</v>
      </c>
      <c r="U888" t="s">
        <v>1008</v>
      </c>
      <c r="V888">
        <v>27</v>
      </c>
      <c r="W888">
        <v>88.2</v>
      </c>
      <c r="X888">
        <v>328239523</v>
      </c>
      <c r="Y888">
        <v>14.7</v>
      </c>
      <c r="Z888">
        <v>270663028</v>
      </c>
      <c r="AA888">
        <v>37.090240000000001</v>
      </c>
      <c r="AB888">
        <v>-95.712890999999999</v>
      </c>
    </row>
    <row r="889" spans="1:28" x14ac:dyDescent="0.3">
      <c r="A889">
        <v>888</v>
      </c>
      <c r="B889" t="s">
        <v>722</v>
      </c>
      <c r="C889">
        <v>13100000</v>
      </c>
      <c r="D889">
        <v>1401914513</v>
      </c>
      <c r="E889" t="s">
        <v>994</v>
      </c>
      <c r="F889" t="s">
        <v>722</v>
      </c>
      <c r="G889">
        <v>287</v>
      </c>
      <c r="H889" t="s">
        <v>1045</v>
      </c>
      <c r="I889" t="s">
        <v>1046</v>
      </c>
      <c r="J889" t="s">
        <v>1002</v>
      </c>
      <c r="K889">
        <v>7733</v>
      </c>
      <c r="L889">
        <v>11</v>
      </c>
      <c r="M889">
        <v>56</v>
      </c>
      <c r="N889">
        <v>10848000</v>
      </c>
      <c r="O889">
        <v>2700</v>
      </c>
      <c r="P889">
        <v>43400</v>
      </c>
      <c r="Q889">
        <v>32500</v>
      </c>
      <c r="R889">
        <v>520700</v>
      </c>
      <c r="S889" t="s">
        <v>987</v>
      </c>
      <c r="T889">
        <v>2017</v>
      </c>
      <c r="U889" t="s">
        <v>1015</v>
      </c>
      <c r="V889">
        <v>18</v>
      </c>
      <c r="W889">
        <v>35.5</v>
      </c>
      <c r="X889">
        <v>108116615</v>
      </c>
      <c r="Y889">
        <v>2.15</v>
      </c>
      <c r="Z889">
        <v>50975903</v>
      </c>
      <c r="AA889">
        <v>12.879721</v>
      </c>
      <c r="AB889">
        <v>121.774017</v>
      </c>
    </row>
    <row r="890" spans="1:28" x14ac:dyDescent="0.3">
      <c r="A890">
        <v>889</v>
      </c>
      <c r="B890" t="s">
        <v>462</v>
      </c>
      <c r="C890">
        <v>13100000</v>
      </c>
      <c r="D890">
        <v>2733682792</v>
      </c>
      <c r="E890" t="s">
        <v>987</v>
      </c>
      <c r="F890" t="s">
        <v>462</v>
      </c>
      <c r="G890">
        <v>289</v>
      </c>
      <c r="H890" t="s">
        <v>984</v>
      </c>
      <c r="I890" t="s">
        <v>985</v>
      </c>
      <c r="J890" t="s">
        <v>986</v>
      </c>
      <c r="K890">
        <v>3275</v>
      </c>
      <c r="L890">
        <v>169</v>
      </c>
      <c r="M890">
        <v>65</v>
      </c>
      <c r="N890">
        <v>56894000</v>
      </c>
      <c r="O890">
        <v>14200</v>
      </c>
      <c r="P890">
        <v>227600</v>
      </c>
      <c r="Q890">
        <v>170700</v>
      </c>
      <c r="R890">
        <v>2700000</v>
      </c>
      <c r="S890">
        <v>100000</v>
      </c>
      <c r="T890">
        <v>2016</v>
      </c>
      <c r="U890" t="s">
        <v>1008</v>
      </c>
      <c r="V890">
        <v>12</v>
      </c>
      <c r="W890">
        <v>88.2</v>
      </c>
      <c r="X890">
        <v>328239523</v>
      </c>
      <c r="Y890">
        <v>14.7</v>
      </c>
      <c r="Z890">
        <v>270663028</v>
      </c>
      <c r="AA890">
        <v>37.090240000000001</v>
      </c>
      <c r="AB890">
        <v>-95.712890999999999</v>
      </c>
    </row>
    <row r="891" spans="1:28" x14ac:dyDescent="0.3">
      <c r="A891">
        <v>890</v>
      </c>
      <c r="B891" t="s">
        <v>110</v>
      </c>
      <c r="C891">
        <v>13100000</v>
      </c>
      <c r="D891">
        <v>9110348202</v>
      </c>
      <c r="E891" t="s">
        <v>988</v>
      </c>
      <c r="F891" t="s">
        <v>110</v>
      </c>
      <c r="G891">
        <v>1327</v>
      </c>
      <c r="H891" t="s">
        <v>987</v>
      </c>
      <c r="I891" t="s">
        <v>987</v>
      </c>
      <c r="J891" t="s">
        <v>988</v>
      </c>
      <c r="K891">
        <v>520</v>
      </c>
      <c r="L891" t="s">
        <v>987</v>
      </c>
      <c r="M891">
        <v>163</v>
      </c>
      <c r="N891">
        <v>329312000</v>
      </c>
      <c r="O891">
        <v>82300</v>
      </c>
      <c r="P891">
        <v>1300000</v>
      </c>
      <c r="Q891">
        <v>987900</v>
      </c>
      <c r="R891">
        <v>15800000</v>
      </c>
      <c r="S891">
        <v>700000</v>
      </c>
      <c r="T891">
        <v>2010</v>
      </c>
      <c r="U891" t="s">
        <v>980</v>
      </c>
      <c r="V891">
        <v>25</v>
      </c>
      <c r="W891" t="s">
        <v>987</v>
      </c>
      <c r="X891" t="s">
        <v>987</v>
      </c>
      <c r="Y891" t="s">
        <v>987</v>
      </c>
      <c r="Z891" t="s">
        <v>987</v>
      </c>
      <c r="AA891" t="s">
        <v>987</v>
      </c>
      <c r="AB891" t="s">
        <v>987</v>
      </c>
    </row>
    <row r="892" spans="1:28" x14ac:dyDescent="0.3">
      <c r="A892">
        <v>891</v>
      </c>
      <c r="B892" t="s">
        <v>568</v>
      </c>
      <c r="C892">
        <v>13100000</v>
      </c>
      <c r="D892">
        <v>4712624489</v>
      </c>
      <c r="E892" t="s">
        <v>977</v>
      </c>
      <c r="F892" t="s">
        <v>568</v>
      </c>
      <c r="G892">
        <v>1262</v>
      </c>
      <c r="H892" t="s">
        <v>978</v>
      </c>
      <c r="I892" t="s">
        <v>979</v>
      </c>
      <c r="J892" t="s">
        <v>977</v>
      </c>
      <c r="K892">
        <v>1484</v>
      </c>
      <c r="L892">
        <v>119</v>
      </c>
      <c r="M892">
        <v>143</v>
      </c>
      <c r="N892">
        <v>34438000</v>
      </c>
      <c r="O892">
        <v>8600</v>
      </c>
      <c r="P892">
        <v>137800</v>
      </c>
      <c r="Q892">
        <v>103300</v>
      </c>
      <c r="R892">
        <v>1700000</v>
      </c>
      <c r="S892">
        <v>100000</v>
      </c>
      <c r="T892">
        <v>2010</v>
      </c>
      <c r="U892" t="s">
        <v>1005</v>
      </c>
      <c r="V892">
        <v>27</v>
      </c>
      <c r="W892">
        <v>28.1</v>
      </c>
      <c r="X892">
        <v>1366417754</v>
      </c>
      <c r="Y892">
        <v>5.36</v>
      </c>
      <c r="Z892">
        <v>471031528</v>
      </c>
      <c r="AA892">
        <v>20.593684</v>
      </c>
      <c r="AB892">
        <v>78.962879999999998</v>
      </c>
    </row>
    <row r="893" spans="1:28" x14ac:dyDescent="0.3">
      <c r="A893">
        <v>892</v>
      </c>
      <c r="B893" t="s">
        <v>869</v>
      </c>
      <c r="C893">
        <v>13100000</v>
      </c>
      <c r="D893">
        <v>1936582704</v>
      </c>
      <c r="E893" t="s">
        <v>994</v>
      </c>
      <c r="F893" t="s">
        <v>869</v>
      </c>
      <c r="G893">
        <v>7</v>
      </c>
      <c r="H893" t="s">
        <v>987</v>
      </c>
      <c r="I893" t="s">
        <v>987</v>
      </c>
      <c r="J893" t="s">
        <v>1002</v>
      </c>
      <c r="K893">
        <v>4054334</v>
      </c>
      <c r="L893" t="s">
        <v>987</v>
      </c>
      <c r="M893">
        <v>7714</v>
      </c>
      <c r="N893">
        <v>2</v>
      </c>
      <c r="O893">
        <v>0</v>
      </c>
      <c r="P893">
        <v>0.01</v>
      </c>
      <c r="Q893">
        <v>0.01</v>
      </c>
      <c r="R893">
        <v>0.1</v>
      </c>
      <c r="S893" t="s">
        <v>987</v>
      </c>
      <c r="T893">
        <v>2019</v>
      </c>
      <c r="U893" t="s">
        <v>1029</v>
      </c>
      <c r="V893">
        <v>24</v>
      </c>
      <c r="W893" t="s">
        <v>987</v>
      </c>
      <c r="X893" t="s">
        <v>987</v>
      </c>
      <c r="Y893" t="s">
        <v>987</v>
      </c>
      <c r="Z893" t="s">
        <v>987</v>
      </c>
      <c r="AA893" t="s">
        <v>987</v>
      </c>
      <c r="AB893" t="s">
        <v>987</v>
      </c>
    </row>
    <row r="894" spans="1:28" x14ac:dyDescent="0.3">
      <c r="A894">
        <v>893</v>
      </c>
      <c r="B894" t="s">
        <v>527</v>
      </c>
      <c r="C894">
        <v>13100000</v>
      </c>
      <c r="D894">
        <v>2555801802</v>
      </c>
      <c r="E894" t="s">
        <v>994</v>
      </c>
      <c r="F894" t="s">
        <v>527</v>
      </c>
      <c r="G894">
        <v>1077</v>
      </c>
      <c r="H894" t="s">
        <v>1019</v>
      </c>
      <c r="I894" t="s">
        <v>1020</v>
      </c>
      <c r="J894" t="s">
        <v>1002</v>
      </c>
      <c r="K894">
        <v>3545</v>
      </c>
      <c r="L894">
        <v>50</v>
      </c>
      <c r="M894">
        <v>56</v>
      </c>
      <c r="N894">
        <v>43990000</v>
      </c>
      <c r="O894">
        <v>11000</v>
      </c>
      <c r="P894">
        <v>176000</v>
      </c>
      <c r="Q894">
        <v>132000</v>
      </c>
      <c r="R894">
        <v>2100000</v>
      </c>
      <c r="S894">
        <v>100000</v>
      </c>
      <c r="T894">
        <v>2015</v>
      </c>
      <c r="U894" t="s">
        <v>1029</v>
      </c>
      <c r="V894">
        <v>6</v>
      </c>
      <c r="W894">
        <v>51.3</v>
      </c>
      <c r="X894">
        <v>212559417</v>
      </c>
      <c r="Y894">
        <v>12.08</v>
      </c>
      <c r="Z894">
        <v>183241641</v>
      </c>
      <c r="AA894">
        <v>-14.235004</v>
      </c>
      <c r="AB894">
        <v>-51.925280000000001</v>
      </c>
    </row>
    <row r="895" spans="1:28" x14ac:dyDescent="0.3">
      <c r="A895">
        <v>894</v>
      </c>
      <c r="B895" t="s">
        <v>616</v>
      </c>
      <c r="C895">
        <v>13100000</v>
      </c>
      <c r="D895">
        <v>4214172991</v>
      </c>
      <c r="E895" t="s">
        <v>982</v>
      </c>
      <c r="F895" t="s">
        <v>1273</v>
      </c>
      <c r="G895">
        <v>1365</v>
      </c>
      <c r="H895" t="s">
        <v>1019</v>
      </c>
      <c r="I895" t="s">
        <v>1020</v>
      </c>
      <c r="J895" t="s">
        <v>1022</v>
      </c>
      <c r="K895">
        <v>1770</v>
      </c>
      <c r="L895">
        <v>49</v>
      </c>
      <c r="M895">
        <v>43</v>
      </c>
      <c r="N895">
        <v>27340000</v>
      </c>
      <c r="O895">
        <v>6800</v>
      </c>
      <c r="P895">
        <v>109400</v>
      </c>
      <c r="Q895">
        <v>82000</v>
      </c>
      <c r="R895">
        <v>1300000</v>
      </c>
      <c r="S895">
        <v>100000</v>
      </c>
      <c r="T895">
        <v>2014</v>
      </c>
      <c r="U895" t="s">
        <v>995</v>
      </c>
      <c r="V895">
        <v>6</v>
      </c>
      <c r="W895">
        <v>51.3</v>
      </c>
      <c r="X895">
        <v>212559417</v>
      </c>
      <c r="Y895">
        <v>12.08</v>
      </c>
      <c r="Z895">
        <v>183241641</v>
      </c>
      <c r="AA895">
        <v>-14.235004</v>
      </c>
      <c r="AB895">
        <v>-51.925280000000001</v>
      </c>
    </row>
    <row r="896" spans="1:28" x14ac:dyDescent="0.3">
      <c r="A896">
        <v>895</v>
      </c>
      <c r="B896" t="s">
        <v>1274</v>
      </c>
      <c r="C896">
        <v>13100000</v>
      </c>
      <c r="D896">
        <v>4399833602</v>
      </c>
      <c r="E896" t="s">
        <v>994</v>
      </c>
      <c r="F896" t="s">
        <v>1274</v>
      </c>
      <c r="G896">
        <v>435</v>
      </c>
      <c r="H896" t="s">
        <v>984</v>
      </c>
      <c r="I896" t="s">
        <v>985</v>
      </c>
      <c r="J896" t="s">
        <v>1053</v>
      </c>
      <c r="K896">
        <v>1650</v>
      </c>
      <c r="L896">
        <v>169</v>
      </c>
      <c r="M896">
        <v>34</v>
      </c>
      <c r="N896">
        <v>60661000</v>
      </c>
      <c r="O896">
        <v>15200</v>
      </c>
      <c r="P896">
        <v>242600</v>
      </c>
      <c r="Q896">
        <v>182000</v>
      </c>
      <c r="R896">
        <v>2900000</v>
      </c>
      <c r="S896">
        <v>100000</v>
      </c>
      <c r="T896">
        <v>2017</v>
      </c>
      <c r="U896" t="s">
        <v>989</v>
      </c>
      <c r="V896">
        <v>15</v>
      </c>
      <c r="W896">
        <v>88.2</v>
      </c>
      <c r="X896">
        <v>328239523</v>
      </c>
      <c r="Y896">
        <v>14.7</v>
      </c>
      <c r="Z896">
        <v>270663028</v>
      </c>
      <c r="AA896">
        <v>37.090240000000001</v>
      </c>
      <c r="AB896">
        <v>-95.712890999999999</v>
      </c>
    </row>
    <row r="897" spans="1:28" x14ac:dyDescent="0.3">
      <c r="A897">
        <v>896</v>
      </c>
      <c r="B897" t="s">
        <v>501</v>
      </c>
      <c r="C897">
        <v>13100000</v>
      </c>
      <c r="D897">
        <v>4608751851</v>
      </c>
      <c r="E897" t="s">
        <v>977</v>
      </c>
      <c r="F897" t="s">
        <v>501</v>
      </c>
      <c r="G897">
        <v>73</v>
      </c>
      <c r="H897" t="s">
        <v>1019</v>
      </c>
      <c r="I897" t="s">
        <v>1020</v>
      </c>
      <c r="J897" t="s">
        <v>977</v>
      </c>
      <c r="K897">
        <v>1541</v>
      </c>
      <c r="L897">
        <v>50</v>
      </c>
      <c r="M897">
        <v>143</v>
      </c>
      <c r="N897">
        <v>48223000</v>
      </c>
      <c r="O897">
        <v>12100</v>
      </c>
      <c r="P897">
        <v>192900</v>
      </c>
      <c r="Q897">
        <v>144700</v>
      </c>
      <c r="R897">
        <v>2300000</v>
      </c>
      <c r="S897" t="s">
        <v>987</v>
      </c>
      <c r="T897">
        <v>2013</v>
      </c>
      <c r="U897" t="s">
        <v>999</v>
      </c>
      <c r="V897">
        <v>13</v>
      </c>
      <c r="W897">
        <v>51.3</v>
      </c>
      <c r="X897">
        <v>212559417</v>
      </c>
      <c r="Y897">
        <v>12.08</v>
      </c>
      <c r="Z897">
        <v>183241641</v>
      </c>
      <c r="AA897">
        <v>-14.235004</v>
      </c>
      <c r="AB897">
        <v>-51.925280000000001</v>
      </c>
    </row>
    <row r="898" spans="1:28" x14ac:dyDescent="0.3">
      <c r="A898">
        <v>897</v>
      </c>
      <c r="B898" t="s">
        <v>446</v>
      </c>
      <c r="C898">
        <v>13100000</v>
      </c>
      <c r="D898">
        <v>2879263916</v>
      </c>
      <c r="E898" t="s">
        <v>994</v>
      </c>
      <c r="F898" t="s">
        <v>446</v>
      </c>
      <c r="G898">
        <v>1444</v>
      </c>
      <c r="H898" t="s">
        <v>1233</v>
      </c>
      <c r="I898" t="s">
        <v>1234</v>
      </c>
      <c r="J898" t="s">
        <v>986</v>
      </c>
      <c r="K898">
        <v>3044</v>
      </c>
      <c r="L898">
        <v>2</v>
      </c>
      <c r="M898">
        <v>65</v>
      </c>
      <c r="N898">
        <v>62909000</v>
      </c>
      <c r="O898">
        <v>15700</v>
      </c>
      <c r="P898">
        <v>251600</v>
      </c>
      <c r="Q898">
        <v>188700</v>
      </c>
      <c r="R898">
        <v>3000000</v>
      </c>
      <c r="S898">
        <v>300000</v>
      </c>
      <c r="T898">
        <v>2016</v>
      </c>
      <c r="U898" t="s">
        <v>1015</v>
      </c>
      <c r="V898">
        <v>16</v>
      </c>
      <c r="W898">
        <v>44.9</v>
      </c>
      <c r="X898">
        <v>17373662</v>
      </c>
      <c r="Y898">
        <v>3.97</v>
      </c>
      <c r="Z898">
        <v>11116711</v>
      </c>
      <c r="AA898">
        <v>-1.8312390000000001</v>
      </c>
      <c r="AB898">
        <v>-78.183406000000005</v>
      </c>
    </row>
    <row r="899" spans="1:28" x14ac:dyDescent="0.3">
      <c r="A899">
        <v>898</v>
      </c>
      <c r="B899" t="s">
        <v>671</v>
      </c>
      <c r="C899">
        <v>13100000</v>
      </c>
      <c r="D899">
        <v>5333569294</v>
      </c>
      <c r="E899" t="s">
        <v>988</v>
      </c>
      <c r="F899" t="s">
        <v>671</v>
      </c>
      <c r="G899">
        <v>36760</v>
      </c>
      <c r="H899" t="s">
        <v>1019</v>
      </c>
      <c r="I899" t="s">
        <v>1020</v>
      </c>
      <c r="J899" t="s">
        <v>988</v>
      </c>
      <c r="K899">
        <v>1240</v>
      </c>
      <c r="L899">
        <v>50</v>
      </c>
      <c r="M899">
        <v>165</v>
      </c>
      <c r="N899">
        <v>17588000</v>
      </c>
      <c r="O899">
        <v>4400</v>
      </c>
      <c r="P899">
        <v>70400</v>
      </c>
      <c r="Q899">
        <v>52800</v>
      </c>
      <c r="R899">
        <v>844200</v>
      </c>
      <c r="S899" t="s">
        <v>987</v>
      </c>
      <c r="T899">
        <v>2011</v>
      </c>
      <c r="U899" t="s">
        <v>1025</v>
      </c>
      <c r="V899">
        <v>18</v>
      </c>
      <c r="W899">
        <v>51.3</v>
      </c>
      <c r="X899">
        <v>212559417</v>
      </c>
      <c r="Y899">
        <v>12.08</v>
      </c>
      <c r="Z899">
        <v>183241641</v>
      </c>
      <c r="AA899">
        <v>-14.235004</v>
      </c>
      <c r="AB899">
        <v>-51.925280000000001</v>
      </c>
    </row>
    <row r="900" spans="1:28" x14ac:dyDescent="0.3">
      <c r="A900">
        <v>899</v>
      </c>
      <c r="B900" t="s">
        <v>490</v>
      </c>
      <c r="C900">
        <v>13100000</v>
      </c>
      <c r="D900">
        <v>5264039679</v>
      </c>
      <c r="E900" t="s">
        <v>977</v>
      </c>
      <c r="F900" t="s">
        <v>490</v>
      </c>
      <c r="G900">
        <v>194</v>
      </c>
      <c r="H900" t="s">
        <v>984</v>
      </c>
      <c r="I900" t="s">
        <v>985</v>
      </c>
      <c r="J900" t="s">
        <v>977</v>
      </c>
      <c r="K900">
        <v>1255</v>
      </c>
      <c r="L900">
        <v>169</v>
      </c>
      <c r="M900">
        <v>143</v>
      </c>
      <c r="N900">
        <v>50922000</v>
      </c>
      <c r="O900">
        <v>12700</v>
      </c>
      <c r="P900">
        <v>203700</v>
      </c>
      <c r="Q900">
        <v>152800</v>
      </c>
      <c r="R900">
        <v>2400000</v>
      </c>
      <c r="S900" t="s">
        <v>987</v>
      </c>
      <c r="T900">
        <v>2009</v>
      </c>
      <c r="U900" t="s">
        <v>991</v>
      </c>
      <c r="V900">
        <v>5</v>
      </c>
      <c r="W900">
        <v>88.2</v>
      </c>
      <c r="X900">
        <v>328239523</v>
      </c>
      <c r="Y900">
        <v>14.7</v>
      </c>
      <c r="Z900">
        <v>270663028</v>
      </c>
      <c r="AA900">
        <v>37.090240000000001</v>
      </c>
      <c r="AB900">
        <v>-95.712890999999999</v>
      </c>
    </row>
    <row r="901" spans="1:28" x14ac:dyDescent="0.3">
      <c r="A901">
        <v>900</v>
      </c>
      <c r="B901" t="s">
        <v>823</v>
      </c>
      <c r="C901">
        <v>13100000</v>
      </c>
      <c r="D901">
        <v>6637820731</v>
      </c>
      <c r="E901" t="s">
        <v>977</v>
      </c>
      <c r="F901" t="s">
        <v>1275</v>
      </c>
      <c r="G901">
        <v>12</v>
      </c>
      <c r="H901" t="s">
        <v>1276</v>
      </c>
      <c r="I901" t="s">
        <v>1277</v>
      </c>
      <c r="J901" t="s">
        <v>977</v>
      </c>
      <c r="K901">
        <v>3967392</v>
      </c>
      <c r="L901">
        <v>81</v>
      </c>
      <c r="M901">
        <v>5659</v>
      </c>
      <c r="N901">
        <v>379</v>
      </c>
      <c r="O901">
        <v>0.09</v>
      </c>
      <c r="P901">
        <v>2</v>
      </c>
      <c r="Q901">
        <v>1</v>
      </c>
      <c r="R901">
        <v>18</v>
      </c>
      <c r="S901">
        <v>3</v>
      </c>
      <c r="T901">
        <v>2006</v>
      </c>
      <c r="U901" t="s">
        <v>995</v>
      </c>
      <c r="V901">
        <v>27</v>
      </c>
      <c r="W901">
        <v>7.6</v>
      </c>
      <c r="X901">
        <v>202506</v>
      </c>
      <c r="Y901">
        <v>8.36</v>
      </c>
      <c r="Z901">
        <v>35588</v>
      </c>
      <c r="AA901">
        <v>-13.759029</v>
      </c>
      <c r="AB901">
        <v>-172.10462899999999</v>
      </c>
    </row>
    <row r="902" spans="1:28" x14ac:dyDescent="0.3">
      <c r="A902">
        <v>901</v>
      </c>
      <c r="B902" t="s">
        <v>606</v>
      </c>
      <c r="C902">
        <v>13000000</v>
      </c>
      <c r="D902">
        <v>2683297849</v>
      </c>
      <c r="E902" t="s">
        <v>988</v>
      </c>
      <c r="F902" t="s">
        <v>606</v>
      </c>
      <c r="G902">
        <v>838</v>
      </c>
      <c r="H902" t="s">
        <v>1119</v>
      </c>
      <c r="I902" t="s">
        <v>1120</v>
      </c>
      <c r="J902" t="s">
        <v>988</v>
      </c>
      <c r="K902">
        <v>3340</v>
      </c>
      <c r="L902">
        <v>2</v>
      </c>
      <c r="M902">
        <v>166</v>
      </c>
      <c r="N902">
        <v>29870000</v>
      </c>
      <c r="O902">
        <v>7500</v>
      </c>
      <c r="P902">
        <v>119500</v>
      </c>
      <c r="Q902">
        <v>89600</v>
      </c>
      <c r="R902">
        <v>1400000</v>
      </c>
      <c r="S902">
        <v>100000</v>
      </c>
      <c r="T902">
        <v>2011</v>
      </c>
      <c r="U902" t="s">
        <v>995</v>
      </c>
      <c r="V902">
        <v>18</v>
      </c>
      <c r="W902">
        <v>61.9</v>
      </c>
      <c r="X902">
        <v>60297396</v>
      </c>
      <c r="Y902">
        <v>9.89</v>
      </c>
      <c r="Z902">
        <v>42651966</v>
      </c>
      <c r="AA902">
        <v>41.871940000000002</v>
      </c>
      <c r="AB902">
        <v>12.56738</v>
      </c>
    </row>
    <row r="903" spans="1:28" x14ac:dyDescent="0.3">
      <c r="A903">
        <v>902</v>
      </c>
      <c r="B903" t="s">
        <v>772</v>
      </c>
      <c r="C903">
        <v>13000000</v>
      </c>
      <c r="D903">
        <v>1024467771</v>
      </c>
      <c r="E903" t="s">
        <v>1044</v>
      </c>
      <c r="F903" t="s">
        <v>772</v>
      </c>
      <c r="G903">
        <v>625</v>
      </c>
      <c r="H903" t="s">
        <v>1019</v>
      </c>
      <c r="I903" t="s">
        <v>1020</v>
      </c>
      <c r="J903" t="s">
        <v>988</v>
      </c>
      <c r="K903">
        <v>11340</v>
      </c>
      <c r="L903">
        <v>51</v>
      </c>
      <c r="M903">
        <v>166</v>
      </c>
      <c r="N903">
        <v>3052000</v>
      </c>
      <c r="O903">
        <v>763</v>
      </c>
      <c r="P903">
        <v>12200</v>
      </c>
      <c r="Q903">
        <v>9200</v>
      </c>
      <c r="R903">
        <v>146500</v>
      </c>
      <c r="S903" t="s">
        <v>987</v>
      </c>
      <c r="T903">
        <v>2009</v>
      </c>
      <c r="U903" t="s">
        <v>980</v>
      </c>
      <c r="V903">
        <v>26</v>
      </c>
      <c r="W903">
        <v>51.3</v>
      </c>
      <c r="X903">
        <v>212559417</v>
      </c>
      <c r="Y903">
        <v>12.08</v>
      </c>
      <c r="Z903">
        <v>183241641</v>
      </c>
      <c r="AA903">
        <v>-14.235004</v>
      </c>
      <c r="AB903">
        <v>-51.925280000000001</v>
      </c>
    </row>
    <row r="904" spans="1:28" x14ac:dyDescent="0.3">
      <c r="A904">
        <v>903</v>
      </c>
      <c r="B904" t="s">
        <v>944</v>
      </c>
      <c r="C904">
        <v>13000000</v>
      </c>
      <c r="D904">
        <v>10664585</v>
      </c>
      <c r="E904" t="s">
        <v>988</v>
      </c>
      <c r="F904" t="s">
        <v>944</v>
      </c>
      <c r="G904">
        <v>29</v>
      </c>
      <c r="H904" t="s">
        <v>1081</v>
      </c>
      <c r="I904" t="s">
        <v>1082</v>
      </c>
      <c r="J904" t="s">
        <v>988</v>
      </c>
      <c r="K904">
        <v>772571</v>
      </c>
      <c r="L904">
        <v>31</v>
      </c>
      <c r="M904">
        <v>166</v>
      </c>
      <c r="N904">
        <v>2292000000</v>
      </c>
      <c r="O904">
        <v>0</v>
      </c>
      <c r="P904">
        <v>0</v>
      </c>
      <c r="Q904">
        <v>0</v>
      </c>
      <c r="R904">
        <v>0</v>
      </c>
      <c r="S904">
        <v>300000</v>
      </c>
      <c r="T904">
        <v>2016</v>
      </c>
      <c r="U904" t="s">
        <v>1003</v>
      </c>
      <c r="V904">
        <v>20</v>
      </c>
      <c r="W904">
        <v>36.299999999999997</v>
      </c>
      <c r="X904">
        <v>270203917</v>
      </c>
      <c r="Y904">
        <v>4.6900000000000004</v>
      </c>
      <c r="Z904">
        <v>151509724</v>
      </c>
      <c r="AA904">
        <v>-0.78927499999999995</v>
      </c>
      <c r="AB904">
        <v>113.92132700000001</v>
      </c>
    </row>
    <row r="905" spans="1:28" x14ac:dyDescent="0.3">
      <c r="A905">
        <v>904</v>
      </c>
      <c r="B905" t="s">
        <v>587</v>
      </c>
      <c r="C905">
        <v>13000000</v>
      </c>
      <c r="D905">
        <v>1698279553</v>
      </c>
      <c r="E905" t="s">
        <v>977</v>
      </c>
      <c r="F905" t="s">
        <v>587</v>
      </c>
      <c r="G905">
        <v>409</v>
      </c>
      <c r="H905" t="s">
        <v>1134</v>
      </c>
      <c r="I905" t="s">
        <v>1135</v>
      </c>
      <c r="J905" t="s">
        <v>977</v>
      </c>
      <c r="K905">
        <v>6059</v>
      </c>
      <c r="L905">
        <v>3</v>
      </c>
      <c r="M905">
        <v>143</v>
      </c>
      <c r="N905">
        <v>30471000</v>
      </c>
      <c r="O905">
        <v>7600</v>
      </c>
      <c r="P905">
        <v>121900</v>
      </c>
      <c r="Q905">
        <v>91400</v>
      </c>
      <c r="R905">
        <v>1500000</v>
      </c>
      <c r="S905">
        <v>100000</v>
      </c>
      <c r="T905">
        <v>2015</v>
      </c>
      <c r="U905" t="s">
        <v>980</v>
      </c>
      <c r="V905">
        <v>18</v>
      </c>
      <c r="W905">
        <v>65.599999999999994</v>
      </c>
      <c r="X905">
        <v>67059887</v>
      </c>
      <c r="Y905">
        <v>8.43</v>
      </c>
      <c r="Z905">
        <v>54123364</v>
      </c>
      <c r="AA905">
        <v>46.227637999999999</v>
      </c>
      <c r="AB905">
        <v>2.213749</v>
      </c>
    </row>
    <row r="906" spans="1:28" x14ac:dyDescent="0.3">
      <c r="A906">
        <v>905</v>
      </c>
      <c r="B906" t="s">
        <v>865</v>
      </c>
      <c r="C906">
        <v>13000000</v>
      </c>
      <c r="D906">
        <v>5057163256</v>
      </c>
      <c r="E906" t="s">
        <v>988</v>
      </c>
      <c r="F906" t="s">
        <v>1278</v>
      </c>
      <c r="G906">
        <v>8</v>
      </c>
      <c r="H906" t="s">
        <v>978</v>
      </c>
      <c r="I906" t="s">
        <v>979</v>
      </c>
      <c r="J906" t="s">
        <v>987</v>
      </c>
      <c r="K906">
        <v>3686280</v>
      </c>
      <c r="L906">
        <v>5227</v>
      </c>
      <c r="M906" t="s">
        <v>987</v>
      </c>
      <c r="N906">
        <v>2</v>
      </c>
      <c r="O906">
        <v>0</v>
      </c>
      <c r="P906">
        <v>0.01</v>
      </c>
      <c r="Q906">
        <v>0.01</v>
      </c>
      <c r="R906">
        <v>0.1</v>
      </c>
      <c r="S906" t="s">
        <v>987</v>
      </c>
      <c r="T906">
        <v>2021</v>
      </c>
      <c r="U906" t="s">
        <v>980</v>
      </c>
      <c r="V906">
        <v>18</v>
      </c>
      <c r="W906">
        <v>28.1</v>
      </c>
      <c r="X906">
        <v>1366417754</v>
      </c>
      <c r="Y906">
        <v>5.36</v>
      </c>
      <c r="Z906">
        <v>471031528</v>
      </c>
      <c r="AA906">
        <v>20.593684</v>
      </c>
      <c r="AB906">
        <v>78.962879999999998</v>
      </c>
    </row>
    <row r="907" spans="1:28" x14ac:dyDescent="0.3">
      <c r="A907">
        <v>906</v>
      </c>
      <c r="B907" t="s">
        <v>21</v>
      </c>
      <c r="C907">
        <v>13000000</v>
      </c>
      <c r="D907">
        <v>8739174649</v>
      </c>
      <c r="E907" t="s">
        <v>996</v>
      </c>
      <c r="F907" t="s">
        <v>21</v>
      </c>
      <c r="G907">
        <v>510</v>
      </c>
      <c r="H907" t="s">
        <v>1006</v>
      </c>
      <c r="I907" t="s">
        <v>1007</v>
      </c>
      <c r="J907" t="s">
        <v>986</v>
      </c>
      <c r="K907">
        <v>553</v>
      </c>
      <c r="L907">
        <v>15</v>
      </c>
      <c r="M907">
        <v>65</v>
      </c>
      <c r="N907">
        <v>1081000000</v>
      </c>
      <c r="O907">
        <v>270300</v>
      </c>
      <c r="P907">
        <v>4300000</v>
      </c>
      <c r="Q907">
        <v>3200000</v>
      </c>
      <c r="R907">
        <v>51900000</v>
      </c>
      <c r="S907">
        <v>1000000</v>
      </c>
      <c r="T907">
        <v>2020</v>
      </c>
      <c r="U907" t="s">
        <v>1015</v>
      </c>
      <c r="V907">
        <v>7</v>
      </c>
      <c r="W907">
        <v>94.3</v>
      </c>
      <c r="X907">
        <v>51709098</v>
      </c>
      <c r="Y907">
        <v>4.1500000000000004</v>
      </c>
      <c r="Z907">
        <v>42106719</v>
      </c>
      <c r="AA907">
        <v>35.907756999999997</v>
      </c>
      <c r="AB907">
        <v>127.76692199999999</v>
      </c>
    </row>
    <row r="908" spans="1:28" x14ac:dyDescent="0.3">
      <c r="A908">
        <v>907</v>
      </c>
      <c r="B908" t="s">
        <v>537</v>
      </c>
      <c r="C908">
        <v>13000000</v>
      </c>
      <c r="D908">
        <v>9999238237</v>
      </c>
      <c r="E908" t="s">
        <v>988</v>
      </c>
      <c r="F908" t="s">
        <v>537</v>
      </c>
      <c r="G908">
        <v>716</v>
      </c>
      <c r="H908" t="s">
        <v>984</v>
      </c>
      <c r="I908" t="s">
        <v>985</v>
      </c>
      <c r="J908" t="s">
        <v>988</v>
      </c>
      <c r="K908">
        <v>440</v>
      </c>
      <c r="L908">
        <v>170</v>
      </c>
      <c r="M908">
        <v>166</v>
      </c>
      <c r="N908">
        <v>41109000</v>
      </c>
      <c r="O908">
        <v>10300</v>
      </c>
      <c r="P908">
        <v>164400</v>
      </c>
      <c r="Q908">
        <v>123300</v>
      </c>
      <c r="R908">
        <v>2000000</v>
      </c>
      <c r="S908" t="s">
        <v>987</v>
      </c>
      <c r="T908">
        <v>2007</v>
      </c>
      <c r="U908" t="s">
        <v>999</v>
      </c>
      <c r="V908">
        <v>29</v>
      </c>
      <c r="W908">
        <v>88.2</v>
      </c>
      <c r="X908">
        <v>328239523</v>
      </c>
      <c r="Y908">
        <v>14.7</v>
      </c>
      <c r="Z908">
        <v>270663028</v>
      </c>
      <c r="AA908">
        <v>37.090240000000001</v>
      </c>
      <c r="AB908">
        <v>-95.712890999999999</v>
      </c>
    </row>
    <row r="909" spans="1:28" x14ac:dyDescent="0.3">
      <c r="A909">
        <v>908</v>
      </c>
      <c r="B909" t="s">
        <v>820</v>
      </c>
      <c r="C909">
        <v>13000000</v>
      </c>
      <c r="D909">
        <v>301547793</v>
      </c>
      <c r="E909" t="s">
        <v>987</v>
      </c>
      <c r="F909" t="s">
        <v>820</v>
      </c>
      <c r="G909">
        <v>22</v>
      </c>
      <c r="H909" t="s">
        <v>1041</v>
      </c>
      <c r="I909" t="s">
        <v>1042</v>
      </c>
      <c r="J909" t="s">
        <v>1002</v>
      </c>
      <c r="K909">
        <v>4035874</v>
      </c>
      <c r="L909">
        <v>3926</v>
      </c>
      <c r="M909">
        <v>7638</v>
      </c>
      <c r="N909">
        <v>590</v>
      </c>
      <c r="O909">
        <v>0.15</v>
      </c>
      <c r="P909">
        <v>2</v>
      </c>
      <c r="Q909">
        <v>2</v>
      </c>
      <c r="R909">
        <v>28</v>
      </c>
      <c r="S909">
        <v>8</v>
      </c>
      <c r="T909">
        <v>2021</v>
      </c>
      <c r="U909" t="s">
        <v>1010</v>
      </c>
      <c r="V909">
        <v>11</v>
      </c>
      <c r="W909">
        <v>9</v>
      </c>
      <c r="X909">
        <v>216565318</v>
      </c>
      <c r="Y909">
        <v>4.45</v>
      </c>
      <c r="Z909">
        <v>79927762</v>
      </c>
      <c r="AA909">
        <v>30.375321</v>
      </c>
      <c r="AB909">
        <v>69.345116000000004</v>
      </c>
    </row>
    <row r="910" spans="1:28" x14ac:dyDescent="0.3">
      <c r="A910">
        <v>909</v>
      </c>
      <c r="B910" t="s">
        <v>94</v>
      </c>
      <c r="C910">
        <v>13000000</v>
      </c>
      <c r="D910">
        <v>6270909026</v>
      </c>
      <c r="E910" t="s">
        <v>988</v>
      </c>
      <c r="F910" t="s">
        <v>94</v>
      </c>
      <c r="G910">
        <v>1299</v>
      </c>
      <c r="H910" t="s">
        <v>1058</v>
      </c>
      <c r="I910" t="s">
        <v>1059</v>
      </c>
      <c r="J910" t="s">
        <v>988</v>
      </c>
      <c r="K910">
        <v>969</v>
      </c>
      <c r="L910">
        <v>31</v>
      </c>
      <c r="M910">
        <v>165</v>
      </c>
      <c r="N910">
        <v>368437000</v>
      </c>
      <c r="O910">
        <v>92100</v>
      </c>
      <c r="P910">
        <v>1500000</v>
      </c>
      <c r="Q910">
        <v>1100000</v>
      </c>
      <c r="R910">
        <v>17700000</v>
      </c>
      <c r="S910">
        <v>600000</v>
      </c>
      <c r="T910">
        <v>2017</v>
      </c>
      <c r="U910" t="s">
        <v>980</v>
      </c>
      <c r="V910">
        <v>18</v>
      </c>
      <c r="W910">
        <v>40.200000000000003</v>
      </c>
      <c r="X910">
        <v>126014024</v>
      </c>
      <c r="Y910">
        <v>3.42</v>
      </c>
      <c r="Z910">
        <v>102626859</v>
      </c>
      <c r="AA910">
        <v>23.634501</v>
      </c>
      <c r="AB910">
        <v>-102.552784</v>
      </c>
    </row>
    <row r="911" spans="1:28" x14ac:dyDescent="0.3">
      <c r="A911">
        <v>910</v>
      </c>
      <c r="B911" t="s">
        <v>602</v>
      </c>
      <c r="C911">
        <v>13000000</v>
      </c>
      <c r="D911">
        <v>4349562794</v>
      </c>
      <c r="E911" t="s">
        <v>977</v>
      </c>
      <c r="F911" t="s">
        <v>602</v>
      </c>
      <c r="G911">
        <v>521</v>
      </c>
      <c r="H911" t="s">
        <v>1019</v>
      </c>
      <c r="I911" t="s">
        <v>1020</v>
      </c>
      <c r="J911" t="s">
        <v>977</v>
      </c>
      <c r="K911">
        <v>1692</v>
      </c>
      <c r="L911">
        <v>51</v>
      </c>
      <c r="M911">
        <v>144</v>
      </c>
      <c r="N911">
        <v>29526000</v>
      </c>
      <c r="O911">
        <v>7400</v>
      </c>
      <c r="P911">
        <v>118100</v>
      </c>
      <c r="Q911">
        <v>88600</v>
      </c>
      <c r="R911">
        <v>1400000</v>
      </c>
      <c r="S911" t="s">
        <v>987</v>
      </c>
      <c r="T911">
        <v>2012</v>
      </c>
      <c r="U911" t="s">
        <v>1008</v>
      </c>
      <c r="V911">
        <v>4</v>
      </c>
      <c r="W911">
        <v>51.3</v>
      </c>
      <c r="X911">
        <v>212559417</v>
      </c>
      <c r="Y911">
        <v>12.08</v>
      </c>
      <c r="Z911">
        <v>183241641</v>
      </c>
      <c r="AA911">
        <v>-14.235004</v>
      </c>
      <c r="AB911">
        <v>-51.925280000000001</v>
      </c>
    </row>
    <row r="912" spans="1:28" x14ac:dyDescent="0.3">
      <c r="A912">
        <v>911</v>
      </c>
      <c r="B912" t="s">
        <v>897</v>
      </c>
      <c r="C912">
        <v>13000000</v>
      </c>
      <c r="D912">
        <v>4637474071</v>
      </c>
      <c r="E912" t="s">
        <v>1044</v>
      </c>
      <c r="F912" t="s">
        <v>897</v>
      </c>
      <c r="G912">
        <v>612</v>
      </c>
      <c r="H912" t="s">
        <v>984</v>
      </c>
      <c r="I912" t="s">
        <v>985</v>
      </c>
      <c r="J912" t="s">
        <v>1002</v>
      </c>
      <c r="K912">
        <v>1557</v>
      </c>
      <c r="L912">
        <v>170</v>
      </c>
      <c r="M912">
        <v>57</v>
      </c>
      <c r="N912">
        <v>42412000</v>
      </c>
      <c r="O912">
        <v>0</v>
      </c>
      <c r="P912">
        <v>0</v>
      </c>
      <c r="Q912">
        <v>0</v>
      </c>
      <c r="R912">
        <v>0</v>
      </c>
      <c r="S912" t="s">
        <v>987</v>
      </c>
      <c r="T912">
        <v>2012</v>
      </c>
      <c r="U912" t="s">
        <v>1010</v>
      </c>
      <c r="V912">
        <v>24</v>
      </c>
      <c r="W912">
        <v>88.2</v>
      </c>
      <c r="X912">
        <v>328239523</v>
      </c>
      <c r="Y912">
        <v>14.7</v>
      </c>
      <c r="Z912">
        <v>270663028</v>
      </c>
      <c r="AA912">
        <v>37.090240000000001</v>
      </c>
      <c r="AB912">
        <v>-95.712890999999999</v>
      </c>
    </row>
    <row r="913" spans="1:28" x14ac:dyDescent="0.3">
      <c r="A913">
        <v>912</v>
      </c>
      <c r="B913" t="s">
        <v>586</v>
      </c>
      <c r="C913">
        <v>12900000</v>
      </c>
      <c r="D913">
        <v>2112274210</v>
      </c>
      <c r="E913" t="s">
        <v>994</v>
      </c>
      <c r="F913" t="s">
        <v>586</v>
      </c>
      <c r="G913">
        <v>4712</v>
      </c>
      <c r="H913" t="s">
        <v>1019</v>
      </c>
      <c r="I913" t="s">
        <v>1020</v>
      </c>
      <c r="J913" t="s">
        <v>1002</v>
      </c>
      <c r="K913">
        <v>4602</v>
      </c>
      <c r="L913">
        <v>52</v>
      </c>
      <c r="M913">
        <v>58</v>
      </c>
      <c r="N913">
        <v>31796000</v>
      </c>
      <c r="O913">
        <v>7900</v>
      </c>
      <c r="P913">
        <v>127200</v>
      </c>
      <c r="Q913">
        <v>95400</v>
      </c>
      <c r="R913">
        <v>1500000</v>
      </c>
      <c r="S913">
        <v>100000</v>
      </c>
      <c r="T913">
        <v>2013</v>
      </c>
      <c r="U913" t="s">
        <v>1003</v>
      </c>
      <c r="V913">
        <v>19</v>
      </c>
      <c r="W913">
        <v>51.3</v>
      </c>
      <c r="X913">
        <v>212559417</v>
      </c>
      <c r="Y913">
        <v>12.08</v>
      </c>
      <c r="Z913">
        <v>183241641</v>
      </c>
      <c r="AA913">
        <v>-14.235004</v>
      </c>
      <c r="AB913">
        <v>-51.925280000000001</v>
      </c>
    </row>
    <row r="914" spans="1:28" x14ac:dyDescent="0.3">
      <c r="A914">
        <v>913</v>
      </c>
      <c r="B914" t="s">
        <v>797</v>
      </c>
      <c r="C914">
        <v>12900000</v>
      </c>
      <c r="D914">
        <v>140022442</v>
      </c>
      <c r="E914" t="s">
        <v>988</v>
      </c>
      <c r="F914" t="s">
        <v>797</v>
      </c>
      <c r="G914">
        <v>69</v>
      </c>
      <c r="H914" t="s">
        <v>1019</v>
      </c>
      <c r="I914" t="s">
        <v>1020</v>
      </c>
      <c r="J914" t="s">
        <v>988</v>
      </c>
      <c r="K914">
        <v>93531</v>
      </c>
      <c r="L914">
        <v>52</v>
      </c>
      <c r="M914">
        <v>167</v>
      </c>
      <c r="N914">
        <v>147626</v>
      </c>
      <c r="O914">
        <v>37</v>
      </c>
      <c r="P914">
        <v>591</v>
      </c>
      <c r="Q914">
        <v>443</v>
      </c>
      <c r="R914">
        <v>7100</v>
      </c>
      <c r="S914" t="s">
        <v>987</v>
      </c>
      <c r="T914">
        <v>2015</v>
      </c>
      <c r="U914" t="s">
        <v>1003</v>
      </c>
      <c r="V914">
        <v>27</v>
      </c>
      <c r="W914">
        <v>51.3</v>
      </c>
      <c r="X914">
        <v>212559417</v>
      </c>
      <c r="Y914">
        <v>12.08</v>
      </c>
      <c r="Z914">
        <v>183241641</v>
      </c>
      <c r="AA914">
        <v>-14.235004</v>
      </c>
      <c r="AB914">
        <v>-51.925280000000001</v>
      </c>
    </row>
    <row r="915" spans="1:28" x14ac:dyDescent="0.3">
      <c r="A915">
        <v>914</v>
      </c>
      <c r="B915" t="s">
        <v>712</v>
      </c>
      <c r="C915">
        <v>12900000</v>
      </c>
      <c r="D915">
        <v>2509752944</v>
      </c>
      <c r="E915" t="s">
        <v>1004</v>
      </c>
      <c r="F915" t="s">
        <v>712</v>
      </c>
      <c r="G915">
        <v>1572</v>
      </c>
      <c r="H915" t="s">
        <v>1065</v>
      </c>
      <c r="I915" t="s">
        <v>1066</v>
      </c>
      <c r="J915" t="s">
        <v>1004</v>
      </c>
      <c r="K915">
        <v>3645</v>
      </c>
      <c r="L915">
        <v>17</v>
      </c>
      <c r="M915">
        <v>12</v>
      </c>
      <c r="N915">
        <v>11993000</v>
      </c>
      <c r="O915">
        <v>3000</v>
      </c>
      <c r="P915">
        <v>48000</v>
      </c>
      <c r="Q915">
        <v>36000</v>
      </c>
      <c r="R915">
        <v>575700</v>
      </c>
      <c r="S915">
        <v>100000</v>
      </c>
      <c r="T915">
        <v>2010</v>
      </c>
      <c r="U915" t="s">
        <v>1029</v>
      </c>
      <c r="V915">
        <v>1</v>
      </c>
      <c r="W915">
        <v>88.9</v>
      </c>
      <c r="X915">
        <v>47076781</v>
      </c>
      <c r="Y915">
        <v>13.96</v>
      </c>
      <c r="Z915">
        <v>37927409</v>
      </c>
      <c r="AA915">
        <v>40.463667000000001</v>
      </c>
      <c r="AB915">
        <v>-3.7492200000000002</v>
      </c>
    </row>
    <row r="916" spans="1:28" x14ac:dyDescent="0.3">
      <c r="A916">
        <v>915</v>
      </c>
      <c r="B916" t="s">
        <v>766</v>
      </c>
      <c r="C916">
        <v>12900000</v>
      </c>
      <c r="D916">
        <v>3178222797</v>
      </c>
      <c r="E916" t="s">
        <v>988</v>
      </c>
      <c r="F916" t="s">
        <v>766</v>
      </c>
      <c r="G916">
        <v>193</v>
      </c>
      <c r="H916" t="s">
        <v>1006</v>
      </c>
      <c r="I916" t="s">
        <v>1007</v>
      </c>
      <c r="J916" t="s">
        <v>988</v>
      </c>
      <c r="K916">
        <v>2649</v>
      </c>
      <c r="L916">
        <v>16</v>
      </c>
      <c r="M916">
        <v>167</v>
      </c>
      <c r="N916">
        <v>4001000</v>
      </c>
      <c r="O916">
        <v>1000</v>
      </c>
      <c r="P916">
        <v>16000</v>
      </c>
      <c r="Q916">
        <v>12000</v>
      </c>
      <c r="R916">
        <v>192100</v>
      </c>
      <c r="S916" t="s">
        <v>987</v>
      </c>
      <c r="T916">
        <v>2016</v>
      </c>
      <c r="U916" t="s">
        <v>1010</v>
      </c>
      <c r="V916">
        <v>8</v>
      </c>
      <c r="W916">
        <v>94.3</v>
      </c>
      <c r="X916">
        <v>51709098</v>
      </c>
      <c r="Y916">
        <v>4.1500000000000004</v>
      </c>
      <c r="Z916">
        <v>42106719</v>
      </c>
      <c r="AA916">
        <v>35.907756999999997</v>
      </c>
      <c r="AB916">
        <v>127.76692199999999</v>
      </c>
    </row>
    <row r="917" spans="1:28" x14ac:dyDescent="0.3">
      <c r="A917">
        <v>916</v>
      </c>
      <c r="B917" t="s">
        <v>594</v>
      </c>
      <c r="C917">
        <v>12900000</v>
      </c>
      <c r="D917">
        <v>3643698504</v>
      </c>
      <c r="E917" t="s">
        <v>988</v>
      </c>
      <c r="F917" t="s">
        <v>594</v>
      </c>
      <c r="G917">
        <v>1598</v>
      </c>
      <c r="H917" t="s">
        <v>984</v>
      </c>
      <c r="I917" t="s">
        <v>985</v>
      </c>
      <c r="J917" t="s">
        <v>988</v>
      </c>
      <c r="K917">
        <v>2177</v>
      </c>
      <c r="L917">
        <v>171</v>
      </c>
      <c r="M917">
        <v>167</v>
      </c>
      <c r="N917">
        <v>29379000</v>
      </c>
      <c r="O917">
        <v>7300</v>
      </c>
      <c r="P917">
        <v>117500</v>
      </c>
      <c r="Q917">
        <v>88100</v>
      </c>
      <c r="R917">
        <v>1400000</v>
      </c>
      <c r="S917">
        <v>100000</v>
      </c>
      <c r="T917">
        <v>2014</v>
      </c>
      <c r="U917" t="s">
        <v>1003</v>
      </c>
      <c r="V917">
        <v>2</v>
      </c>
      <c r="W917">
        <v>88.2</v>
      </c>
      <c r="X917">
        <v>328239523</v>
      </c>
      <c r="Y917">
        <v>14.7</v>
      </c>
      <c r="Z917">
        <v>270663028</v>
      </c>
      <c r="AA917">
        <v>37.090240000000001</v>
      </c>
      <c r="AB917">
        <v>-95.712890999999999</v>
      </c>
    </row>
    <row r="918" spans="1:28" x14ac:dyDescent="0.3">
      <c r="A918">
        <v>917</v>
      </c>
      <c r="B918" t="s">
        <v>369</v>
      </c>
      <c r="C918">
        <v>12900000</v>
      </c>
      <c r="D918">
        <v>6300933122</v>
      </c>
      <c r="E918" t="s">
        <v>977</v>
      </c>
      <c r="F918" t="s">
        <v>369</v>
      </c>
      <c r="G918">
        <v>39</v>
      </c>
      <c r="H918" t="s">
        <v>984</v>
      </c>
      <c r="I918" t="s">
        <v>985</v>
      </c>
      <c r="J918" t="s">
        <v>977</v>
      </c>
      <c r="K918">
        <v>976</v>
      </c>
      <c r="L918">
        <v>171</v>
      </c>
      <c r="M918">
        <v>145</v>
      </c>
      <c r="N918">
        <v>91240000</v>
      </c>
      <c r="O918">
        <v>22800</v>
      </c>
      <c r="P918">
        <v>365000</v>
      </c>
      <c r="Q918">
        <v>273700</v>
      </c>
      <c r="R918">
        <v>4400000</v>
      </c>
      <c r="S918">
        <v>100000</v>
      </c>
      <c r="T918">
        <v>2005</v>
      </c>
      <c r="U918" t="s">
        <v>1029</v>
      </c>
      <c r="V918">
        <v>5</v>
      </c>
      <c r="W918">
        <v>88.2</v>
      </c>
      <c r="X918">
        <v>328239523</v>
      </c>
      <c r="Y918">
        <v>14.7</v>
      </c>
      <c r="Z918">
        <v>270663028</v>
      </c>
      <c r="AA918">
        <v>37.090240000000001</v>
      </c>
      <c r="AB918">
        <v>-95.712890999999999</v>
      </c>
    </row>
    <row r="919" spans="1:28" x14ac:dyDescent="0.3">
      <c r="A919">
        <v>918</v>
      </c>
      <c r="B919" t="s">
        <v>401</v>
      </c>
      <c r="C919">
        <v>12900000</v>
      </c>
      <c r="D919">
        <v>7520379951</v>
      </c>
      <c r="E919" t="s">
        <v>994</v>
      </c>
      <c r="F919" t="s">
        <v>401</v>
      </c>
      <c r="G919">
        <v>169304</v>
      </c>
      <c r="H919" t="s">
        <v>1062</v>
      </c>
      <c r="I919" t="s">
        <v>1063</v>
      </c>
      <c r="J919" t="s">
        <v>1027</v>
      </c>
      <c r="K919">
        <v>737</v>
      </c>
      <c r="L919">
        <v>8</v>
      </c>
      <c r="M919">
        <v>23</v>
      </c>
      <c r="N919">
        <v>80219000</v>
      </c>
      <c r="O919">
        <v>20100</v>
      </c>
      <c r="P919">
        <v>320900</v>
      </c>
      <c r="Q919">
        <v>240700</v>
      </c>
      <c r="R919">
        <v>3900000</v>
      </c>
      <c r="S919">
        <v>100000</v>
      </c>
      <c r="T919">
        <v>2006</v>
      </c>
      <c r="U919" t="s">
        <v>991</v>
      </c>
      <c r="V919">
        <v>19</v>
      </c>
      <c r="W919">
        <v>36.799999999999997</v>
      </c>
      <c r="X919">
        <v>9770529</v>
      </c>
      <c r="Y919">
        <v>2.35</v>
      </c>
      <c r="Z919">
        <v>8479744</v>
      </c>
      <c r="AA919">
        <v>23.424075999999999</v>
      </c>
      <c r="AB919">
        <v>53.847817999999997</v>
      </c>
    </row>
    <row r="920" spans="1:28" x14ac:dyDescent="0.3">
      <c r="A920">
        <v>919</v>
      </c>
      <c r="B920" t="s">
        <v>180</v>
      </c>
      <c r="C920">
        <v>12900000</v>
      </c>
      <c r="D920">
        <v>11504090820</v>
      </c>
      <c r="E920" t="s">
        <v>977</v>
      </c>
      <c r="F920" t="s">
        <v>180</v>
      </c>
      <c r="G920">
        <v>168</v>
      </c>
      <c r="H920" t="s">
        <v>987</v>
      </c>
      <c r="I920" t="s">
        <v>987</v>
      </c>
      <c r="J920" t="s">
        <v>977</v>
      </c>
      <c r="K920">
        <v>348</v>
      </c>
      <c r="L920">
        <v>5</v>
      </c>
      <c r="M920">
        <v>145</v>
      </c>
      <c r="N920">
        <v>205548000</v>
      </c>
      <c r="O920">
        <v>51400</v>
      </c>
      <c r="P920">
        <v>822200</v>
      </c>
      <c r="Q920">
        <v>616600</v>
      </c>
      <c r="R920">
        <v>9900000</v>
      </c>
      <c r="S920">
        <v>100000</v>
      </c>
      <c r="T920">
        <v>2014</v>
      </c>
      <c r="U920" t="s">
        <v>1005</v>
      </c>
      <c r="V920">
        <v>11</v>
      </c>
      <c r="W920" t="s">
        <v>987</v>
      </c>
      <c r="X920" t="s">
        <v>987</v>
      </c>
      <c r="Y920" t="s">
        <v>987</v>
      </c>
      <c r="Z920" t="s">
        <v>987</v>
      </c>
      <c r="AA920" t="s">
        <v>987</v>
      </c>
      <c r="AB920" t="s">
        <v>987</v>
      </c>
    </row>
    <row r="921" spans="1:28" x14ac:dyDescent="0.3">
      <c r="A921">
        <v>920</v>
      </c>
      <c r="B921" t="s">
        <v>416</v>
      </c>
      <c r="C921">
        <v>12900000</v>
      </c>
      <c r="D921">
        <v>15446707595</v>
      </c>
      <c r="E921" t="s">
        <v>977</v>
      </c>
      <c r="F921" t="s">
        <v>416</v>
      </c>
      <c r="G921">
        <v>137</v>
      </c>
      <c r="H921" t="s">
        <v>984</v>
      </c>
      <c r="I921" t="s">
        <v>985</v>
      </c>
      <c r="J921" t="s">
        <v>977</v>
      </c>
      <c r="K921">
        <v>210</v>
      </c>
      <c r="L921">
        <v>171</v>
      </c>
      <c r="M921">
        <v>145</v>
      </c>
      <c r="N921">
        <v>75773000</v>
      </c>
      <c r="O921">
        <v>18900</v>
      </c>
      <c r="P921">
        <v>303100</v>
      </c>
      <c r="Q921">
        <v>227300</v>
      </c>
      <c r="R921">
        <v>3600000</v>
      </c>
      <c r="S921">
        <v>100000</v>
      </c>
      <c r="T921">
        <v>2009</v>
      </c>
      <c r="U921" t="s">
        <v>995</v>
      </c>
      <c r="V921">
        <v>12</v>
      </c>
      <c r="W921">
        <v>88.2</v>
      </c>
      <c r="X921">
        <v>328239523</v>
      </c>
      <c r="Y921">
        <v>14.7</v>
      </c>
      <c r="Z921">
        <v>270663028</v>
      </c>
      <c r="AA921">
        <v>37.090240000000001</v>
      </c>
      <c r="AB921">
        <v>-95.712890999999999</v>
      </c>
    </row>
    <row r="922" spans="1:28" x14ac:dyDescent="0.3">
      <c r="A922">
        <v>921</v>
      </c>
      <c r="B922" t="s">
        <v>1279</v>
      </c>
      <c r="C922">
        <v>12900000</v>
      </c>
      <c r="D922">
        <v>5585085130</v>
      </c>
      <c r="E922" t="s">
        <v>992</v>
      </c>
      <c r="F922" t="s">
        <v>1279</v>
      </c>
      <c r="G922">
        <v>1255</v>
      </c>
      <c r="H922" t="s">
        <v>1152</v>
      </c>
      <c r="I922" t="s">
        <v>1153</v>
      </c>
      <c r="J922" t="s">
        <v>988</v>
      </c>
      <c r="K922">
        <v>1164</v>
      </c>
      <c r="L922">
        <v>6</v>
      </c>
      <c r="M922">
        <v>166</v>
      </c>
      <c r="N922">
        <v>71118000</v>
      </c>
      <c r="O922">
        <v>17800</v>
      </c>
      <c r="P922">
        <v>284500</v>
      </c>
      <c r="Q922">
        <v>213400</v>
      </c>
      <c r="R922">
        <v>3400000</v>
      </c>
      <c r="S922">
        <v>200000</v>
      </c>
      <c r="T922">
        <v>2014</v>
      </c>
      <c r="U922" t="s">
        <v>1015</v>
      </c>
      <c r="V922">
        <v>17</v>
      </c>
      <c r="W922">
        <v>82.7</v>
      </c>
      <c r="X922">
        <v>44385155</v>
      </c>
      <c r="Y922">
        <v>8.8800000000000008</v>
      </c>
      <c r="Z922">
        <v>30835699</v>
      </c>
      <c r="AA922">
        <v>48.379432999999999</v>
      </c>
      <c r="AB922">
        <v>31.165579999999999</v>
      </c>
    </row>
    <row r="923" spans="1:28" x14ac:dyDescent="0.3">
      <c r="A923">
        <v>922</v>
      </c>
      <c r="B923" t="s">
        <v>790</v>
      </c>
      <c r="C923">
        <v>12900000</v>
      </c>
      <c r="D923">
        <v>2848466522</v>
      </c>
      <c r="E923" t="s">
        <v>990</v>
      </c>
      <c r="F923" t="s">
        <v>790</v>
      </c>
      <c r="G923">
        <v>2337</v>
      </c>
      <c r="H923" t="s">
        <v>1081</v>
      </c>
      <c r="I923" t="s">
        <v>1082</v>
      </c>
      <c r="J923" t="s">
        <v>988</v>
      </c>
      <c r="K923">
        <v>3109</v>
      </c>
      <c r="L923">
        <v>32</v>
      </c>
      <c r="M923">
        <v>167</v>
      </c>
      <c r="N923">
        <v>837700</v>
      </c>
      <c r="O923">
        <v>209</v>
      </c>
      <c r="P923">
        <v>3400</v>
      </c>
      <c r="Q923">
        <v>2500</v>
      </c>
      <c r="R923">
        <v>40200</v>
      </c>
      <c r="S923" t="s">
        <v>987</v>
      </c>
      <c r="T923">
        <v>2016</v>
      </c>
      <c r="U923" t="s">
        <v>1025</v>
      </c>
      <c r="V923">
        <v>26</v>
      </c>
      <c r="W923">
        <v>36.299999999999997</v>
      </c>
      <c r="X923">
        <v>270203917</v>
      </c>
      <c r="Y923">
        <v>4.6900000000000004</v>
      </c>
      <c r="Z923">
        <v>151509724</v>
      </c>
      <c r="AA923">
        <v>-0.78927499999999995</v>
      </c>
      <c r="AB923">
        <v>113.92132700000001</v>
      </c>
    </row>
    <row r="924" spans="1:28" x14ac:dyDescent="0.3">
      <c r="A924">
        <v>923</v>
      </c>
      <c r="B924" t="s">
        <v>612</v>
      </c>
      <c r="C924">
        <v>12800000</v>
      </c>
      <c r="D924">
        <v>3632438963</v>
      </c>
      <c r="E924" t="s">
        <v>988</v>
      </c>
      <c r="F924" t="s">
        <v>612</v>
      </c>
      <c r="G924">
        <v>233</v>
      </c>
      <c r="H924" t="s">
        <v>1013</v>
      </c>
      <c r="I924" t="s">
        <v>1014</v>
      </c>
      <c r="J924" t="s">
        <v>1022</v>
      </c>
      <c r="K924">
        <v>2184</v>
      </c>
      <c r="L924">
        <v>31</v>
      </c>
      <c r="M924">
        <v>45</v>
      </c>
      <c r="N924">
        <v>27957000</v>
      </c>
      <c r="O924">
        <v>7000</v>
      </c>
      <c r="P924">
        <v>111800</v>
      </c>
      <c r="Q924">
        <v>83900</v>
      </c>
      <c r="R924">
        <v>1300000</v>
      </c>
      <c r="S924" t="s">
        <v>987</v>
      </c>
      <c r="T924">
        <v>2014</v>
      </c>
      <c r="U924" t="s">
        <v>991</v>
      </c>
      <c r="V924">
        <v>2</v>
      </c>
      <c r="W924">
        <v>60</v>
      </c>
      <c r="X924">
        <v>66834405</v>
      </c>
      <c r="Y924">
        <v>3.85</v>
      </c>
      <c r="Z924">
        <v>55908316</v>
      </c>
      <c r="AA924">
        <v>55.378050999999999</v>
      </c>
      <c r="AB924">
        <v>-3.4359730000000002</v>
      </c>
    </row>
    <row r="925" spans="1:28" x14ac:dyDescent="0.3">
      <c r="A925">
        <v>924</v>
      </c>
      <c r="B925" t="s">
        <v>564</v>
      </c>
      <c r="C925">
        <v>12800000</v>
      </c>
      <c r="D925">
        <v>5863456698</v>
      </c>
      <c r="E925" t="s">
        <v>1044</v>
      </c>
      <c r="F925" t="s">
        <v>1280</v>
      </c>
      <c r="G925">
        <v>1727</v>
      </c>
      <c r="H925" t="s">
        <v>1190</v>
      </c>
      <c r="I925" t="s">
        <v>1191</v>
      </c>
      <c r="J925" t="s">
        <v>1044</v>
      </c>
      <c r="K925">
        <v>1087</v>
      </c>
      <c r="L925">
        <v>2</v>
      </c>
      <c r="M925">
        <v>40</v>
      </c>
      <c r="N925">
        <v>35336000</v>
      </c>
      <c r="O925">
        <v>8800</v>
      </c>
      <c r="P925">
        <v>141300</v>
      </c>
      <c r="Q925">
        <v>106000</v>
      </c>
      <c r="R925">
        <v>1700000</v>
      </c>
      <c r="S925" t="s">
        <v>987</v>
      </c>
      <c r="T925">
        <v>2016</v>
      </c>
      <c r="U925" t="s">
        <v>1003</v>
      </c>
      <c r="V925">
        <v>30</v>
      </c>
      <c r="W925">
        <v>16.2</v>
      </c>
      <c r="X925">
        <v>39309783</v>
      </c>
      <c r="Y925">
        <v>12.82</v>
      </c>
      <c r="Z925">
        <v>27783368</v>
      </c>
      <c r="AA925">
        <v>33.223191</v>
      </c>
      <c r="AB925">
        <v>43.679290999999999</v>
      </c>
    </row>
    <row r="926" spans="1:28" x14ac:dyDescent="0.3">
      <c r="A926">
        <v>925</v>
      </c>
      <c r="B926" t="s">
        <v>477</v>
      </c>
      <c r="C926">
        <v>12800000</v>
      </c>
      <c r="D926">
        <v>6662288136</v>
      </c>
      <c r="E926" t="s">
        <v>977</v>
      </c>
      <c r="F926" t="s">
        <v>477</v>
      </c>
      <c r="G926">
        <v>323</v>
      </c>
      <c r="H926" t="s">
        <v>1065</v>
      </c>
      <c r="I926" t="s">
        <v>1066</v>
      </c>
      <c r="J926" t="s">
        <v>990</v>
      </c>
      <c r="K926">
        <v>896</v>
      </c>
      <c r="L926">
        <v>17</v>
      </c>
      <c r="M926">
        <v>44</v>
      </c>
      <c r="N926">
        <v>53988000</v>
      </c>
      <c r="O926">
        <v>13500</v>
      </c>
      <c r="P926">
        <v>216000</v>
      </c>
      <c r="Q926">
        <v>162000</v>
      </c>
      <c r="R926">
        <v>2600000</v>
      </c>
      <c r="S926">
        <v>100000</v>
      </c>
      <c r="T926">
        <v>2013</v>
      </c>
      <c r="U926" t="s">
        <v>980</v>
      </c>
      <c r="V926">
        <v>26</v>
      </c>
      <c r="W926">
        <v>88.9</v>
      </c>
      <c r="X926">
        <v>47076781</v>
      </c>
      <c r="Y926">
        <v>13.96</v>
      </c>
      <c r="Z926">
        <v>37927409</v>
      </c>
      <c r="AA926">
        <v>40.463667000000001</v>
      </c>
      <c r="AB926">
        <v>-3.7492200000000002</v>
      </c>
    </row>
    <row r="927" spans="1:28" x14ac:dyDescent="0.3">
      <c r="A927">
        <v>926</v>
      </c>
      <c r="B927" t="s">
        <v>673</v>
      </c>
      <c r="C927">
        <v>12800000</v>
      </c>
      <c r="D927">
        <v>6804072897</v>
      </c>
      <c r="E927" t="s">
        <v>1011</v>
      </c>
      <c r="F927" t="s">
        <v>673</v>
      </c>
      <c r="G927">
        <v>2385</v>
      </c>
      <c r="H927" t="s">
        <v>987</v>
      </c>
      <c r="I927" t="s">
        <v>987</v>
      </c>
      <c r="J927" t="s">
        <v>1053</v>
      </c>
      <c r="K927">
        <v>873</v>
      </c>
      <c r="L927" t="s">
        <v>987</v>
      </c>
      <c r="M927">
        <v>35</v>
      </c>
      <c r="N927">
        <v>17270000</v>
      </c>
      <c r="O927">
        <v>4300</v>
      </c>
      <c r="P927">
        <v>69100</v>
      </c>
      <c r="Q927">
        <v>51800</v>
      </c>
      <c r="R927">
        <v>829000</v>
      </c>
      <c r="S927" t="s">
        <v>987</v>
      </c>
      <c r="T927">
        <v>2015</v>
      </c>
      <c r="U927" t="s">
        <v>999</v>
      </c>
      <c r="V927">
        <v>19</v>
      </c>
      <c r="W927" t="s">
        <v>987</v>
      </c>
      <c r="X927" t="s">
        <v>987</v>
      </c>
      <c r="Y927" t="s">
        <v>987</v>
      </c>
      <c r="Z927" t="s">
        <v>987</v>
      </c>
      <c r="AA927" t="s">
        <v>987</v>
      </c>
      <c r="AB927" t="s">
        <v>987</v>
      </c>
    </row>
    <row r="928" spans="1:28" x14ac:dyDescent="0.3">
      <c r="A928">
        <v>927</v>
      </c>
      <c r="B928" t="s">
        <v>667</v>
      </c>
      <c r="C928">
        <v>12800000</v>
      </c>
      <c r="D928">
        <v>6970899521</v>
      </c>
      <c r="E928" t="s">
        <v>988</v>
      </c>
      <c r="F928" t="s">
        <v>667</v>
      </c>
      <c r="G928">
        <v>3483</v>
      </c>
      <c r="H928" t="s">
        <v>1017</v>
      </c>
      <c r="I928" t="s">
        <v>1018</v>
      </c>
      <c r="J928" t="s">
        <v>988</v>
      </c>
      <c r="K928">
        <v>842</v>
      </c>
      <c r="L928">
        <v>13</v>
      </c>
      <c r="M928">
        <v>168</v>
      </c>
      <c r="N928">
        <v>18118000</v>
      </c>
      <c r="O928">
        <v>4500</v>
      </c>
      <c r="P928">
        <v>72500</v>
      </c>
      <c r="Q928">
        <v>54400</v>
      </c>
      <c r="R928">
        <v>869600</v>
      </c>
      <c r="S928" t="s">
        <v>987</v>
      </c>
      <c r="T928">
        <v>2010</v>
      </c>
      <c r="U928" t="s">
        <v>999</v>
      </c>
      <c r="V928">
        <v>9</v>
      </c>
      <c r="W928">
        <v>68.900000000000006</v>
      </c>
      <c r="X928">
        <v>36991981</v>
      </c>
      <c r="Y928">
        <v>5.56</v>
      </c>
      <c r="Z928">
        <v>30628482</v>
      </c>
      <c r="AA928">
        <v>56.130366000000002</v>
      </c>
      <c r="AB928">
        <v>-106.346771</v>
      </c>
    </row>
    <row r="929" spans="1:28" x14ac:dyDescent="0.3">
      <c r="A929">
        <v>928</v>
      </c>
      <c r="B929" t="s">
        <v>169</v>
      </c>
      <c r="C929">
        <v>12800000</v>
      </c>
      <c r="D929">
        <v>9502983550</v>
      </c>
      <c r="E929" t="s">
        <v>1044</v>
      </c>
      <c r="F929" t="s">
        <v>169</v>
      </c>
      <c r="G929">
        <v>681</v>
      </c>
      <c r="H929" t="s">
        <v>984</v>
      </c>
      <c r="I929" t="s">
        <v>985</v>
      </c>
      <c r="J929" t="s">
        <v>1044</v>
      </c>
      <c r="K929">
        <v>492</v>
      </c>
      <c r="L929">
        <v>171</v>
      </c>
      <c r="M929">
        <v>39</v>
      </c>
      <c r="N929">
        <v>228951000</v>
      </c>
      <c r="O929">
        <v>57200</v>
      </c>
      <c r="P929">
        <v>915800</v>
      </c>
      <c r="Q929">
        <v>686900</v>
      </c>
      <c r="R929">
        <v>11000000</v>
      </c>
      <c r="S929">
        <v>200000</v>
      </c>
      <c r="T929">
        <v>2015</v>
      </c>
      <c r="U929" t="s">
        <v>1025</v>
      </c>
      <c r="V929">
        <v>4</v>
      </c>
      <c r="W929">
        <v>88.2</v>
      </c>
      <c r="X929">
        <v>328239523</v>
      </c>
      <c r="Y929">
        <v>14.7</v>
      </c>
      <c r="Z929">
        <v>270663028</v>
      </c>
      <c r="AA929">
        <v>37.090240000000001</v>
      </c>
      <c r="AB929">
        <v>-95.712890999999999</v>
      </c>
    </row>
    <row r="930" spans="1:28" x14ac:dyDescent="0.3">
      <c r="A930">
        <v>929</v>
      </c>
      <c r="B930" t="s">
        <v>174</v>
      </c>
      <c r="C930">
        <v>12800000</v>
      </c>
      <c r="D930">
        <v>7876740921</v>
      </c>
      <c r="E930" t="s">
        <v>990</v>
      </c>
      <c r="F930" t="s">
        <v>174</v>
      </c>
      <c r="G930">
        <v>2044</v>
      </c>
      <c r="H930" t="s">
        <v>978</v>
      </c>
      <c r="I930" t="s">
        <v>979</v>
      </c>
      <c r="J930" t="s">
        <v>990</v>
      </c>
      <c r="K930">
        <v>670</v>
      </c>
      <c r="L930">
        <v>120</v>
      </c>
      <c r="M930">
        <v>45</v>
      </c>
      <c r="N930">
        <v>213738000</v>
      </c>
      <c r="O930">
        <v>53400</v>
      </c>
      <c r="P930">
        <v>855000</v>
      </c>
      <c r="Q930">
        <v>641200</v>
      </c>
      <c r="R930">
        <v>10300000</v>
      </c>
      <c r="S930">
        <v>300000</v>
      </c>
      <c r="T930">
        <v>2020</v>
      </c>
      <c r="U930" t="s">
        <v>999</v>
      </c>
      <c r="V930">
        <v>23</v>
      </c>
      <c r="W930">
        <v>28.1</v>
      </c>
      <c r="X930">
        <v>1366417754</v>
      </c>
      <c r="Y930">
        <v>5.36</v>
      </c>
      <c r="Z930">
        <v>471031528</v>
      </c>
      <c r="AA930">
        <v>20.593684</v>
      </c>
      <c r="AB930">
        <v>78.962879999999998</v>
      </c>
    </row>
    <row r="931" spans="1:28" x14ac:dyDescent="0.3">
      <c r="A931">
        <v>930</v>
      </c>
      <c r="B931" t="s">
        <v>377</v>
      </c>
      <c r="C931">
        <v>12800000</v>
      </c>
      <c r="D931">
        <v>14185611472</v>
      </c>
      <c r="E931" t="s">
        <v>977</v>
      </c>
      <c r="F931" t="s">
        <v>377</v>
      </c>
      <c r="G931">
        <v>168</v>
      </c>
      <c r="H931" t="s">
        <v>984</v>
      </c>
      <c r="I931" t="s">
        <v>985</v>
      </c>
      <c r="J931" t="s">
        <v>977</v>
      </c>
      <c r="K931">
        <v>250</v>
      </c>
      <c r="L931">
        <v>172</v>
      </c>
      <c r="M931">
        <v>146</v>
      </c>
      <c r="N931">
        <v>89566000</v>
      </c>
      <c r="O931">
        <v>22400</v>
      </c>
      <c r="P931">
        <v>358300</v>
      </c>
      <c r="Q931">
        <v>268700</v>
      </c>
      <c r="R931">
        <v>4300000</v>
      </c>
      <c r="S931" t="s">
        <v>987</v>
      </c>
      <c r="T931">
        <v>2009</v>
      </c>
      <c r="U931" t="s">
        <v>991</v>
      </c>
      <c r="V931">
        <v>2</v>
      </c>
      <c r="W931">
        <v>88.2</v>
      </c>
      <c r="X931">
        <v>328239523</v>
      </c>
      <c r="Y931">
        <v>14.7</v>
      </c>
      <c r="Z931">
        <v>270663028</v>
      </c>
      <c r="AA931">
        <v>37.090240000000001</v>
      </c>
      <c r="AB931">
        <v>-95.712890999999999</v>
      </c>
    </row>
    <row r="932" spans="1:28" x14ac:dyDescent="0.3">
      <c r="A932">
        <v>931</v>
      </c>
      <c r="B932" t="s">
        <v>487</v>
      </c>
      <c r="C932">
        <v>12700000</v>
      </c>
      <c r="D932">
        <v>1159290255</v>
      </c>
      <c r="E932" t="s">
        <v>987</v>
      </c>
      <c r="F932" t="s">
        <v>487</v>
      </c>
      <c r="G932">
        <v>782</v>
      </c>
      <c r="H932" t="s">
        <v>978</v>
      </c>
      <c r="I932" t="s">
        <v>979</v>
      </c>
      <c r="J932" t="s">
        <v>986</v>
      </c>
      <c r="K932">
        <v>9683</v>
      </c>
      <c r="L932">
        <v>120</v>
      </c>
      <c r="M932">
        <v>66</v>
      </c>
      <c r="N932">
        <v>51291000</v>
      </c>
      <c r="O932">
        <v>12800</v>
      </c>
      <c r="P932">
        <v>205200</v>
      </c>
      <c r="Q932">
        <v>153900</v>
      </c>
      <c r="R932">
        <v>2500000</v>
      </c>
      <c r="S932">
        <v>500000</v>
      </c>
      <c r="T932">
        <v>2020</v>
      </c>
      <c r="U932" t="s">
        <v>1015</v>
      </c>
      <c r="V932">
        <v>29</v>
      </c>
      <c r="W932">
        <v>28.1</v>
      </c>
      <c r="X932">
        <v>1366417754</v>
      </c>
      <c r="Y932">
        <v>5.36</v>
      </c>
      <c r="Z932">
        <v>471031528</v>
      </c>
      <c r="AA932">
        <v>20.593684</v>
      </c>
      <c r="AB932">
        <v>78.962879999999998</v>
      </c>
    </row>
    <row r="933" spans="1:28" x14ac:dyDescent="0.3">
      <c r="A933">
        <v>932</v>
      </c>
      <c r="B933" t="s">
        <v>913</v>
      </c>
      <c r="C933">
        <v>12700000</v>
      </c>
      <c r="D933">
        <v>1450874545</v>
      </c>
      <c r="E933" t="s">
        <v>988</v>
      </c>
      <c r="F933" t="s">
        <v>913</v>
      </c>
      <c r="G933">
        <v>50</v>
      </c>
      <c r="H933" t="s">
        <v>987</v>
      </c>
      <c r="I933" t="s">
        <v>987</v>
      </c>
      <c r="J933" t="s">
        <v>988</v>
      </c>
      <c r="K933">
        <v>4052208</v>
      </c>
      <c r="L933" t="s">
        <v>987</v>
      </c>
      <c r="M933">
        <v>6682</v>
      </c>
      <c r="N933">
        <v>48</v>
      </c>
      <c r="O933">
        <v>0</v>
      </c>
      <c r="P933">
        <v>0</v>
      </c>
      <c r="Q933">
        <v>0</v>
      </c>
      <c r="R933">
        <v>0</v>
      </c>
      <c r="S933">
        <v>8</v>
      </c>
      <c r="T933">
        <v>2016</v>
      </c>
      <c r="U933" t="s">
        <v>999</v>
      </c>
      <c r="V933">
        <v>16</v>
      </c>
      <c r="W933" t="s">
        <v>987</v>
      </c>
      <c r="X933" t="s">
        <v>987</v>
      </c>
      <c r="Y933" t="s">
        <v>987</v>
      </c>
      <c r="Z933" t="s">
        <v>987</v>
      </c>
      <c r="AA933" t="s">
        <v>987</v>
      </c>
      <c r="AB933" t="s">
        <v>987</v>
      </c>
    </row>
    <row r="934" spans="1:28" x14ac:dyDescent="0.3">
      <c r="A934">
        <v>933</v>
      </c>
      <c r="B934" t="s">
        <v>411</v>
      </c>
      <c r="C934">
        <v>12700000</v>
      </c>
      <c r="D934">
        <v>4266957149</v>
      </c>
      <c r="E934" t="s">
        <v>1044</v>
      </c>
      <c r="F934" t="s">
        <v>411</v>
      </c>
      <c r="G934">
        <v>2483</v>
      </c>
      <c r="H934" t="s">
        <v>1058</v>
      </c>
      <c r="I934" t="s">
        <v>1059</v>
      </c>
      <c r="J934" t="s">
        <v>1044</v>
      </c>
      <c r="K934">
        <v>1740</v>
      </c>
      <c r="L934">
        <v>32</v>
      </c>
      <c r="M934">
        <v>41</v>
      </c>
      <c r="N934">
        <v>77482000</v>
      </c>
      <c r="O934">
        <v>19400</v>
      </c>
      <c r="P934">
        <v>309900</v>
      </c>
      <c r="Q934">
        <v>232400</v>
      </c>
      <c r="R934">
        <v>3700000</v>
      </c>
      <c r="S934">
        <v>100000</v>
      </c>
      <c r="T934">
        <v>2007</v>
      </c>
      <c r="U934" t="s">
        <v>1025</v>
      </c>
      <c r="V934">
        <v>19</v>
      </c>
      <c r="W934">
        <v>40.200000000000003</v>
      </c>
      <c r="X934">
        <v>126014024</v>
      </c>
      <c r="Y934">
        <v>3.42</v>
      </c>
      <c r="Z934">
        <v>102626859</v>
      </c>
      <c r="AA934">
        <v>23.634501</v>
      </c>
      <c r="AB934">
        <v>-102.552784</v>
      </c>
    </row>
    <row r="935" spans="1:28" x14ac:dyDescent="0.3">
      <c r="A935">
        <v>934</v>
      </c>
      <c r="B935" t="s">
        <v>730</v>
      </c>
      <c r="C935">
        <v>12700000</v>
      </c>
      <c r="D935">
        <v>4579773883</v>
      </c>
      <c r="E935" t="s">
        <v>977</v>
      </c>
      <c r="F935" t="s">
        <v>730</v>
      </c>
      <c r="G935">
        <v>594</v>
      </c>
      <c r="H935" t="s">
        <v>1065</v>
      </c>
      <c r="I935" t="s">
        <v>1066</v>
      </c>
      <c r="J935" t="s">
        <v>977</v>
      </c>
      <c r="K935">
        <v>1563</v>
      </c>
      <c r="L935">
        <v>18</v>
      </c>
      <c r="M935">
        <v>147</v>
      </c>
      <c r="N935">
        <v>10083000</v>
      </c>
      <c r="O935">
        <v>2500</v>
      </c>
      <c r="P935">
        <v>40300</v>
      </c>
      <c r="Q935">
        <v>30200</v>
      </c>
      <c r="R935">
        <v>484000</v>
      </c>
      <c r="S935" t="s">
        <v>987</v>
      </c>
      <c r="T935">
        <v>2013</v>
      </c>
      <c r="U935" t="s">
        <v>1005</v>
      </c>
      <c r="V935">
        <v>22</v>
      </c>
      <c r="W935">
        <v>88.9</v>
      </c>
      <c r="X935">
        <v>47076781</v>
      </c>
      <c r="Y935">
        <v>13.96</v>
      </c>
      <c r="Z935">
        <v>37927409</v>
      </c>
      <c r="AA935">
        <v>40.463667000000001</v>
      </c>
      <c r="AB935">
        <v>-3.7492200000000002</v>
      </c>
    </row>
    <row r="936" spans="1:28" x14ac:dyDescent="0.3">
      <c r="A936">
        <v>935</v>
      </c>
      <c r="B936" t="s">
        <v>518</v>
      </c>
      <c r="C936">
        <v>12700000</v>
      </c>
      <c r="D936">
        <v>5567832210</v>
      </c>
      <c r="E936" t="s">
        <v>987</v>
      </c>
      <c r="F936" t="s">
        <v>518</v>
      </c>
      <c r="G936">
        <v>534</v>
      </c>
      <c r="H936" t="s">
        <v>984</v>
      </c>
      <c r="I936" t="s">
        <v>985</v>
      </c>
      <c r="J936" t="s">
        <v>988</v>
      </c>
      <c r="K936">
        <v>1173</v>
      </c>
      <c r="L936">
        <v>173</v>
      </c>
      <c r="M936">
        <v>169</v>
      </c>
      <c r="N936">
        <v>46602000</v>
      </c>
      <c r="O936">
        <v>11700</v>
      </c>
      <c r="P936">
        <v>186400</v>
      </c>
      <c r="Q936">
        <v>139800</v>
      </c>
      <c r="R936">
        <v>2200000</v>
      </c>
      <c r="S936">
        <v>100000</v>
      </c>
      <c r="T936">
        <v>2019</v>
      </c>
      <c r="U936" t="s">
        <v>1029</v>
      </c>
      <c r="V936">
        <v>7</v>
      </c>
      <c r="W936">
        <v>88.2</v>
      </c>
      <c r="X936">
        <v>328239523</v>
      </c>
      <c r="Y936">
        <v>14.7</v>
      </c>
      <c r="Z936">
        <v>270663028</v>
      </c>
      <c r="AA936">
        <v>37.090240000000001</v>
      </c>
      <c r="AB936">
        <v>-95.712890999999999</v>
      </c>
    </row>
    <row r="937" spans="1:28" x14ac:dyDescent="0.3">
      <c r="A937">
        <v>936</v>
      </c>
      <c r="B937" t="s">
        <v>874</v>
      </c>
      <c r="C937">
        <v>12700000</v>
      </c>
      <c r="D937">
        <v>5958994201</v>
      </c>
      <c r="E937" t="s">
        <v>977</v>
      </c>
      <c r="F937" t="s">
        <v>1281</v>
      </c>
      <c r="G937">
        <v>1</v>
      </c>
      <c r="H937" t="s">
        <v>987</v>
      </c>
      <c r="I937" t="s">
        <v>987</v>
      </c>
      <c r="J937" t="s">
        <v>977</v>
      </c>
      <c r="K937">
        <v>4056853</v>
      </c>
      <c r="L937" t="s">
        <v>987</v>
      </c>
      <c r="M937">
        <v>5789</v>
      </c>
      <c r="N937">
        <v>1</v>
      </c>
      <c r="O937">
        <v>0</v>
      </c>
      <c r="P937">
        <v>0</v>
      </c>
      <c r="Q937">
        <v>0</v>
      </c>
      <c r="R937">
        <v>0.05</v>
      </c>
      <c r="S937" t="s">
        <v>987</v>
      </c>
      <c r="T937">
        <v>2012</v>
      </c>
      <c r="U937" t="s">
        <v>989</v>
      </c>
      <c r="V937">
        <v>10</v>
      </c>
      <c r="W937" t="s">
        <v>987</v>
      </c>
      <c r="X937" t="s">
        <v>987</v>
      </c>
      <c r="Y937" t="s">
        <v>987</v>
      </c>
      <c r="Z937" t="s">
        <v>987</v>
      </c>
      <c r="AA937" t="s">
        <v>987</v>
      </c>
      <c r="AB937" t="s">
        <v>987</v>
      </c>
    </row>
    <row r="938" spans="1:28" x14ac:dyDescent="0.3">
      <c r="A938">
        <v>937</v>
      </c>
      <c r="B938" t="s">
        <v>792</v>
      </c>
      <c r="C938">
        <v>12700000</v>
      </c>
      <c r="D938">
        <v>9927699419</v>
      </c>
      <c r="E938" t="s">
        <v>977</v>
      </c>
      <c r="F938" t="s">
        <v>1282</v>
      </c>
      <c r="G938">
        <v>119</v>
      </c>
      <c r="H938" t="s">
        <v>984</v>
      </c>
      <c r="I938" t="s">
        <v>985</v>
      </c>
      <c r="J938" t="s">
        <v>1022</v>
      </c>
      <c r="K938">
        <v>270216</v>
      </c>
      <c r="L938">
        <v>1944</v>
      </c>
      <c r="M938">
        <v>1473</v>
      </c>
      <c r="N938">
        <v>472367</v>
      </c>
      <c r="O938">
        <v>118</v>
      </c>
      <c r="P938">
        <v>1900</v>
      </c>
      <c r="Q938">
        <v>1400</v>
      </c>
      <c r="R938">
        <v>22700</v>
      </c>
      <c r="S938">
        <v>1000</v>
      </c>
      <c r="T938">
        <v>2020</v>
      </c>
      <c r="U938" t="s">
        <v>1029</v>
      </c>
      <c r="V938">
        <v>7</v>
      </c>
      <c r="W938">
        <v>88.2</v>
      </c>
      <c r="X938">
        <v>328239523</v>
      </c>
      <c r="Y938">
        <v>14.7</v>
      </c>
      <c r="Z938">
        <v>270663028</v>
      </c>
      <c r="AA938">
        <v>37.090240000000001</v>
      </c>
      <c r="AB938">
        <v>-95.712890999999999</v>
      </c>
    </row>
    <row r="939" spans="1:28" x14ac:dyDescent="0.3">
      <c r="A939">
        <v>938</v>
      </c>
      <c r="B939" t="s">
        <v>219</v>
      </c>
      <c r="C939">
        <v>12700000</v>
      </c>
      <c r="D939">
        <v>13174393401</v>
      </c>
      <c r="E939" t="s">
        <v>988</v>
      </c>
      <c r="F939" t="s">
        <v>219</v>
      </c>
      <c r="G939">
        <v>142</v>
      </c>
      <c r="H939" t="s">
        <v>984</v>
      </c>
      <c r="I939" t="s">
        <v>985</v>
      </c>
      <c r="J939" t="s">
        <v>977</v>
      </c>
      <c r="K939">
        <v>279</v>
      </c>
      <c r="L939">
        <v>173</v>
      </c>
      <c r="M939">
        <v>147</v>
      </c>
      <c r="N939">
        <v>169968000</v>
      </c>
      <c r="O939">
        <v>42500</v>
      </c>
      <c r="P939">
        <v>679900</v>
      </c>
      <c r="Q939">
        <v>509900</v>
      </c>
      <c r="R939">
        <v>8200000</v>
      </c>
      <c r="S939">
        <v>100000</v>
      </c>
      <c r="T939">
        <v>2015</v>
      </c>
      <c r="U939" t="s">
        <v>1003</v>
      </c>
      <c r="V939">
        <v>4</v>
      </c>
      <c r="W939">
        <v>88.2</v>
      </c>
      <c r="X939">
        <v>328239523</v>
      </c>
      <c r="Y939">
        <v>14.7</v>
      </c>
      <c r="Z939">
        <v>270663028</v>
      </c>
      <c r="AA939">
        <v>37.090240000000001</v>
      </c>
      <c r="AB939">
        <v>-95.712890999999999</v>
      </c>
    </row>
    <row r="940" spans="1:28" x14ac:dyDescent="0.3">
      <c r="A940">
        <v>939</v>
      </c>
      <c r="B940" t="s">
        <v>535</v>
      </c>
      <c r="C940">
        <v>12700000</v>
      </c>
      <c r="D940">
        <v>4733873025</v>
      </c>
      <c r="E940" t="s">
        <v>1011</v>
      </c>
      <c r="F940" t="s">
        <v>535</v>
      </c>
      <c r="G940">
        <v>812</v>
      </c>
      <c r="H940" t="s">
        <v>984</v>
      </c>
      <c r="I940" t="s">
        <v>985</v>
      </c>
      <c r="J940" t="s">
        <v>1053</v>
      </c>
      <c r="K940">
        <v>1472</v>
      </c>
      <c r="L940">
        <v>173</v>
      </c>
      <c r="M940">
        <v>36</v>
      </c>
      <c r="N940">
        <v>43868000</v>
      </c>
      <c r="O940">
        <v>11000</v>
      </c>
      <c r="P940">
        <v>175500</v>
      </c>
      <c r="Q940">
        <v>131600</v>
      </c>
      <c r="R940">
        <v>2100000</v>
      </c>
      <c r="S940">
        <v>100000</v>
      </c>
      <c r="T940">
        <v>2017</v>
      </c>
      <c r="U940" t="s">
        <v>1008</v>
      </c>
      <c r="V940">
        <v>1</v>
      </c>
      <c r="W940">
        <v>88.2</v>
      </c>
      <c r="X940">
        <v>328239523</v>
      </c>
      <c r="Y940">
        <v>14.7</v>
      </c>
      <c r="Z940">
        <v>270663028</v>
      </c>
      <c r="AA940">
        <v>37.090240000000001</v>
      </c>
      <c r="AB940">
        <v>-95.712890999999999</v>
      </c>
    </row>
    <row r="941" spans="1:28" x14ac:dyDescent="0.3">
      <c r="A941">
        <v>940</v>
      </c>
      <c r="B941" t="s">
        <v>748</v>
      </c>
      <c r="C941">
        <v>12700000</v>
      </c>
      <c r="D941">
        <v>2709954270</v>
      </c>
      <c r="E941" t="s">
        <v>988</v>
      </c>
      <c r="F941" t="s">
        <v>749</v>
      </c>
      <c r="G941">
        <v>846</v>
      </c>
      <c r="H941" t="s">
        <v>987</v>
      </c>
      <c r="I941" t="s">
        <v>987</v>
      </c>
      <c r="J941" t="s">
        <v>988</v>
      </c>
      <c r="K941">
        <v>2218</v>
      </c>
      <c r="L941" t="s">
        <v>987</v>
      </c>
      <c r="M941">
        <v>155</v>
      </c>
      <c r="N941">
        <v>6942000</v>
      </c>
      <c r="O941">
        <v>1700</v>
      </c>
      <c r="P941">
        <v>27800</v>
      </c>
      <c r="Q941">
        <v>20800</v>
      </c>
      <c r="R941">
        <v>333200</v>
      </c>
      <c r="S941" t="s">
        <v>987</v>
      </c>
      <c r="T941">
        <v>2013</v>
      </c>
      <c r="U941" t="s">
        <v>1010</v>
      </c>
      <c r="V941">
        <v>10</v>
      </c>
      <c r="W941" t="s">
        <v>987</v>
      </c>
      <c r="X941" t="s">
        <v>987</v>
      </c>
      <c r="Y941" t="s">
        <v>987</v>
      </c>
      <c r="Z941" t="s">
        <v>987</v>
      </c>
      <c r="AA941" t="s">
        <v>987</v>
      </c>
      <c r="AB941" t="s">
        <v>987</v>
      </c>
    </row>
    <row r="942" spans="1:28" x14ac:dyDescent="0.3">
      <c r="A942">
        <v>941</v>
      </c>
      <c r="B942" t="s">
        <v>769</v>
      </c>
      <c r="C942">
        <v>12700000</v>
      </c>
      <c r="D942">
        <v>1081285962</v>
      </c>
      <c r="E942" t="s">
        <v>996</v>
      </c>
      <c r="F942" t="s">
        <v>769</v>
      </c>
      <c r="G942">
        <v>504</v>
      </c>
      <c r="H942" t="s">
        <v>1019</v>
      </c>
      <c r="I942" t="s">
        <v>1020</v>
      </c>
      <c r="J942" t="s">
        <v>986</v>
      </c>
      <c r="K942">
        <v>10642</v>
      </c>
      <c r="L942">
        <v>53</v>
      </c>
      <c r="M942">
        <v>67</v>
      </c>
      <c r="N942">
        <v>3619000</v>
      </c>
      <c r="O942">
        <v>905</v>
      </c>
      <c r="P942">
        <v>14500</v>
      </c>
      <c r="Q942">
        <v>10900</v>
      </c>
      <c r="R942">
        <v>173700</v>
      </c>
      <c r="S942" t="s">
        <v>987</v>
      </c>
      <c r="T942">
        <v>2015</v>
      </c>
      <c r="U942" t="s">
        <v>995</v>
      </c>
      <c r="V942">
        <v>13</v>
      </c>
      <c r="W942">
        <v>51.3</v>
      </c>
      <c r="X942">
        <v>212559417</v>
      </c>
      <c r="Y942">
        <v>12.08</v>
      </c>
      <c r="Z942">
        <v>183241641</v>
      </c>
      <c r="AA942">
        <v>-14.235004</v>
      </c>
      <c r="AB942">
        <v>-51.925280000000001</v>
      </c>
    </row>
    <row r="943" spans="1:28" x14ac:dyDescent="0.3">
      <c r="A943">
        <v>942</v>
      </c>
      <c r="B943" t="s">
        <v>683</v>
      </c>
      <c r="C943">
        <v>12700000</v>
      </c>
      <c r="D943">
        <v>6001189018</v>
      </c>
      <c r="E943" t="s">
        <v>987</v>
      </c>
      <c r="F943" t="s">
        <v>683</v>
      </c>
      <c r="G943">
        <v>600</v>
      </c>
      <c r="H943" t="s">
        <v>984</v>
      </c>
      <c r="I943" t="s">
        <v>985</v>
      </c>
      <c r="J943" t="s">
        <v>1002</v>
      </c>
      <c r="K943">
        <v>1052</v>
      </c>
      <c r="L943">
        <v>173</v>
      </c>
      <c r="M943">
        <v>60</v>
      </c>
      <c r="N943">
        <v>16117000</v>
      </c>
      <c r="O943">
        <v>4000</v>
      </c>
      <c r="P943">
        <v>64500</v>
      </c>
      <c r="Q943">
        <v>48400</v>
      </c>
      <c r="R943">
        <v>773600</v>
      </c>
      <c r="S943" t="s">
        <v>987</v>
      </c>
      <c r="T943">
        <v>2019</v>
      </c>
      <c r="U943" t="s">
        <v>1005</v>
      </c>
      <c r="V943">
        <v>2</v>
      </c>
      <c r="W943">
        <v>88.2</v>
      </c>
      <c r="X943">
        <v>328239523</v>
      </c>
      <c r="Y943">
        <v>14.7</v>
      </c>
      <c r="Z943">
        <v>270663028</v>
      </c>
      <c r="AA943">
        <v>37.090240000000001</v>
      </c>
      <c r="AB943">
        <v>-95.712890999999999</v>
      </c>
    </row>
    <row r="944" spans="1:28" x14ac:dyDescent="0.3">
      <c r="A944">
        <v>943</v>
      </c>
      <c r="B944" t="s">
        <v>112</v>
      </c>
      <c r="C944">
        <v>12700000</v>
      </c>
      <c r="D944">
        <v>1714955279</v>
      </c>
      <c r="E944" t="s">
        <v>994</v>
      </c>
      <c r="F944" t="s">
        <v>112</v>
      </c>
      <c r="G944">
        <v>252</v>
      </c>
      <c r="H944" t="s">
        <v>1051</v>
      </c>
      <c r="I944" t="s">
        <v>1052</v>
      </c>
      <c r="J944" t="s">
        <v>1002</v>
      </c>
      <c r="K944">
        <v>5821</v>
      </c>
      <c r="L944">
        <v>11</v>
      </c>
      <c r="M944">
        <v>57</v>
      </c>
      <c r="N944">
        <v>327600000</v>
      </c>
      <c r="O944">
        <v>81900</v>
      </c>
      <c r="P944">
        <v>1300000</v>
      </c>
      <c r="Q944">
        <v>982800</v>
      </c>
      <c r="R944">
        <v>15700000</v>
      </c>
      <c r="S944">
        <v>1500000</v>
      </c>
      <c r="T944">
        <v>2015</v>
      </c>
      <c r="U944" t="s">
        <v>1005</v>
      </c>
      <c r="V944">
        <v>3</v>
      </c>
      <c r="W944">
        <v>55.3</v>
      </c>
      <c r="X944">
        <v>50339443</v>
      </c>
      <c r="Y944">
        <v>9.7100000000000009</v>
      </c>
      <c r="Z944">
        <v>40827302</v>
      </c>
      <c r="AA944">
        <v>4.5708679999999999</v>
      </c>
      <c r="AB944">
        <v>-74.297332999999995</v>
      </c>
    </row>
    <row r="945" spans="1:28" x14ac:dyDescent="0.3">
      <c r="A945">
        <v>944</v>
      </c>
      <c r="B945" t="s">
        <v>459</v>
      </c>
      <c r="C945">
        <v>12600000</v>
      </c>
      <c r="D945">
        <v>3303595310</v>
      </c>
      <c r="E945" t="s">
        <v>996</v>
      </c>
      <c r="F945" t="s">
        <v>459</v>
      </c>
      <c r="G945">
        <v>825</v>
      </c>
      <c r="H945" t="s">
        <v>1013</v>
      </c>
      <c r="I945" t="s">
        <v>1014</v>
      </c>
      <c r="J945" t="s">
        <v>988</v>
      </c>
      <c r="K945">
        <v>2491</v>
      </c>
      <c r="L945">
        <v>32</v>
      </c>
      <c r="M945">
        <v>170</v>
      </c>
      <c r="N945">
        <v>58838000</v>
      </c>
      <c r="O945">
        <v>14700</v>
      </c>
      <c r="P945">
        <v>235400</v>
      </c>
      <c r="Q945">
        <v>176500</v>
      </c>
      <c r="R945">
        <v>2800000</v>
      </c>
      <c r="S945">
        <v>100000</v>
      </c>
      <c r="T945">
        <v>2014</v>
      </c>
      <c r="U945" t="s">
        <v>1008</v>
      </c>
      <c r="V945">
        <v>10</v>
      </c>
      <c r="W945">
        <v>60</v>
      </c>
      <c r="X945">
        <v>66834405</v>
      </c>
      <c r="Y945">
        <v>3.85</v>
      </c>
      <c r="Z945">
        <v>55908316</v>
      </c>
      <c r="AA945">
        <v>55.378050999999999</v>
      </c>
      <c r="AB945">
        <v>-3.4359730000000002</v>
      </c>
    </row>
    <row r="946" spans="1:28" x14ac:dyDescent="0.3">
      <c r="A946">
        <v>945</v>
      </c>
      <c r="B946" t="s">
        <v>752</v>
      </c>
      <c r="C946">
        <v>12600000</v>
      </c>
      <c r="D946">
        <v>3152402405</v>
      </c>
      <c r="E946" t="s">
        <v>994</v>
      </c>
      <c r="F946" t="s">
        <v>752</v>
      </c>
      <c r="G946">
        <v>1101</v>
      </c>
      <c r="H946" t="s">
        <v>984</v>
      </c>
      <c r="I946" t="s">
        <v>985</v>
      </c>
      <c r="J946" t="s">
        <v>1002</v>
      </c>
      <c r="K946">
        <v>2681</v>
      </c>
      <c r="L946">
        <v>174</v>
      </c>
      <c r="M946">
        <v>61</v>
      </c>
      <c r="N946">
        <v>5952000</v>
      </c>
      <c r="O946">
        <v>1500</v>
      </c>
      <c r="P946">
        <v>23800</v>
      </c>
      <c r="Q946">
        <v>17900</v>
      </c>
      <c r="R946">
        <v>285700</v>
      </c>
      <c r="S946">
        <v>100000</v>
      </c>
      <c r="T946">
        <v>2010</v>
      </c>
      <c r="U946" t="s">
        <v>989</v>
      </c>
      <c r="V946">
        <v>15</v>
      </c>
      <c r="W946">
        <v>88.2</v>
      </c>
      <c r="X946">
        <v>328239523</v>
      </c>
      <c r="Y946">
        <v>14.7</v>
      </c>
      <c r="Z946">
        <v>270663028</v>
      </c>
      <c r="AA946">
        <v>37.090240000000001</v>
      </c>
      <c r="AB946">
        <v>-95.712890999999999</v>
      </c>
    </row>
    <row r="947" spans="1:28" x14ac:dyDescent="0.3">
      <c r="A947">
        <v>946</v>
      </c>
      <c r="B947" t="s">
        <v>1283</v>
      </c>
      <c r="C947">
        <v>12600000</v>
      </c>
      <c r="D947">
        <v>3485373675</v>
      </c>
      <c r="E947" t="s">
        <v>994</v>
      </c>
      <c r="F947" t="s">
        <v>1283</v>
      </c>
      <c r="G947">
        <v>683</v>
      </c>
      <c r="H947" t="s">
        <v>1006</v>
      </c>
      <c r="I947" t="s">
        <v>1007</v>
      </c>
      <c r="J947" t="s">
        <v>1002</v>
      </c>
      <c r="K947">
        <v>2313</v>
      </c>
      <c r="L947">
        <v>17</v>
      </c>
      <c r="M947">
        <v>61</v>
      </c>
      <c r="N947">
        <v>113132000</v>
      </c>
      <c r="O947">
        <v>28300</v>
      </c>
      <c r="P947">
        <v>452500</v>
      </c>
      <c r="Q947">
        <v>339400</v>
      </c>
      <c r="R947">
        <v>5400000</v>
      </c>
      <c r="S947">
        <v>300000</v>
      </c>
      <c r="T947">
        <v>2012</v>
      </c>
      <c r="U947" t="s">
        <v>1029</v>
      </c>
      <c r="V947">
        <v>5</v>
      </c>
      <c r="W947">
        <v>94.3</v>
      </c>
      <c r="X947">
        <v>51709098</v>
      </c>
      <c r="Y947">
        <v>4.1500000000000004</v>
      </c>
      <c r="Z947">
        <v>42106719</v>
      </c>
      <c r="AA947">
        <v>35.907756999999997</v>
      </c>
      <c r="AB947">
        <v>127.76692199999999</v>
      </c>
    </row>
    <row r="948" spans="1:28" x14ac:dyDescent="0.3">
      <c r="A948">
        <v>947</v>
      </c>
      <c r="B948" t="s">
        <v>567</v>
      </c>
      <c r="C948">
        <v>12600000</v>
      </c>
      <c r="D948">
        <v>8831179714</v>
      </c>
      <c r="E948" t="s">
        <v>977</v>
      </c>
      <c r="F948" t="s">
        <v>567</v>
      </c>
      <c r="G948">
        <v>99</v>
      </c>
      <c r="H948" t="s">
        <v>984</v>
      </c>
      <c r="I948" t="s">
        <v>985</v>
      </c>
      <c r="J948" t="s">
        <v>977</v>
      </c>
      <c r="K948">
        <v>557</v>
      </c>
      <c r="L948">
        <v>174</v>
      </c>
      <c r="M948">
        <v>148</v>
      </c>
      <c r="N948">
        <v>35027000</v>
      </c>
      <c r="O948">
        <v>8800</v>
      </c>
      <c r="P948">
        <v>140100</v>
      </c>
      <c r="Q948">
        <v>105100</v>
      </c>
      <c r="R948">
        <v>1700000</v>
      </c>
      <c r="S948" t="s">
        <v>987</v>
      </c>
      <c r="T948">
        <v>2010</v>
      </c>
      <c r="U948" t="s">
        <v>999</v>
      </c>
      <c r="V948">
        <v>1</v>
      </c>
      <c r="W948">
        <v>88.2</v>
      </c>
      <c r="X948">
        <v>328239523</v>
      </c>
      <c r="Y948">
        <v>14.7</v>
      </c>
      <c r="Z948">
        <v>270663028</v>
      </c>
      <c r="AA948">
        <v>37.090240000000001</v>
      </c>
      <c r="AB948">
        <v>-95.712890999999999</v>
      </c>
    </row>
    <row r="949" spans="1:28" x14ac:dyDescent="0.3">
      <c r="A949">
        <v>948</v>
      </c>
      <c r="B949" t="s">
        <v>561</v>
      </c>
      <c r="C949">
        <v>12600000</v>
      </c>
      <c r="D949">
        <v>6969178081</v>
      </c>
      <c r="E949" t="s">
        <v>977</v>
      </c>
      <c r="F949" t="s">
        <v>561</v>
      </c>
      <c r="G949">
        <v>218</v>
      </c>
      <c r="H949" t="s">
        <v>1013</v>
      </c>
      <c r="I949" t="s">
        <v>1014</v>
      </c>
      <c r="J949" t="s">
        <v>977</v>
      </c>
      <c r="K949">
        <v>841</v>
      </c>
      <c r="L949">
        <v>32</v>
      </c>
      <c r="M949">
        <v>148</v>
      </c>
      <c r="N949">
        <v>36681000</v>
      </c>
      <c r="O949">
        <v>9200</v>
      </c>
      <c r="P949">
        <v>146700</v>
      </c>
      <c r="Q949">
        <v>110000</v>
      </c>
      <c r="R949">
        <v>1800000</v>
      </c>
      <c r="S949" t="s">
        <v>987</v>
      </c>
      <c r="T949">
        <v>2007</v>
      </c>
      <c r="U949" t="s">
        <v>1003</v>
      </c>
      <c r="V949">
        <v>29</v>
      </c>
      <c r="W949">
        <v>60</v>
      </c>
      <c r="X949">
        <v>66834405</v>
      </c>
      <c r="Y949">
        <v>3.85</v>
      </c>
      <c r="Z949">
        <v>55908316</v>
      </c>
      <c r="AA949">
        <v>55.378050999999999</v>
      </c>
      <c r="AB949">
        <v>-3.4359730000000002</v>
      </c>
    </row>
    <row r="950" spans="1:28" x14ac:dyDescent="0.3">
      <c r="A950">
        <v>949</v>
      </c>
      <c r="B950" t="s">
        <v>742</v>
      </c>
      <c r="C950">
        <v>12500000</v>
      </c>
      <c r="D950">
        <v>1612094871</v>
      </c>
      <c r="E950" t="s">
        <v>988</v>
      </c>
      <c r="F950" t="s">
        <v>742</v>
      </c>
      <c r="G950">
        <v>385</v>
      </c>
      <c r="H950" t="s">
        <v>1013</v>
      </c>
      <c r="I950" t="s">
        <v>1014</v>
      </c>
      <c r="J950" t="s">
        <v>988</v>
      </c>
      <c r="K950">
        <v>6487</v>
      </c>
      <c r="L950">
        <v>33</v>
      </c>
      <c r="M950">
        <v>171</v>
      </c>
      <c r="N950">
        <v>8482000</v>
      </c>
      <c r="O950">
        <v>2100</v>
      </c>
      <c r="P950">
        <v>33900</v>
      </c>
      <c r="Q950">
        <v>25400</v>
      </c>
      <c r="R950">
        <v>407200</v>
      </c>
      <c r="S950" t="s">
        <v>987</v>
      </c>
      <c r="T950">
        <v>2006</v>
      </c>
      <c r="U950" t="s">
        <v>1029</v>
      </c>
      <c r="V950">
        <v>15</v>
      </c>
      <c r="W950">
        <v>60</v>
      </c>
      <c r="X950">
        <v>66834405</v>
      </c>
      <c r="Y950">
        <v>3.85</v>
      </c>
      <c r="Z950">
        <v>55908316</v>
      </c>
      <c r="AA950">
        <v>55.378050999999999</v>
      </c>
      <c r="AB950">
        <v>-3.4359730000000002</v>
      </c>
    </row>
    <row r="951" spans="1:28" x14ac:dyDescent="0.3">
      <c r="A951">
        <v>950</v>
      </c>
      <c r="B951" t="s">
        <v>689</v>
      </c>
      <c r="C951">
        <v>12500000</v>
      </c>
      <c r="D951">
        <v>1136534702</v>
      </c>
      <c r="E951" t="s">
        <v>988</v>
      </c>
      <c r="F951" t="s">
        <v>689</v>
      </c>
      <c r="G951">
        <v>601</v>
      </c>
      <c r="H951" t="s">
        <v>984</v>
      </c>
      <c r="I951" t="s">
        <v>985</v>
      </c>
      <c r="J951" t="s">
        <v>988</v>
      </c>
      <c r="K951">
        <v>9980</v>
      </c>
      <c r="L951">
        <v>175</v>
      </c>
      <c r="M951">
        <v>171</v>
      </c>
      <c r="N951">
        <v>15340000</v>
      </c>
      <c r="O951">
        <v>3800</v>
      </c>
      <c r="P951">
        <v>61400</v>
      </c>
      <c r="Q951">
        <v>46000</v>
      </c>
      <c r="R951">
        <v>736300</v>
      </c>
      <c r="S951" t="s">
        <v>987</v>
      </c>
      <c r="T951">
        <v>2013</v>
      </c>
      <c r="U951" t="s">
        <v>1015</v>
      </c>
      <c r="V951">
        <v>30</v>
      </c>
      <c r="W951">
        <v>88.2</v>
      </c>
      <c r="X951">
        <v>328239523</v>
      </c>
      <c r="Y951">
        <v>14.7</v>
      </c>
      <c r="Z951">
        <v>270663028</v>
      </c>
      <c r="AA951">
        <v>37.090240000000001</v>
      </c>
      <c r="AB951">
        <v>-95.712890999999999</v>
      </c>
    </row>
    <row r="952" spans="1:28" x14ac:dyDescent="0.3">
      <c r="A952">
        <v>951</v>
      </c>
      <c r="B952" t="s">
        <v>891</v>
      </c>
      <c r="C952">
        <v>12500000</v>
      </c>
      <c r="D952">
        <v>161254021</v>
      </c>
      <c r="E952" t="s">
        <v>987</v>
      </c>
      <c r="F952" t="s">
        <v>891</v>
      </c>
      <c r="G952">
        <v>61</v>
      </c>
      <c r="H952" t="s">
        <v>984</v>
      </c>
      <c r="I952" t="s">
        <v>985</v>
      </c>
      <c r="J952" t="s">
        <v>1022</v>
      </c>
      <c r="K952">
        <v>81750</v>
      </c>
      <c r="L952">
        <v>175</v>
      </c>
      <c r="M952">
        <v>46</v>
      </c>
      <c r="N952">
        <v>757789000</v>
      </c>
      <c r="O952">
        <v>0</v>
      </c>
      <c r="P952">
        <v>0</v>
      </c>
      <c r="Q952">
        <v>0</v>
      </c>
      <c r="R952">
        <v>0</v>
      </c>
      <c r="S952" t="s">
        <v>987</v>
      </c>
      <c r="T952">
        <v>2019</v>
      </c>
      <c r="U952" t="s">
        <v>1025</v>
      </c>
      <c r="V952">
        <v>21</v>
      </c>
      <c r="W952">
        <v>88.2</v>
      </c>
      <c r="X952">
        <v>328239523</v>
      </c>
      <c r="Y952">
        <v>14.7</v>
      </c>
      <c r="Z952">
        <v>270663028</v>
      </c>
      <c r="AA952">
        <v>37.090240000000001</v>
      </c>
      <c r="AB952">
        <v>-95.712890999999999</v>
      </c>
    </row>
    <row r="953" spans="1:28" x14ac:dyDescent="0.3">
      <c r="A953">
        <v>952</v>
      </c>
      <c r="B953" t="s">
        <v>914</v>
      </c>
      <c r="C953">
        <v>12500000</v>
      </c>
      <c r="D953">
        <v>1302818088</v>
      </c>
      <c r="E953" t="s">
        <v>994</v>
      </c>
      <c r="F953" t="s">
        <v>1284</v>
      </c>
      <c r="G953">
        <v>0</v>
      </c>
      <c r="H953" t="s">
        <v>987</v>
      </c>
      <c r="I953" t="s">
        <v>987</v>
      </c>
      <c r="J953" t="s">
        <v>987</v>
      </c>
      <c r="K953">
        <v>4048879</v>
      </c>
      <c r="L953" t="s">
        <v>987</v>
      </c>
      <c r="M953" t="s">
        <v>987</v>
      </c>
      <c r="N953" t="s">
        <v>987</v>
      </c>
      <c r="O953">
        <v>0</v>
      </c>
      <c r="P953">
        <v>0</v>
      </c>
      <c r="Q953">
        <v>0</v>
      </c>
      <c r="R953">
        <v>0</v>
      </c>
      <c r="S953" t="s">
        <v>987</v>
      </c>
      <c r="T953">
        <v>2006</v>
      </c>
      <c r="U953" t="s">
        <v>989</v>
      </c>
      <c r="V953">
        <v>22</v>
      </c>
      <c r="W953" t="s">
        <v>987</v>
      </c>
      <c r="X953" t="s">
        <v>987</v>
      </c>
      <c r="Y953" t="s">
        <v>987</v>
      </c>
      <c r="Z953" t="s">
        <v>987</v>
      </c>
      <c r="AA953" t="s">
        <v>987</v>
      </c>
      <c r="AB953" t="s">
        <v>987</v>
      </c>
    </row>
    <row r="954" spans="1:28" x14ac:dyDescent="0.3">
      <c r="A954">
        <v>953</v>
      </c>
      <c r="B954" t="s">
        <v>783</v>
      </c>
      <c r="C954">
        <v>12500000</v>
      </c>
      <c r="D954">
        <v>1002219689</v>
      </c>
      <c r="E954" t="s">
        <v>1011</v>
      </c>
      <c r="F954" t="s">
        <v>783</v>
      </c>
      <c r="G954">
        <v>1810</v>
      </c>
      <c r="H954" t="s">
        <v>978</v>
      </c>
      <c r="I954" t="s">
        <v>979</v>
      </c>
      <c r="J954" t="s">
        <v>1002</v>
      </c>
      <c r="K954">
        <v>11667</v>
      </c>
      <c r="L954">
        <v>123</v>
      </c>
      <c r="M954">
        <v>62</v>
      </c>
      <c r="N954">
        <v>1395000</v>
      </c>
      <c r="O954">
        <v>349</v>
      </c>
      <c r="P954">
        <v>5600</v>
      </c>
      <c r="Q954">
        <v>4200</v>
      </c>
      <c r="R954">
        <v>66900</v>
      </c>
      <c r="S954" t="s">
        <v>987</v>
      </c>
      <c r="T954">
        <v>2016</v>
      </c>
      <c r="U954" t="s">
        <v>991</v>
      </c>
      <c r="V954">
        <v>25</v>
      </c>
      <c r="W954">
        <v>28.1</v>
      </c>
      <c r="X954">
        <v>1366417754</v>
      </c>
      <c r="Y954">
        <v>5.36</v>
      </c>
      <c r="Z954">
        <v>471031528</v>
      </c>
      <c r="AA954">
        <v>20.593684</v>
      </c>
      <c r="AB954">
        <v>78.962879999999998</v>
      </c>
    </row>
    <row r="955" spans="1:28" x14ac:dyDescent="0.3">
      <c r="A955">
        <v>954</v>
      </c>
      <c r="B955" t="s">
        <v>738</v>
      </c>
      <c r="C955">
        <v>12500000</v>
      </c>
      <c r="D955">
        <v>1402042328</v>
      </c>
      <c r="E955" t="s">
        <v>996</v>
      </c>
      <c r="F955" t="s">
        <v>738</v>
      </c>
      <c r="G955">
        <v>1109</v>
      </c>
      <c r="H955" t="s">
        <v>1058</v>
      </c>
      <c r="I955" t="s">
        <v>1059</v>
      </c>
      <c r="J955" t="s">
        <v>986</v>
      </c>
      <c r="K955">
        <v>7741</v>
      </c>
      <c r="L955">
        <v>33</v>
      </c>
      <c r="M955">
        <v>68</v>
      </c>
      <c r="N955">
        <v>8869000</v>
      </c>
      <c r="O955">
        <v>2200</v>
      </c>
      <c r="P955">
        <v>35500</v>
      </c>
      <c r="Q955">
        <v>26600</v>
      </c>
      <c r="R955">
        <v>425700</v>
      </c>
      <c r="S955" t="s">
        <v>987</v>
      </c>
      <c r="T955">
        <v>2014</v>
      </c>
      <c r="U955" t="s">
        <v>1003</v>
      </c>
      <c r="V955">
        <v>22</v>
      </c>
      <c r="W955">
        <v>40.200000000000003</v>
      </c>
      <c r="X955">
        <v>126014024</v>
      </c>
      <c r="Y955">
        <v>3.42</v>
      </c>
      <c r="Z955">
        <v>102626859</v>
      </c>
      <c r="AA955">
        <v>23.634501</v>
      </c>
      <c r="AB955">
        <v>-102.552784</v>
      </c>
    </row>
    <row r="956" spans="1:28" x14ac:dyDescent="0.3">
      <c r="A956">
        <v>955</v>
      </c>
      <c r="B956" t="s">
        <v>681</v>
      </c>
      <c r="C956">
        <v>12500000</v>
      </c>
      <c r="D956">
        <v>6956320454</v>
      </c>
      <c r="E956" t="s">
        <v>990</v>
      </c>
      <c r="F956" t="s">
        <v>681</v>
      </c>
      <c r="G956">
        <v>1459</v>
      </c>
      <c r="H956" t="s">
        <v>1065</v>
      </c>
      <c r="I956" t="s">
        <v>1066</v>
      </c>
      <c r="J956" t="s">
        <v>990</v>
      </c>
      <c r="K956">
        <v>843</v>
      </c>
      <c r="L956">
        <v>19</v>
      </c>
      <c r="M956">
        <v>46</v>
      </c>
      <c r="N956">
        <v>16319000</v>
      </c>
      <c r="O956">
        <v>4100</v>
      </c>
      <c r="P956">
        <v>65300</v>
      </c>
      <c r="Q956">
        <v>49000</v>
      </c>
      <c r="R956">
        <v>783300</v>
      </c>
      <c r="S956" t="s">
        <v>987</v>
      </c>
      <c r="T956">
        <v>2014</v>
      </c>
      <c r="U956" t="s">
        <v>1008</v>
      </c>
      <c r="V956">
        <v>6</v>
      </c>
      <c r="W956">
        <v>88.9</v>
      </c>
      <c r="X956">
        <v>47076781</v>
      </c>
      <c r="Y956">
        <v>13.96</v>
      </c>
      <c r="Z956">
        <v>37927409</v>
      </c>
      <c r="AA956">
        <v>40.463667000000001</v>
      </c>
      <c r="AB956">
        <v>-3.7492200000000002</v>
      </c>
    </row>
    <row r="957" spans="1:28" x14ac:dyDescent="0.3">
      <c r="A957">
        <v>956</v>
      </c>
      <c r="B957" t="s">
        <v>320</v>
      </c>
      <c r="C957">
        <v>12500000</v>
      </c>
      <c r="D957">
        <v>2983799729</v>
      </c>
      <c r="E957" t="s">
        <v>1011</v>
      </c>
      <c r="F957" t="s">
        <v>320</v>
      </c>
      <c r="G957">
        <v>1076</v>
      </c>
      <c r="H957" t="s">
        <v>984</v>
      </c>
      <c r="I957" t="s">
        <v>985</v>
      </c>
      <c r="J957" t="s">
        <v>988</v>
      </c>
      <c r="K957">
        <v>2892</v>
      </c>
      <c r="L957">
        <v>175</v>
      </c>
      <c r="M957">
        <v>171</v>
      </c>
      <c r="N957">
        <v>111252000</v>
      </c>
      <c r="O957">
        <v>27800</v>
      </c>
      <c r="P957">
        <v>445000</v>
      </c>
      <c r="Q957">
        <v>333800</v>
      </c>
      <c r="R957">
        <v>5300000</v>
      </c>
      <c r="S957">
        <v>200000</v>
      </c>
      <c r="T957">
        <v>2014</v>
      </c>
      <c r="U957" t="s">
        <v>989</v>
      </c>
      <c r="V957">
        <v>28</v>
      </c>
      <c r="W957">
        <v>88.2</v>
      </c>
      <c r="X957">
        <v>328239523</v>
      </c>
      <c r="Y957">
        <v>14.7</v>
      </c>
      <c r="Z957">
        <v>270663028</v>
      </c>
      <c r="AA957">
        <v>37.090240000000001</v>
      </c>
      <c r="AB957">
        <v>-95.712890999999999</v>
      </c>
    </row>
    <row r="958" spans="1:28" x14ac:dyDescent="0.3">
      <c r="A958">
        <v>957</v>
      </c>
      <c r="B958" t="s">
        <v>585</v>
      </c>
      <c r="C958">
        <v>12500000</v>
      </c>
      <c r="D958">
        <v>3140883140</v>
      </c>
      <c r="E958" t="s">
        <v>1285</v>
      </c>
      <c r="F958" t="s">
        <v>585</v>
      </c>
      <c r="G958">
        <v>766</v>
      </c>
      <c r="H958" t="s">
        <v>1058</v>
      </c>
      <c r="I958" t="s">
        <v>1059</v>
      </c>
      <c r="J958" t="s">
        <v>988</v>
      </c>
      <c r="K958">
        <v>2691</v>
      </c>
      <c r="L958">
        <v>33</v>
      </c>
      <c r="M958">
        <v>171</v>
      </c>
      <c r="N958">
        <v>31007000</v>
      </c>
      <c r="O958">
        <v>7800</v>
      </c>
      <c r="P958">
        <v>124000</v>
      </c>
      <c r="Q958">
        <v>93000</v>
      </c>
      <c r="R958">
        <v>1500000</v>
      </c>
      <c r="S958" t="s">
        <v>987</v>
      </c>
      <c r="T958">
        <v>2015</v>
      </c>
      <c r="U958" t="s">
        <v>1015</v>
      </c>
      <c r="V958">
        <v>6</v>
      </c>
      <c r="W958">
        <v>40.200000000000003</v>
      </c>
      <c r="X958">
        <v>126014024</v>
      </c>
      <c r="Y958">
        <v>3.42</v>
      </c>
      <c r="Z958">
        <v>102626859</v>
      </c>
      <c r="AA958">
        <v>23.634501</v>
      </c>
      <c r="AB958">
        <v>-102.552784</v>
      </c>
    </row>
    <row r="959" spans="1:28" x14ac:dyDescent="0.3">
      <c r="A959">
        <v>958</v>
      </c>
      <c r="B959" t="s">
        <v>945</v>
      </c>
      <c r="C959">
        <v>12500000</v>
      </c>
      <c r="D959">
        <v>4163639093</v>
      </c>
      <c r="E959" t="s">
        <v>987</v>
      </c>
      <c r="F959" t="s">
        <v>945</v>
      </c>
      <c r="G959">
        <v>322</v>
      </c>
      <c r="H959" t="s">
        <v>984</v>
      </c>
      <c r="I959" t="s">
        <v>985</v>
      </c>
      <c r="J959" t="s">
        <v>988</v>
      </c>
      <c r="K959">
        <v>1794</v>
      </c>
      <c r="L959">
        <v>175</v>
      </c>
      <c r="M959">
        <v>171</v>
      </c>
      <c r="N959">
        <v>565459000</v>
      </c>
      <c r="O959">
        <v>0</v>
      </c>
      <c r="P959">
        <v>0</v>
      </c>
      <c r="Q959">
        <v>0</v>
      </c>
      <c r="R959">
        <v>0</v>
      </c>
      <c r="S959">
        <v>500000</v>
      </c>
      <c r="T959">
        <v>2022</v>
      </c>
      <c r="U959" t="s">
        <v>980</v>
      </c>
      <c r="V959">
        <v>30</v>
      </c>
      <c r="W959">
        <v>88.2</v>
      </c>
      <c r="X959">
        <v>328239523</v>
      </c>
      <c r="Y959">
        <v>14.7</v>
      </c>
      <c r="Z959">
        <v>270663028</v>
      </c>
      <c r="AA959">
        <v>37.090240000000001</v>
      </c>
      <c r="AB959">
        <v>-95.712890999999999</v>
      </c>
    </row>
    <row r="960" spans="1:28" x14ac:dyDescent="0.3">
      <c r="A960">
        <v>959</v>
      </c>
      <c r="B960" t="s">
        <v>703</v>
      </c>
      <c r="C960">
        <v>12500000</v>
      </c>
      <c r="D960">
        <v>4384177908</v>
      </c>
      <c r="E960" t="s">
        <v>1011</v>
      </c>
      <c r="F960" t="s">
        <v>703</v>
      </c>
      <c r="G960">
        <v>2738</v>
      </c>
      <c r="H960" t="s">
        <v>987</v>
      </c>
      <c r="I960" t="s">
        <v>987</v>
      </c>
      <c r="J960" t="s">
        <v>1053</v>
      </c>
      <c r="K960">
        <v>1667</v>
      </c>
      <c r="L960" t="s">
        <v>987</v>
      </c>
      <c r="M960">
        <v>37</v>
      </c>
      <c r="N960">
        <v>13501000</v>
      </c>
      <c r="O960">
        <v>3400</v>
      </c>
      <c r="P960">
        <v>54000</v>
      </c>
      <c r="Q960">
        <v>40500</v>
      </c>
      <c r="R960">
        <v>648100</v>
      </c>
      <c r="S960" t="s">
        <v>987</v>
      </c>
      <c r="T960">
        <v>2015</v>
      </c>
      <c r="U960" t="s">
        <v>999</v>
      </c>
      <c r="V960">
        <v>19</v>
      </c>
      <c r="W960" t="s">
        <v>987</v>
      </c>
      <c r="X960" t="s">
        <v>987</v>
      </c>
      <c r="Y960" t="s">
        <v>987</v>
      </c>
      <c r="Z960" t="s">
        <v>987</v>
      </c>
      <c r="AA960" t="s">
        <v>987</v>
      </c>
      <c r="AB960" t="s">
        <v>987</v>
      </c>
    </row>
    <row r="961" spans="1:28" x14ac:dyDescent="0.3">
      <c r="A961">
        <v>960</v>
      </c>
      <c r="B961" t="s">
        <v>747</v>
      </c>
      <c r="C961">
        <v>12500000</v>
      </c>
      <c r="D961">
        <v>4625777945</v>
      </c>
      <c r="E961" t="s">
        <v>988</v>
      </c>
      <c r="F961" t="s">
        <v>747</v>
      </c>
      <c r="G961">
        <v>1888</v>
      </c>
      <c r="H961" t="s">
        <v>1019</v>
      </c>
      <c r="I961" t="s">
        <v>1020</v>
      </c>
      <c r="J961" t="s">
        <v>988</v>
      </c>
      <c r="K961">
        <v>1532</v>
      </c>
      <c r="L961">
        <v>54</v>
      </c>
      <c r="M961">
        <v>171</v>
      </c>
      <c r="N961">
        <v>7158000</v>
      </c>
      <c r="O961">
        <v>1800</v>
      </c>
      <c r="P961">
        <v>28600</v>
      </c>
      <c r="Q961">
        <v>21500</v>
      </c>
      <c r="R961">
        <v>343600</v>
      </c>
      <c r="S961" t="s">
        <v>987</v>
      </c>
      <c r="T961">
        <v>2011</v>
      </c>
      <c r="U961" t="s">
        <v>995</v>
      </c>
      <c r="V961">
        <v>13</v>
      </c>
      <c r="W961">
        <v>51.3</v>
      </c>
      <c r="X961">
        <v>212559417</v>
      </c>
      <c r="Y961">
        <v>12.08</v>
      </c>
      <c r="Z961">
        <v>183241641</v>
      </c>
      <c r="AA961">
        <v>-14.235004</v>
      </c>
      <c r="AB961">
        <v>-51.925280000000001</v>
      </c>
    </row>
    <row r="962" spans="1:28" x14ac:dyDescent="0.3">
      <c r="A962">
        <v>961</v>
      </c>
      <c r="B962" t="s">
        <v>457</v>
      </c>
      <c r="C962">
        <v>12500000</v>
      </c>
      <c r="D962">
        <v>4935793409</v>
      </c>
      <c r="E962" t="s">
        <v>988</v>
      </c>
      <c r="F962" t="s">
        <v>457</v>
      </c>
      <c r="G962">
        <v>151136</v>
      </c>
      <c r="H962" t="s">
        <v>978</v>
      </c>
      <c r="I962" t="s">
        <v>979</v>
      </c>
      <c r="J962" t="s">
        <v>1027</v>
      </c>
      <c r="K962">
        <v>1395</v>
      </c>
      <c r="L962">
        <v>123</v>
      </c>
      <c r="M962">
        <v>24</v>
      </c>
      <c r="N962">
        <v>58527000</v>
      </c>
      <c r="O962">
        <v>14600</v>
      </c>
      <c r="P962">
        <v>234100</v>
      </c>
      <c r="Q962">
        <v>175600</v>
      </c>
      <c r="R962">
        <v>2800000</v>
      </c>
      <c r="S962">
        <v>100000</v>
      </c>
      <c r="T962">
        <v>2006</v>
      </c>
      <c r="U962" t="s">
        <v>995</v>
      </c>
      <c r="V962">
        <v>8</v>
      </c>
      <c r="W962">
        <v>28.1</v>
      </c>
      <c r="X962">
        <v>1366417754</v>
      </c>
      <c r="Y962">
        <v>5.36</v>
      </c>
      <c r="Z962">
        <v>471031528</v>
      </c>
      <c r="AA962">
        <v>20.593684</v>
      </c>
      <c r="AB962">
        <v>78.962879999999998</v>
      </c>
    </row>
    <row r="963" spans="1:28" x14ac:dyDescent="0.3">
      <c r="A963">
        <v>962</v>
      </c>
      <c r="B963" t="s">
        <v>302</v>
      </c>
      <c r="C963">
        <v>12500000</v>
      </c>
      <c r="D963">
        <v>7489455451</v>
      </c>
      <c r="E963" t="s">
        <v>977</v>
      </c>
      <c r="F963" t="s">
        <v>302</v>
      </c>
      <c r="G963">
        <v>377</v>
      </c>
      <c r="H963" t="s">
        <v>1058</v>
      </c>
      <c r="I963" t="s">
        <v>1059</v>
      </c>
      <c r="J963" t="s">
        <v>988</v>
      </c>
      <c r="K963">
        <v>743</v>
      </c>
      <c r="L963">
        <v>33</v>
      </c>
      <c r="M963">
        <v>171</v>
      </c>
      <c r="N963">
        <v>115881000</v>
      </c>
      <c r="O963">
        <v>29000</v>
      </c>
      <c r="P963">
        <v>463500</v>
      </c>
      <c r="Q963">
        <v>347600</v>
      </c>
      <c r="R963">
        <v>5600000</v>
      </c>
      <c r="S963">
        <v>100000</v>
      </c>
      <c r="T963">
        <v>2008</v>
      </c>
      <c r="U963" t="s">
        <v>1029</v>
      </c>
      <c r="V963">
        <v>27</v>
      </c>
      <c r="W963">
        <v>40.200000000000003</v>
      </c>
      <c r="X963">
        <v>126014024</v>
      </c>
      <c r="Y963">
        <v>3.42</v>
      </c>
      <c r="Z963">
        <v>102626859</v>
      </c>
      <c r="AA963">
        <v>23.634501</v>
      </c>
      <c r="AB963">
        <v>-102.552784</v>
      </c>
    </row>
    <row r="964" spans="1:28" x14ac:dyDescent="0.3">
      <c r="A964">
        <v>963</v>
      </c>
      <c r="B964" t="s">
        <v>158</v>
      </c>
      <c r="C964">
        <v>12500000</v>
      </c>
      <c r="D964">
        <v>10384848759</v>
      </c>
      <c r="E964" t="s">
        <v>988</v>
      </c>
      <c r="F964" t="s">
        <v>158</v>
      </c>
      <c r="G964">
        <v>1699</v>
      </c>
      <c r="H964" t="s">
        <v>978</v>
      </c>
      <c r="I964" t="s">
        <v>979</v>
      </c>
      <c r="J964" t="s">
        <v>988</v>
      </c>
      <c r="K964">
        <v>413</v>
      </c>
      <c r="L964">
        <v>123</v>
      </c>
      <c r="M964">
        <v>171</v>
      </c>
      <c r="N964">
        <v>235715000</v>
      </c>
      <c r="O964">
        <v>58900</v>
      </c>
      <c r="P964">
        <v>942900</v>
      </c>
      <c r="Q964">
        <v>707100</v>
      </c>
      <c r="R964">
        <v>11300000</v>
      </c>
      <c r="S964">
        <v>400000</v>
      </c>
      <c r="T964">
        <v>2017</v>
      </c>
      <c r="U964" t="s">
        <v>1003</v>
      </c>
      <c r="V964">
        <v>18</v>
      </c>
      <c r="W964">
        <v>28.1</v>
      </c>
      <c r="X964">
        <v>1366417754</v>
      </c>
      <c r="Y964">
        <v>5.36</v>
      </c>
      <c r="Z964">
        <v>471031528</v>
      </c>
      <c r="AA964">
        <v>20.593684</v>
      </c>
      <c r="AB964">
        <v>78.962879999999998</v>
      </c>
    </row>
    <row r="965" spans="1:28" x14ac:dyDescent="0.3">
      <c r="A965">
        <v>964</v>
      </c>
      <c r="B965" t="s">
        <v>100</v>
      </c>
      <c r="C965">
        <v>12500000</v>
      </c>
      <c r="D965">
        <v>11552190002</v>
      </c>
      <c r="E965" t="s">
        <v>988</v>
      </c>
      <c r="F965" t="s">
        <v>100</v>
      </c>
      <c r="G965">
        <v>102699</v>
      </c>
      <c r="H965" t="s">
        <v>978</v>
      </c>
      <c r="I965" t="s">
        <v>979</v>
      </c>
      <c r="J965" t="s">
        <v>988</v>
      </c>
      <c r="K965">
        <v>342</v>
      </c>
      <c r="L965">
        <v>123</v>
      </c>
      <c r="M965">
        <v>171</v>
      </c>
      <c r="N965">
        <v>349940000</v>
      </c>
      <c r="O965">
        <v>87500</v>
      </c>
      <c r="P965">
        <v>1400000</v>
      </c>
      <c r="Q965">
        <v>1000000</v>
      </c>
      <c r="R965">
        <v>16800000</v>
      </c>
      <c r="S965">
        <v>200000</v>
      </c>
      <c r="T965">
        <v>2008</v>
      </c>
      <c r="U965" t="s">
        <v>1010</v>
      </c>
      <c r="V965">
        <v>26</v>
      </c>
      <c r="W965">
        <v>28.1</v>
      </c>
      <c r="X965">
        <v>1366417754</v>
      </c>
      <c r="Y965">
        <v>5.36</v>
      </c>
      <c r="Z965">
        <v>471031528</v>
      </c>
      <c r="AA965">
        <v>20.593684</v>
      </c>
      <c r="AB965">
        <v>78.962879999999998</v>
      </c>
    </row>
    <row r="966" spans="1:28" x14ac:dyDescent="0.3">
      <c r="A966">
        <v>965</v>
      </c>
      <c r="B966" t="s">
        <v>210</v>
      </c>
      <c r="C966">
        <v>12500000</v>
      </c>
      <c r="D966">
        <v>11691081301</v>
      </c>
      <c r="E966" t="s">
        <v>988</v>
      </c>
      <c r="F966" t="s">
        <v>210</v>
      </c>
      <c r="G966">
        <v>11907</v>
      </c>
      <c r="H966" t="s">
        <v>978</v>
      </c>
      <c r="I966" t="s">
        <v>979</v>
      </c>
      <c r="J966" t="s">
        <v>988</v>
      </c>
      <c r="K966">
        <v>337</v>
      </c>
      <c r="L966">
        <v>122</v>
      </c>
      <c r="M966">
        <v>170</v>
      </c>
      <c r="N966">
        <v>180021000</v>
      </c>
      <c r="O966">
        <v>45000</v>
      </c>
      <c r="P966">
        <v>720100</v>
      </c>
      <c r="Q966">
        <v>540100</v>
      </c>
      <c r="R966">
        <v>8600000</v>
      </c>
      <c r="S966">
        <v>100000</v>
      </c>
      <c r="T966">
        <v>2015</v>
      </c>
      <c r="U966" t="s">
        <v>1010</v>
      </c>
      <c r="V966">
        <v>19</v>
      </c>
      <c r="W966">
        <v>28.1</v>
      </c>
      <c r="X966">
        <v>1366417754</v>
      </c>
      <c r="Y966">
        <v>5.36</v>
      </c>
      <c r="Z966">
        <v>471031528</v>
      </c>
      <c r="AA966">
        <v>20.593684</v>
      </c>
      <c r="AB966">
        <v>78.962879999999998</v>
      </c>
    </row>
    <row r="967" spans="1:28" x14ac:dyDescent="0.3">
      <c r="A967">
        <v>966</v>
      </c>
      <c r="B967" t="s">
        <v>175</v>
      </c>
      <c r="C967">
        <v>12500000</v>
      </c>
      <c r="D967">
        <v>16690788752</v>
      </c>
      <c r="E967" t="s">
        <v>977</v>
      </c>
      <c r="F967" t="s">
        <v>175</v>
      </c>
      <c r="G967">
        <v>253</v>
      </c>
      <c r="H967" t="s">
        <v>1019</v>
      </c>
      <c r="I967" t="s">
        <v>1020</v>
      </c>
      <c r="J967" t="s">
        <v>977</v>
      </c>
      <c r="K967">
        <v>171</v>
      </c>
      <c r="L967">
        <v>54</v>
      </c>
      <c r="M967">
        <v>149</v>
      </c>
      <c r="N967">
        <v>213700000</v>
      </c>
      <c r="O967">
        <v>53400</v>
      </c>
      <c r="P967">
        <v>854800</v>
      </c>
      <c r="Q967">
        <v>641100</v>
      </c>
      <c r="R967">
        <v>10300000</v>
      </c>
      <c r="S967">
        <v>100000</v>
      </c>
      <c r="T967">
        <v>2011</v>
      </c>
      <c r="U967" t="s">
        <v>991</v>
      </c>
      <c r="V967">
        <v>29</v>
      </c>
      <c r="W967">
        <v>51.3</v>
      </c>
      <c r="X967">
        <v>212559417</v>
      </c>
      <c r="Y967">
        <v>12.08</v>
      </c>
      <c r="Z967">
        <v>183241641</v>
      </c>
      <c r="AA967">
        <v>-14.235004</v>
      </c>
      <c r="AB967">
        <v>-51.925280000000001</v>
      </c>
    </row>
    <row r="968" spans="1:28" x14ac:dyDescent="0.3">
      <c r="A968">
        <v>967</v>
      </c>
      <c r="B968" t="s">
        <v>717</v>
      </c>
      <c r="C968">
        <v>12500000</v>
      </c>
      <c r="D968">
        <v>5146004207</v>
      </c>
      <c r="E968" t="s">
        <v>977</v>
      </c>
      <c r="F968" t="s">
        <v>717</v>
      </c>
      <c r="G968">
        <v>19899</v>
      </c>
      <c r="H968" t="s">
        <v>978</v>
      </c>
      <c r="I968" t="s">
        <v>979</v>
      </c>
      <c r="J968" t="s">
        <v>977</v>
      </c>
      <c r="K968">
        <v>1299</v>
      </c>
      <c r="L968">
        <v>123</v>
      </c>
      <c r="M968">
        <v>149</v>
      </c>
      <c r="N968">
        <v>11079000</v>
      </c>
      <c r="O968">
        <v>2800</v>
      </c>
      <c r="P968">
        <v>44300</v>
      </c>
      <c r="Q968">
        <v>33200</v>
      </c>
      <c r="R968">
        <v>531800</v>
      </c>
      <c r="S968" t="s">
        <v>987</v>
      </c>
      <c r="T968">
        <v>2011</v>
      </c>
      <c r="U968" t="s">
        <v>999</v>
      </c>
      <c r="V968">
        <v>19</v>
      </c>
      <c r="W968">
        <v>28.1</v>
      </c>
      <c r="X968">
        <v>1366417754</v>
      </c>
      <c r="Y968">
        <v>5.36</v>
      </c>
      <c r="Z968">
        <v>471031528</v>
      </c>
      <c r="AA968">
        <v>20.593684</v>
      </c>
      <c r="AB968">
        <v>78.962879999999998</v>
      </c>
    </row>
    <row r="969" spans="1:28" x14ac:dyDescent="0.3">
      <c r="A969">
        <v>968</v>
      </c>
      <c r="B969" t="s">
        <v>872</v>
      </c>
      <c r="C969">
        <v>12500000</v>
      </c>
      <c r="D969">
        <v>5379684248</v>
      </c>
      <c r="E969" t="s">
        <v>994</v>
      </c>
      <c r="F969" t="s">
        <v>1286</v>
      </c>
      <c r="G969">
        <v>8</v>
      </c>
      <c r="H969" t="s">
        <v>987</v>
      </c>
      <c r="I969" t="s">
        <v>987</v>
      </c>
      <c r="J969" t="s">
        <v>1002</v>
      </c>
      <c r="K969">
        <v>4057418</v>
      </c>
      <c r="L969" t="s">
        <v>987</v>
      </c>
      <c r="M969">
        <v>7712</v>
      </c>
      <c r="N969">
        <v>1</v>
      </c>
      <c r="O969">
        <v>0</v>
      </c>
      <c r="P969">
        <v>0</v>
      </c>
      <c r="Q969">
        <v>0</v>
      </c>
      <c r="R969">
        <v>0.05</v>
      </c>
      <c r="S969" t="s">
        <v>987</v>
      </c>
      <c r="T969">
        <v>2020</v>
      </c>
      <c r="U969" t="s">
        <v>1015</v>
      </c>
      <c r="V969">
        <v>29</v>
      </c>
      <c r="W969" t="s">
        <v>987</v>
      </c>
      <c r="X969" t="s">
        <v>987</v>
      </c>
      <c r="Y969" t="s">
        <v>987</v>
      </c>
      <c r="Z969" t="s">
        <v>987</v>
      </c>
      <c r="AA969" t="s">
        <v>987</v>
      </c>
      <c r="AB969" t="s">
        <v>987</v>
      </c>
    </row>
    <row r="970" spans="1:28" x14ac:dyDescent="0.3">
      <c r="A970">
        <v>969</v>
      </c>
      <c r="B970" t="s">
        <v>706</v>
      </c>
      <c r="C970">
        <v>12500000</v>
      </c>
      <c r="D970">
        <v>4465772496</v>
      </c>
      <c r="E970" t="s">
        <v>1044</v>
      </c>
      <c r="F970" t="s">
        <v>706</v>
      </c>
      <c r="G970">
        <v>117</v>
      </c>
      <c r="H970" t="s">
        <v>978</v>
      </c>
      <c r="I970" t="s">
        <v>979</v>
      </c>
      <c r="J970" t="s">
        <v>1044</v>
      </c>
      <c r="K970">
        <v>1621</v>
      </c>
      <c r="L970">
        <v>123</v>
      </c>
      <c r="M970">
        <v>42</v>
      </c>
      <c r="N970">
        <v>13142000</v>
      </c>
      <c r="O970">
        <v>3300</v>
      </c>
      <c r="P970">
        <v>52600</v>
      </c>
      <c r="Q970">
        <v>39400</v>
      </c>
      <c r="R970">
        <v>630800</v>
      </c>
      <c r="S970" t="s">
        <v>987</v>
      </c>
      <c r="T970">
        <v>2018</v>
      </c>
      <c r="U970" t="s">
        <v>989</v>
      </c>
      <c r="V970">
        <v>20</v>
      </c>
      <c r="W970">
        <v>28.1</v>
      </c>
      <c r="X970">
        <v>1366417754</v>
      </c>
      <c r="Y970">
        <v>5.36</v>
      </c>
      <c r="Z970">
        <v>471031528</v>
      </c>
      <c r="AA970">
        <v>20.593684</v>
      </c>
      <c r="AB970">
        <v>78.962879999999998</v>
      </c>
    </row>
    <row r="971" spans="1:28" x14ac:dyDescent="0.3">
      <c r="A971">
        <v>970</v>
      </c>
      <c r="B971" t="s">
        <v>811</v>
      </c>
      <c r="C971">
        <v>12500000</v>
      </c>
      <c r="D971">
        <v>4340213066</v>
      </c>
      <c r="E971" t="s">
        <v>1088</v>
      </c>
      <c r="F971" t="s">
        <v>1287</v>
      </c>
      <c r="G971">
        <v>223</v>
      </c>
      <c r="H971" t="s">
        <v>1041</v>
      </c>
      <c r="I971" t="s">
        <v>1042</v>
      </c>
      <c r="J971" t="s">
        <v>987</v>
      </c>
      <c r="K971">
        <v>3956586</v>
      </c>
      <c r="L971">
        <v>3554</v>
      </c>
      <c r="M971" t="s">
        <v>987</v>
      </c>
      <c r="N971">
        <v>8721</v>
      </c>
      <c r="O971">
        <v>2</v>
      </c>
      <c r="P971">
        <v>35</v>
      </c>
      <c r="Q971">
        <v>26</v>
      </c>
      <c r="R971">
        <v>419</v>
      </c>
      <c r="S971">
        <v>32</v>
      </c>
      <c r="T971">
        <v>2022</v>
      </c>
      <c r="U971" t="s">
        <v>999</v>
      </c>
      <c r="V971">
        <v>23</v>
      </c>
      <c r="W971">
        <v>9</v>
      </c>
      <c r="X971">
        <v>216565318</v>
      </c>
      <c r="Y971">
        <v>4.45</v>
      </c>
      <c r="Z971">
        <v>79927762</v>
      </c>
      <c r="AA971">
        <v>30.375321</v>
      </c>
      <c r="AB971">
        <v>69.345116000000004</v>
      </c>
    </row>
    <row r="972" spans="1:28" x14ac:dyDescent="0.3">
      <c r="A972">
        <v>971</v>
      </c>
      <c r="B972" t="s">
        <v>25</v>
      </c>
      <c r="C972">
        <v>12400000</v>
      </c>
      <c r="D972">
        <v>7597013023</v>
      </c>
      <c r="E972" t="s">
        <v>1044</v>
      </c>
      <c r="F972" t="s">
        <v>25</v>
      </c>
      <c r="G972">
        <v>398</v>
      </c>
      <c r="H972" t="s">
        <v>984</v>
      </c>
      <c r="I972" t="s">
        <v>985</v>
      </c>
      <c r="J972" t="s">
        <v>1044</v>
      </c>
      <c r="K972">
        <v>720</v>
      </c>
      <c r="L972">
        <v>176</v>
      </c>
      <c r="M972">
        <v>43</v>
      </c>
      <c r="N972">
        <v>903672000</v>
      </c>
      <c r="O972">
        <v>225900</v>
      </c>
      <c r="P972">
        <v>3600000</v>
      </c>
      <c r="Q972">
        <v>2700000</v>
      </c>
      <c r="R972">
        <v>43400000</v>
      </c>
      <c r="S972">
        <v>1200000</v>
      </c>
      <c r="T972">
        <v>2019</v>
      </c>
      <c r="U972" t="s">
        <v>980</v>
      </c>
      <c r="V972">
        <v>24</v>
      </c>
      <c r="W972">
        <v>88.2</v>
      </c>
      <c r="X972">
        <v>328239523</v>
      </c>
      <c r="Y972">
        <v>14.7</v>
      </c>
      <c r="Z972">
        <v>270663028</v>
      </c>
      <c r="AA972">
        <v>37.090240000000001</v>
      </c>
      <c r="AB972">
        <v>-95.712890999999999</v>
      </c>
    </row>
    <row r="973" spans="1:28" x14ac:dyDescent="0.3">
      <c r="A973">
        <v>972</v>
      </c>
      <c r="B973" t="s">
        <v>136</v>
      </c>
      <c r="C973">
        <v>12400000</v>
      </c>
      <c r="D973">
        <v>1971226335</v>
      </c>
      <c r="E973" t="s">
        <v>987</v>
      </c>
      <c r="F973" t="s">
        <v>136</v>
      </c>
      <c r="G973">
        <v>218</v>
      </c>
      <c r="H973" t="s">
        <v>978</v>
      </c>
      <c r="I973" t="s">
        <v>979</v>
      </c>
      <c r="J973" t="s">
        <v>990</v>
      </c>
      <c r="K973">
        <v>5034</v>
      </c>
      <c r="L973">
        <v>124</v>
      </c>
      <c r="M973">
        <v>47</v>
      </c>
      <c r="N973">
        <v>273670000</v>
      </c>
      <c r="O973">
        <v>68400</v>
      </c>
      <c r="P973">
        <v>1100000</v>
      </c>
      <c r="Q973">
        <v>821000</v>
      </c>
      <c r="R973">
        <v>13100000</v>
      </c>
      <c r="S973">
        <v>600000</v>
      </c>
      <c r="T973">
        <v>2012</v>
      </c>
      <c r="U973" t="s">
        <v>991</v>
      </c>
      <c r="V973">
        <v>29</v>
      </c>
      <c r="W973">
        <v>28.1</v>
      </c>
      <c r="X973">
        <v>1366417754</v>
      </c>
      <c r="Y973">
        <v>5.36</v>
      </c>
      <c r="Z973">
        <v>471031528</v>
      </c>
      <c r="AA973">
        <v>20.593684</v>
      </c>
      <c r="AB973">
        <v>78.962879999999998</v>
      </c>
    </row>
    <row r="974" spans="1:28" x14ac:dyDescent="0.3">
      <c r="A974">
        <v>973</v>
      </c>
      <c r="B974" t="s">
        <v>654</v>
      </c>
      <c r="C974">
        <v>12400000</v>
      </c>
      <c r="D974">
        <v>1689090619</v>
      </c>
      <c r="E974" t="s">
        <v>994</v>
      </c>
      <c r="F974" t="s">
        <v>654</v>
      </c>
      <c r="G974">
        <v>689</v>
      </c>
      <c r="H974" t="s">
        <v>987</v>
      </c>
      <c r="I974" t="s">
        <v>987</v>
      </c>
      <c r="J974" t="s">
        <v>1002</v>
      </c>
      <c r="K974">
        <v>6116</v>
      </c>
      <c r="L974" t="s">
        <v>987</v>
      </c>
      <c r="M974">
        <v>63</v>
      </c>
      <c r="N974">
        <v>21837000</v>
      </c>
      <c r="O974">
        <v>5500</v>
      </c>
      <c r="P974">
        <v>87300</v>
      </c>
      <c r="Q974">
        <v>65500</v>
      </c>
      <c r="R974">
        <v>1000000</v>
      </c>
      <c r="S974" t="s">
        <v>987</v>
      </c>
      <c r="T974">
        <v>2017</v>
      </c>
      <c r="U974" t="s">
        <v>989</v>
      </c>
      <c r="V974">
        <v>22</v>
      </c>
      <c r="W974" t="s">
        <v>987</v>
      </c>
      <c r="X974" t="s">
        <v>987</v>
      </c>
      <c r="Y974" t="s">
        <v>987</v>
      </c>
      <c r="Z974" t="s">
        <v>987</v>
      </c>
      <c r="AA974" t="s">
        <v>987</v>
      </c>
      <c r="AB974" t="s">
        <v>987</v>
      </c>
    </row>
    <row r="975" spans="1:28" x14ac:dyDescent="0.3">
      <c r="A975">
        <v>974</v>
      </c>
      <c r="B975" t="s">
        <v>806</v>
      </c>
      <c r="C975">
        <v>12400000</v>
      </c>
      <c r="D975">
        <v>2394143260</v>
      </c>
      <c r="E975" t="s">
        <v>996</v>
      </c>
      <c r="F975" t="s">
        <v>1288</v>
      </c>
      <c r="G975">
        <v>690</v>
      </c>
      <c r="H975" t="s">
        <v>984</v>
      </c>
      <c r="I975" t="s">
        <v>985</v>
      </c>
      <c r="J975" t="s">
        <v>988</v>
      </c>
      <c r="K975">
        <v>186431</v>
      </c>
      <c r="L975">
        <v>1795</v>
      </c>
      <c r="M975">
        <v>1759</v>
      </c>
      <c r="N975">
        <v>27596</v>
      </c>
      <c r="O975">
        <v>7</v>
      </c>
      <c r="P975">
        <v>110</v>
      </c>
      <c r="Q975">
        <v>83</v>
      </c>
      <c r="R975">
        <v>1300</v>
      </c>
      <c r="S975" t="s">
        <v>987</v>
      </c>
      <c r="T975">
        <v>2006</v>
      </c>
      <c r="U975" t="s">
        <v>1003</v>
      </c>
      <c r="V975">
        <v>4</v>
      </c>
      <c r="W975">
        <v>88.2</v>
      </c>
      <c r="X975">
        <v>328239523</v>
      </c>
      <c r="Y975">
        <v>14.7</v>
      </c>
      <c r="Z975">
        <v>270663028</v>
      </c>
      <c r="AA975">
        <v>37.090240000000001</v>
      </c>
      <c r="AB975">
        <v>-95.712890999999999</v>
      </c>
    </row>
    <row r="976" spans="1:28" x14ac:dyDescent="0.3">
      <c r="A976">
        <v>975</v>
      </c>
      <c r="B976" t="s">
        <v>727</v>
      </c>
      <c r="C976">
        <v>12400000</v>
      </c>
      <c r="D976">
        <v>2862685032</v>
      </c>
      <c r="E976" t="s">
        <v>994</v>
      </c>
      <c r="F976" t="s">
        <v>727</v>
      </c>
      <c r="G976">
        <v>226</v>
      </c>
      <c r="H976" t="s">
        <v>1058</v>
      </c>
      <c r="I976" t="s">
        <v>1059</v>
      </c>
      <c r="J976" t="s">
        <v>1002</v>
      </c>
      <c r="K976">
        <v>3087</v>
      </c>
      <c r="L976">
        <v>34</v>
      </c>
      <c r="M976">
        <v>63</v>
      </c>
      <c r="N976">
        <v>10278000</v>
      </c>
      <c r="O976">
        <v>2600</v>
      </c>
      <c r="P976">
        <v>41100</v>
      </c>
      <c r="Q976">
        <v>30800</v>
      </c>
      <c r="R976">
        <v>493300</v>
      </c>
      <c r="S976" t="s">
        <v>987</v>
      </c>
      <c r="T976">
        <v>2014</v>
      </c>
      <c r="U976" t="s">
        <v>1010</v>
      </c>
      <c r="V976">
        <v>30</v>
      </c>
      <c r="W976">
        <v>40.200000000000003</v>
      </c>
      <c r="X976">
        <v>126014024</v>
      </c>
      <c r="Y976">
        <v>3.42</v>
      </c>
      <c r="Z976">
        <v>102626859</v>
      </c>
      <c r="AA976">
        <v>23.634501</v>
      </c>
      <c r="AB976">
        <v>-102.552784</v>
      </c>
    </row>
    <row r="977" spans="1:28" x14ac:dyDescent="0.3">
      <c r="A977">
        <v>976</v>
      </c>
      <c r="B977" t="s">
        <v>910</v>
      </c>
      <c r="C977">
        <v>12400000</v>
      </c>
      <c r="D977">
        <v>2602614088</v>
      </c>
      <c r="E977" t="s">
        <v>1044</v>
      </c>
      <c r="F977" t="s">
        <v>1289</v>
      </c>
      <c r="G977">
        <v>9</v>
      </c>
      <c r="H977" t="s">
        <v>1019</v>
      </c>
      <c r="I977" t="s">
        <v>1020</v>
      </c>
      <c r="J977" t="s">
        <v>1044</v>
      </c>
      <c r="K977">
        <v>4050768</v>
      </c>
      <c r="L977">
        <v>5075</v>
      </c>
      <c r="M977">
        <v>4894</v>
      </c>
      <c r="N977" t="s">
        <v>987</v>
      </c>
      <c r="O977">
        <v>0</v>
      </c>
      <c r="P977">
        <v>0</v>
      </c>
      <c r="Q977">
        <v>0</v>
      </c>
      <c r="R977">
        <v>0</v>
      </c>
      <c r="S977" t="s">
        <v>987</v>
      </c>
      <c r="T977">
        <v>2010</v>
      </c>
      <c r="U977" t="s">
        <v>1010</v>
      </c>
      <c r="V977">
        <v>24</v>
      </c>
      <c r="W977">
        <v>51.3</v>
      </c>
      <c r="X977">
        <v>212559417</v>
      </c>
      <c r="Y977">
        <v>12.08</v>
      </c>
      <c r="Z977">
        <v>183241641</v>
      </c>
      <c r="AA977">
        <v>-14.235004</v>
      </c>
      <c r="AB977">
        <v>-51.925280000000001</v>
      </c>
    </row>
    <row r="978" spans="1:28" x14ac:dyDescent="0.3">
      <c r="A978">
        <v>977</v>
      </c>
      <c r="B978" t="s">
        <v>791</v>
      </c>
      <c r="C978">
        <v>12400000</v>
      </c>
      <c r="D978">
        <v>1113066203</v>
      </c>
      <c r="E978" t="s">
        <v>988</v>
      </c>
      <c r="F978" t="s">
        <v>791</v>
      </c>
      <c r="G978">
        <v>409</v>
      </c>
      <c r="H978" t="s">
        <v>1081</v>
      </c>
      <c r="I978" t="s">
        <v>1082</v>
      </c>
      <c r="J978" t="s">
        <v>988</v>
      </c>
      <c r="K978">
        <v>10271</v>
      </c>
      <c r="L978">
        <v>34</v>
      </c>
      <c r="M978">
        <v>172</v>
      </c>
      <c r="N978">
        <v>806075</v>
      </c>
      <c r="O978">
        <v>202</v>
      </c>
      <c r="P978">
        <v>3200</v>
      </c>
      <c r="Q978">
        <v>2400</v>
      </c>
      <c r="R978">
        <v>38700</v>
      </c>
      <c r="S978" t="s">
        <v>987</v>
      </c>
      <c r="T978">
        <v>2012</v>
      </c>
      <c r="U978" t="s">
        <v>999</v>
      </c>
      <c r="V978">
        <v>28</v>
      </c>
      <c r="W978">
        <v>36.299999999999997</v>
      </c>
      <c r="X978">
        <v>270203917</v>
      </c>
      <c r="Y978">
        <v>4.6900000000000004</v>
      </c>
      <c r="Z978">
        <v>151509724</v>
      </c>
      <c r="AA978">
        <v>-0.78927499999999995</v>
      </c>
      <c r="AB978">
        <v>113.92132700000001</v>
      </c>
    </row>
    <row r="979" spans="1:28" x14ac:dyDescent="0.3">
      <c r="A979">
        <v>978</v>
      </c>
      <c r="B979" t="s">
        <v>633</v>
      </c>
      <c r="C979">
        <v>12400000</v>
      </c>
      <c r="D979">
        <v>2840137980</v>
      </c>
      <c r="E979" t="s">
        <v>996</v>
      </c>
      <c r="F979" t="s">
        <v>633</v>
      </c>
      <c r="G979">
        <v>1024</v>
      </c>
      <c r="H979" t="s">
        <v>1065</v>
      </c>
      <c r="I979" t="s">
        <v>1066</v>
      </c>
      <c r="J979" t="s">
        <v>986</v>
      </c>
      <c r="K979">
        <v>3116</v>
      </c>
      <c r="L979">
        <v>19</v>
      </c>
      <c r="M979">
        <v>68</v>
      </c>
      <c r="N979">
        <v>24022000</v>
      </c>
      <c r="O979">
        <v>6000</v>
      </c>
      <c r="P979">
        <v>96100</v>
      </c>
      <c r="Q979">
        <v>72100</v>
      </c>
      <c r="R979">
        <v>1200000</v>
      </c>
      <c r="S979">
        <v>100000</v>
      </c>
      <c r="T979">
        <v>2012</v>
      </c>
      <c r="U979" t="s">
        <v>1008</v>
      </c>
      <c r="V979">
        <v>16</v>
      </c>
      <c r="W979">
        <v>88.9</v>
      </c>
      <c r="X979">
        <v>47076781</v>
      </c>
      <c r="Y979">
        <v>13.96</v>
      </c>
      <c r="Z979">
        <v>37927409</v>
      </c>
      <c r="AA979">
        <v>40.463667000000001</v>
      </c>
      <c r="AB979">
        <v>-3.7492200000000002</v>
      </c>
    </row>
    <row r="980" spans="1:28" x14ac:dyDescent="0.3">
      <c r="A980">
        <v>979</v>
      </c>
      <c r="B980" t="s">
        <v>735</v>
      </c>
      <c r="C980">
        <v>12400000</v>
      </c>
      <c r="D980">
        <v>4021409291</v>
      </c>
      <c r="E980" t="s">
        <v>988</v>
      </c>
      <c r="F980" t="s">
        <v>735</v>
      </c>
      <c r="G980">
        <v>813</v>
      </c>
      <c r="H980" t="s">
        <v>1017</v>
      </c>
      <c r="I980" t="s">
        <v>1018</v>
      </c>
      <c r="J980" t="s">
        <v>988</v>
      </c>
      <c r="K980">
        <v>1900</v>
      </c>
      <c r="L980">
        <v>14</v>
      </c>
      <c r="M980">
        <v>172</v>
      </c>
      <c r="N980">
        <v>9595000</v>
      </c>
      <c r="O980">
        <v>2400</v>
      </c>
      <c r="P980">
        <v>38400</v>
      </c>
      <c r="Q980">
        <v>28800</v>
      </c>
      <c r="R980">
        <v>460600</v>
      </c>
      <c r="S980" t="s">
        <v>987</v>
      </c>
      <c r="T980">
        <v>2015</v>
      </c>
      <c r="U980" t="s">
        <v>1029</v>
      </c>
      <c r="V980">
        <v>24</v>
      </c>
      <c r="W980">
        <v>68.900000000000006</v>
      </c>
      <c r="X980">
        <v>36991981</v>
      </c>
      <c r="Y980">
        <v>5.56</v>
      </c>
      <c r="Z980">
        <v>30628482</v>
      </c>
      <c r="AA980">
        <v>56.130366000000002</v>
      </c>
      <c r="AB980">
        <v>-106.346771</v>
      </c>
    </row>
    <row r="981" spans="1:28" x14ac:dyDescent="0.3">
      <c r="A981">
        <v>980</v>
      </c>
      <c r="B981" t="s">
        <v>395</v>
      </c>
      <c r="C981">
        <v>12400000</v>
      </c>
      <c r="D981">
        <v>6933660906</v>
      </c>
      <c r="E981" t="s">
        <v>996</v>
      </c>
      <c r="F981" t="s">
        <v>395</v>
      </c>
      <c r="G981">
        <v>12419</v>
      </c>
      <c r="H981" t="s">
        <v>1065</v>
      </c>
      <c r="I981" t="s">
        <v>1066</v>
      </c>
      <c r="J981" t="s">
        <v>986</v>
      </c>
      <c r="K981">
        <v>847</v>
      </c>
      <c r="L981">
        <v>19</v>
      </c>
      <c r="M981">
        <v>68</v>
      </c>
      <c r="N981">
        <v>82648000</v>
      </c>
      <c r="O981">
        <v>20700</v>
      </c>
      <c r="P981">
        <v>330600</v>
      </c>
      <c r="Q981">
        <v>247900</v>
      </c>
      <c r="R981">
        <v>4000000</v>
      </c>
      <c r="S981">
        <v>100000</v>
      </c>
      <c r="T981">
        <v>2012</v>
      </c>
      <c r="U981" t="s">
        <v>1025</v>
      </c>
      <c r="V981">
        <v>29</v>
      </c>
      <c r="W981">
        <v>88.9</v>
      </c>
      <c r="X981">
        <v>47076781</v>
      </c>
      <c r="Y981">
        <v>13.96</v>
      </c>
      <c r="Z981">
        <v>37927409</v>
      </c>
      <c r="AA981">
        <v>40.463667000000001</v>
      </c>
      <c r="AB981">
        <v>-3.7492200000000002</v>
      </c>
    </row>
    <row r="982" spans="1:28" x14ac:dyDescent="0.3">
      <c r="A982">
        <v>981</v>
      </c>
      <c r="B982" t="s">
        <v>358</v>
      </c>
      <c r="C982">
        <v>12400000</v>
      </c>
      <c r="D982">
        <v>7683670251</v>
      </c>
      <c r="E982" t="s">
        <v>982</v>
      </c>
      <c r="F982" t="s">
        <v>358</v>
      </c>
      <c r="G982">
        <v>1212</v>
      </c>
      <c r="H982" t="s">
        <v>978</v>
      </c>
      <c r="I982" t="s">
        <v>979</v>
      </c>
      <c r="J982" t="s">
        <v>988</v>
      </c>
      <c r="K982">
        <v>709</v>
      </c>
      <c r="L982">
        <v>124</v>
      </c>
      <c r="M982">
        <v>172</v>
      </c>
      <c r="N982">
        <v>95163000</v>
      </c>
      <c r="O982">
        <v>23800</v>
      </c>
      <c r="P982">
        <v>380700</v>
      </c>
      <c r="Q982">
        <v>285500</v>
      </c>
      <c r="R982">
        <v>4600000</v>
      </c>
      <c r="S982">
        <v>100000</v>
      </c>
      <c r="T982">
        <v>2012</v>
      </c>
      <c r="U982" t="s">
        <v>1015</v>
      </c>
      <c r="V982">
        <v>6</v>
      </c>
      <c r="W982">
        <v>28.1</v>
      </c>
      <c r="X982">
        <v>1366417754</v>
      </c>
      <c r="Y982">
        <v>5.36</v>
      </c>
      <c r="Z982">
        <v>471031528</v>
      </c>
      <c r="AA982">
        <v>20.593684</v>
      </c>
      <c r="AB982">
        <v>78.962879999999998</v>
      </c>
    </row>
    <row r="983" spans="1:28" x14ac:dyDescent="0.3">
      <c r="A983">
        <v>982</v>
      </c>
      <c r="B983" t="s">
        <v>558</v>
      </c>
      <c r="C983">
        <v>12400000</v>
      </c>
      <c r="D983">
        <v>7741764747</v>
      </c>
      <c r="E983" t="s">
        <v>994</v>
      </c>
      <c r="F983" t="s">
        <v>558</v>
      </c>
      <c r="G983">
        <v>459</v>
      </c>
      <c r="H983" t="s">
        <v>978</v>
      </c>
      <c r="I983" t="s">
        <v>979</v>
      </c>
      <c r="J983" t="s">
        <v>1002</v>
      </c>
      <c r="K983">
        <v>702</v>
      </c>
      <c r="L983">
        <v>124</v>
      </c>
      <c r="M983">
        <v>63</v>
      </c>
      <c r="N983">
        <v>38165000</v>
      </c>
      <c r="O983">
        <v>9500</v>
      </c>
      <c r="P983">
        <v>152700</v>
      </c>
      <c r="Q983">
        <v>114500</v>
      </c>
      <c r="R983">
        <v>1800000</v>
      </c>
      <c r="S983" t="s">
        <v>987</v>
      </c>
      <c r="T983">
        <v>2018</v>
      </c>
      <c r="U983" t="s">
        <v>1029</v>
      </c>
      <c r="V983">
        <v>26</v>
      </c>
      <c r="W983">
        <v>28.1</v>
      </c>
      <c r="X983">
        <v>1366417754</v>
      </c>
      <c r="Y983">
        <v>5.36</v>
      </c>
      <c r="Z983">
        <v>471031528</v>
      </c>
      <c r="AA983">
        <v>20.593684</v>
      </c>
      <c r="AB983">
        <v>78.962879999999998</v>
      </c>
    </row>
    <row r="984" spans="1:28" x14ac:dyDescent="0.3">
      <c r="A984">
        <v>983</v>
      </c>
      <c r="B984" t="s">
        <v>573</v>
      </c>
      <c r="C984">
        <v>12400000</v>
      </c>
      <c r="D984">
        <v>12607488647</v>
      </c>
      <c r="E984" t="s">
        <v>977</v>
      </c>
      <c r="F984" t="s">
        <v>573</v>
      </c>
      <c r="G984">
        <v>4422</v>
      </c>
      <c r="H984" t="s">
        <v>1013</v>
      </c>
      <c r="I984" t="s">
        <v>1014</v>
      </c>
      <c r="J984" t="s">
        <v>988</v>
      </c>
      <c r="K984">
        <v>306</v>
      </c>
      <c r="L984">
        <v>34</v>
      </c>
      <c r="M984">
        <v>172</v>
      </c>
      <c r="N984">
        <v>34758000</v>
      </c>
      <c r="O984">
        <v>8700</v>
      </c>
      <c r="P984">
        <v>139000</v>
      </c>
      <c r="Q984">
        <v>104300</v>
      </c>
      <c r="R984">
        <v>1700000</v>
      </c>
      <c r="S984" t="s">
        <v>987</v>
      </c>
      <c r="T984">
        <v>2007</v>
      </c>
      <c r="U984" t="s">
        <v>1005</v>
      </c>
      <c r="V984">
        <v>6</v>
      </c>
      <c r="W984">
        <v>60</v>
      </c>
      <c r="X984">
        <v>66834405</v>
      </c>
      <c r="Y984">
        <v>3.85</v>
      </c>
      <c r="Z984">
        <v>55908316</v>
      </c>
      <c r="AA984">
        <v>55.378050999999999</v>
      </c>
      <c r="AB984">
        <v>-3.4359730000000002</v>
      </c>
    </row>
    <row r="985" spans="1:28" x14ac:dyDescent="0.3">
      <c r="A985">
        <v>984</v>
      </c>
      <c r="B985" t="s">
        <v>903</v>
      </c>
      <c r="C985">
        <v>12400000</v>
      </c>
      <c r="D985">
        <v>16086808918</v>
      </c>
      <c r="E985" t="s">
        <v>1044</v>
      </c>
      <c r="F985" t="s">
        <v>1290</v>
      </c>
      <c r="G985">
        <v>0</v>
      </c>
      <c r="H985" t="s">
        <v>984</v>
      </c>
      <c r="I985" t="s">
        <v>985</v>
      </c>
      <c r="J985" t="s">
        <v>1002</v>
      </c>
      <c r="K985">
        <v>4057944</v>
      </c>
      <c r="L985">
        <v>2774</v>
      </c>
      <c r="M985">
        <v>2499</v>
      </c>
      <c r="N985" t="s">
        <v>987</v>
      </c>
      <c r="O985">
        <v>0</v>
      </c>
      <c r="P985">
        <v>0</v>
      </c>
      <c r="Q985">
        <v>0</v>
      </c>
      <c r="R985">
        <v>0</v>
      </c>
      <c r="S985">
        <v>100</v>
      </c>
      <c r="T985">
        <v>2016</v>
      </c>
      <c r="U985" t="s">
        <v>995</v>
      </c>
      <c r="V985">
        <v>10</v>
      </c>
      <c r="W985">
        <v>88.2</v>
      </c>
      <c r="X985">
        <v>328239523</v>
      </c>
      <c r="Y985">
        <v>14.7</v>
      </c>
      <c r="Z985">
        <v>270663028</v>
      </c>
      <c r="AA985">
        <v>37.090240000000001</v>
      </c>
      <c r="AB985">
        <v>-95.712890999999999</v>
      </c>
    </row>
    <row r="986" spans="1:28" x14ac:dyDescent="0.3">
      <c r="A986">
        <v>985</v>
      </c>
      <c r="B986" t="s">
        <v>589</v>
      </c>
      <c r="C986">
        <v>12400000</v>
      </c>
      <c r="D986">
        <v>2315226648</v>
      </c>
      <c r="E986" t="s">
        <v>1011</v>
      </c>
      <c r="F986" t="s">
        <v>589</v>
      </c>
      <c r="G986">
        <v>729</v>
      </c>
      <c r="H986" t="s">
        <v>978</v>
      </c>
      <c r="I986" t="s">
        <v>979</v>
      </c>
      <c r="J986" t="s">
        <v>1053</v>
      </c>
      <c r="K986">
        <v>4042</v>
      </c>
      <c r="L986">
        <v>124</v>
      </c>
      <c r="M986">
        <v>38</v>
      </c>
      <c r="N986">
        <v>30968000</v>
      </c>
      <c r="O986">
        <v>7700</v>
      </c>
      <c r="P986">
        <v>123900</v>
      </c>
      <c r="Q986">
        <v>92900</v>
      </c>
      <c r="R986">
        <v>1500000</v>
      </c>
      <c r="S986">
        <v>100000</v>
      </c>
      <c r="T986">
        <v>2016</v>
      </c>
      <c r="U986" t="s">
        <v>1010</v>
      </c>
      <c r="V986">
        <v>10</v>
      </c>
      <c r="W986">
        <v>28.1</v>
      </c>
      <c r="X986">
        <v>1366417754</v>
      </c>
      <c r="Y986">
        <v>5.36</v>
      </c>
      <c r="Z986">
        <v>471031528</v>
      </c>
      <c r="AA986">
        <v>20.593684</v>
      </c>
      <c r="AB986">
        <v>78.962879999999998</v>
      </c>
    </row>
    <row r="987" spans="1:28" x14ac:dyDescent="0.3">
      <c r="A987">
        <v>986</v>
      </c>
      <c r="B987" t="s">
        <v>898</v>
      </c>
      <c r="C987">
        <v>12400000</v>
      </c>
      <c r="D987">
        <v>3392022527</v>
      </c>
      <c r="E987" t="s">
        <v>990</v>
      </c>
      <c r="F987" t="s">
        <v>1291</v>
      </c>
      <c r="G987">
        <v>0</v>
      </c>
      <c r="H987" t="s">
        <v>987</v>
      </c>
      <c r="I987" t="s">
        <v>987</v>
      </c>
      <c r="J987" t="s">
        <v>1002</v>
      </c>
      <c r="K987">
        <v>4057944</v>
      </c>
      <c r="L987" t="s">
        <v>987</v>
      </c>
      <c r="M987">
        <v>7741</v>
      </c>
      <c r="N987" t="s">
        <v>987</v>
      </c>
      <c r="O987">
        <v>0</v>
      </c>
      <c r="P987">
        <v>0</v>
      </c>
      <c r="Q987">
        <v>0</v>
      </c>
      <c r="R987">
        <v>0</v>
      </c>
      <c r="S987" t="s">
        <v>987</v>
      </c>
      <c r="T987">
        <v>2006</v>
      </c>
      <c r="U987" t="s">
        <v>1010</v>
      </c>
      <c r="V987">
        <v>16</v>
      </c>
      <c r="W987" t="s">
        <v>987</v>
      </c>
      <c r="X987" t="s">
        <v>987</v>
      </c>
      <c r="Y987" t="s">
        <v>987</v>
      </c>
      <c r="Z987" t="s">
        <v>987</v>
      </c>
      <c r="AA987" t="s">
        <v>987</v>
      </c>
      <c r="AB987" t="s">
        <v>987</v>
      </c>
    </row>
    <row r="988" spans="1:28" x14ac:dyDescent="0.3">
      <c r="A988">
        <v>987</v>
      </c>
      <c r="B988" t="s">
        <v>870</v>
      </c>
      <c r="C988">
        <v>12400000</v>
      </c>
      <c r="D988">
        <v>13959586308</v>
      </c>
      <c r="E988" t="s">
        <v>994</v>
      </c>
      <c r="F988" t="s">
        <v>1292</v>
      </c>
      <c r="G988">
        <v>1</v>
      </c>
      <c r="H988" t="s">
        <v>987</v>
      </c>
      <c r="I988" t="s">
        <v>987</v>
      </c>
      <c r="J988" t="s">
        <v>1022</v>
      </c>
      <c r="K988">
        <v>4049634</v>
      </c>
      <c r="L988" t="s">
        <v>987</v>
      </c>
      <c r="M988">
        <v>5307</v>
      </c>
      <c r="N988">
        <v>2</v>
      </c>
      <c r="O988">
        <v>0</v>
      </c>
      <c r="P988">
        <v>0.01</v>
      </c>
      <c r="Q988">
        <v>0.01</v>
      </c>
      <c r="R988">
        <v>0.1</v>
      </c>
      <c r="S988" t="s">
        <v>987</v>
      </c>
      <c r="T988">
        <v>2006</v>
      </c>
      <c r="U988" t="s">
        <v>1008</v>
      </c>
      <c r="V988">
        <v>18</v>
      </c>
      <c r="W988" t="s">
        <v>987</v>
      </c>
      <c r="X988" t="s">
        <v>987</v>
      </c>
      <c r="Y988" t="s">
        <v>987</v>
      </c>
      <c r="Z988" t="s">
        <v>987</v>
      </c>
      <c r="AA988" t="s">
        <v>987</v>
      </c>
      <c r="AB988" t="s">
        <v>987</v>
      </c>
    </row>
    <row r="989" spans="1:28" x14ac:dyDescent="0.3">
      <c r="A989">
        <v>988</v>
      </c>
      <c r="B989" t="s">
        <v>496</v>
      </c>
      <c r="C989">
        <v>12400000</v>
      </c>
      <c r="D989">
        <v>6202090191</v>
      </c>
      <c r="E989" t="s">
        <v>977</v>
      </c>
      <c r="F989" t="s">
        <v>496</v>
      </c>
      <c r="G989">
        <v>205</v>
      </c>
      <c r="H989" t="s">
        <v>984</v>
      </c>
      <c r="I989" t="s">
        <v>985</v>
      </c>
      <c r="J989" t="s">
        <v>977</v>
      </c>
      <c r="K989">
        <v>999</v>
      </c>
      <c r="L989">
        <v>176</v>
      </c>
      <c r="M989">
        <v>150</v>
      </c>
      <c r="N989">
        <v>50188000</v>
      </c>
      <c r="O989">
        <v>12500</v>
      </c>
      <c r="P989">
        <v>200800</v>
      </c>
      <c r="Q989">
        <v>150600</v>
      </c>
      <c r="R989">
        <v>2400000</v>
      </c>
      <c r="S989" t="s">
        <v>987</v>
      </c>
      <c r="T989">
        <v>2005</v>
      </c>
      <c r="U989" t="s">
        <v>1025</v>
      </c>
      <c r="V989">
        <v>8</v>
      </c>
      <c r="W989">
        <v>88.2</v>
      </c>
      <c r="X989">
        <v>328239523</v>
      </c>
      <c r="Y989">
        <v>14.7</v>
      </c>
      <c r="Z989">
        <v>270663028</v>
      </c>
      <c r="AA989">
        <v>37.090240000000001</v>
      </c>
      <c r="AB989">
        <v>-95.712890999999999</v>
      </c>
    </row>
    <row r="990" spans="1:28" x14ac:dyDescent="0.3">
      <c r="A990">
        <v>989</v>
      </c>
      <c r="B990" t="s">
        <v>214</v>
      </c>
      <c r="C990">
        <v>12400000</v>
      </c>
      <c r="D990">
        <v>4779139505</v>
      </c>
      <c r="E990" t="s">
        <v>990</v>
      </c>
      <c r="F990" t="s">
        <v>214</v>
      </c>
      <c r="G990">
        <v>1340</v>
      </c>
      <c r="H990" t="s">
        <v>984</v>
      </c>
      <c r="I990" t="s">
        <v>985</v>
      </c>
      <c r="J990" t="s">
        <v>986</v>
      </c>
      <c r="K990">
        <v>1442</v>
      </c>
      <c r="L990">
        <v>175</v>
      </c>
      <c r="M990">
        <v>68</v>
      </c>
      <c r="N990">
        <v>177600000</v>
      </c>
      <c r="O990">
        <v>44400</v>
      </c>
      <c r="P990">
        <v>710400</v>
      </c>
      <c r="Q990">
        <v>532800</v>
      </c>
      <c r="R990">
        <v>8500000</v>
      </c>
      <c r="S990">
        <v>400000</v>
      </c>
      <c r="T990">
        <v>2016</v>
      </c>
      <c r="U990" t="s">
        <v>999</v>
      </c>
      <c r="V990">
        <v>6</v>
      </c>
      <c r="W990">
        <v>88.2</v>
      </c>
      <c r="X990">
        <v>328239523</v>
      </c>
      <c r="Y990">
        <v>14.7</v>
      </c>
      <c r="Z990">
        <v>270663028</v>
      </c>
      <c r="AA990">
        <v>37.090240000000001</v>
      </c>
      <c r="AB990">
        <v>-95.712890999999999</v>
      </c>
    </row>
    <row r="991" spans="1:28" x14ac:dyDescent="0.3">
      <c r="A991">
        <v>990</v>
      </c>
      <c r="B991" t="s">
        <v>494</v>
      </c>
      <c r="C991">
        <v>12400000</v>
      </c>
      <c r="D991">
        <v>6993406259</v>
      </c>
      <c r="E991" t="s">
        <v>977</v>
      </c>
      <c r="F991" t="s">
        <v>494</v>
      </c>
      <c r="G991">
        <v>99</v>
      </c>
      <c r="H991" t="s">
        <v>984</v>
      </c>
      <c r="I991" t="s">
        <v>985</v>
      </c>
      <c r="J991" t="s">
        <v>988</v>
      </c>
      <c r="K991">
        <v>833</v>
      </c>
      <c r="L991">
        <v>175</v>
      </c>
      <c r="M991">
        <v>171</v>
      </c>
      <c r="N991">
        <v>49412000</v>
      </c>
      <c r="O991">
        <v>12400</v>
      </c>
      <c r="P991">
        <v>197600</v>
      </c>
      <c r="Q991">
        <v>148200</v>
      </c>
      <c r="R991">
        <v>2400000</v>
      </c>
      <c r="S991">
        <v>100000</v>
      </c>
      <c r="T991">
        <v>2012</v>
      </c>
      <c r="U991" t="s">
        <v>1003</v>
      </c>
      <c r="V991">
        <v>17</v>
      </c>
      <c r="W991">
        <v>88.2</v>
      </c>
      <c r="X991">
        <v>328239523</v>
      </c>
      <c r="Y991">
        <v>14.7</v>
      </c>
      <c r="Z991">
        <v>270663028</v>
      </c>
      <c r="AA991">
        <v>37.090240000000001</v>
      </c>
      <c r="AB991">
        <v>-95.712890999999999</v>
      </c>
    </row>
    <row r="992" spans="1:28" x14ac:dyDescent="0.3">
      <c r="A992">
        <v>991</v>
      </c>
      <c r="B992" t="s">
        <v>52</v>
      </c>
      <c r="C992">
        <v>12300000</v>
      </c>
      <c r="D992">
        <v>9029609749</v>
      </c>
      <c r="E992" t="s">
        <v>1004</v>
      </c>
      <c r="F992" t="s">
        <v>52</v>
      </c>
      <c r="G992">
        <v>1200</v>
      </c>
      <c r="H992" t="s">
        <v>1019</v>
      </c>
      <c r="I992" t="s">
        <v>1020</v>
      </c>
      <c r="J992" t="s">
        <v>988</v>
      </c>
      <c r="K992">
        <v>525</v>
      </c>
      <c r="L992">
        <v>55</v>
      </c>
      <c r="M992">
        <v>172</v>
      </c>
      <c r="N992">
        <v>552513000</v>
      </c>
      <c r="O992">
        <v>138100</v>
      </c>
      <c r="P992">
        <v>2200000</v>
      </c>
      <c r="Q992">
        <v>1700000</v>
      </c>
      <c r="R992">
        <v>26500000</v>
      </c>
      <c r="S992">
        <v>700000</v>
      </c>
      <c r="T992">
        <v>2017</v>
      </c>
      <c r="U992" t="s">
        <v>989</v>
      </c>
      <c r="V992">
        <v>12</v>
      </c>
      <c r="W992">
        <v>51.3</v>
      </c>
      <c r="X992">
        <v>212559417</v>
      </c>
      <c r="Y992">
        <v>12.08</v>
      </c>
      <c r="Z992">
        <v>183241641</v>
      </c>
      <c r="AA992">
        <v>-14.235004</v>
      </c>
      <c r="AB992">
        <v>-51.925280000000001</v>
      </c>
    </row>
    <row r="993" spans="1:28" x14ac:dyDescent="0.3">
      <c r="A993">
        <v>992</v>
      </c>
      <c r="B993" t="s">
        <v>442</v>
      </c>
      <c r="C993">
        <v>12300000</v>
      </c>
      <c r="D993">
        <v>1674409945</v>
      </c>
      <c r="E993" t="s">
        <v>994</v>
      </c>
      <c r="F993" t="s">
        <v>442</v>
      </c>
      <c r="G993">
        <v>1500</v>
      </c>
      <c r="H993" t="s">
        <v>978</v>
      </c>
      <c r="I993" t="s">
        <v>979</v>
      </c>
      <c r="J993" t="s">
        <v>986</v>
      </c>
      <c r="K993">
        <v>6141</v>
      </c>
      <c r="L993">
        <v>125</v>
      </c>
      <c r="M993">
        <v>69</v>
      </c>
      <c r="N993">
        <v>64735000</v>
      </c>
      <c r="O993">
        <v>16200</v>
      </c>
      <c r="P993">
        <v>258900</v>
      </c>
      <c r="Q993">
        <v>194200</v>
      </c>
      <c r="R993">
        <v>3100000</v>
      </c>
      <c r="S993">
        <v>300000</v>
      </c>
      <c r="T993">
        <v>2018</v>
      </c>
      <c r="U993" t="s">
        <v>991</v>
      </c>
      <c r="V993">
        <v>14</v>
      </c>
      <c r="W993">
        <v>28.1</v>
      </c>
      <c r="X993">
        <v>1366417754</v>
      </c>
      <c r="Y993">
        <v>5.36</v>
      </c>
      <c r="Z993">
        <v>471031528</v>
      </c>
      <c r="AA993">
        <v>20.593684</v>
      </c>
      <c r="AB993">
        <v>78.962879999999998</v>
      </c>
    </row>
    <row r="994" spans="1:28" x14ac:dyDescent="0.3">
      <c r="A994">
        <v>993</v>
      </c>
      <c r="B994" t="s">
        <v>798</v>
      </c>
      <c r="C994">
        <v>12300000</v>
      </c>
      <c r="D994">
        <v>2214684303</v>
      </c>
      <c r="E994" t="s">
        <v>987</v>
      </c>
      <c r="F994" t="s">
        <v>1293</v>
      </c>
      <c r="G994">
        <v>2452</v>
      </c>
      <c r="H994" t="s">
        <v>1013</v>
      </c>
      <c r="I994" t="s">
        <v>1014</v>
      </c>
      <c r="J994" t="s">
        <v>986</v>
      </c>
      <c r="K994">
        <v>129005</v>
      </c>
      <c r="L994">
        <v>867</v>
      </c>
      <c r="M994">
        <v>1202</v>
      </c>
      <c r="N994">
        <v>67035</v>
      </c>
      <c r="O994">
        <v>17</v>
      </c>
      <c r="P994">
        <v>268</v>
      </c>
      <c r="Q994">
        <v>201</v>
      </c>
      <c r="R994">
        <v>3200</v>
      </c>
      <c r="S994">
        <v>1000</v>
      </c>
      <c r="T994">
        <v>2006</v>
      </c>
      <c r="U994" t="s">
        <v>991</v>
      </c>
      <c r="V994">
        <v>11</v>
      </c>
      <c r="W994">
        <v>60</v>
      </c>
      <c r="X994">
        <v>66834405</v>
      </c>
      <c r="Y994">
        <v>3.85</v>
      </c>
      <c r="Z994">
        <v>55908316</v>
      </c>
      <c r="AA994">
        <v>55.378050999999999</v>
      </c>
      <c r="AB994">
        <v>-3.4359730000000002</v>
      </c>
    </row>
    <row r="995" spans="1:28" x14ac:dyDescent="0.3">
      <c r="A995">
        <v>994</v>
      </c>
      <c r="B995" t="s">
        <v>767</v>
      </c>
      <c r="C995">
        <v>12300000</v>
      </c>
      <c r="D995">
        <v>374123483</v>
      </c>
      <c r="E995" t="s">
        <v>996</v>
      </c>
      <c r="F995" t="s">
        <v>767</v>
      </c>
      <c r="G995">
        <v>39</v>
      </c>
      <c r="H995" t="s">
        <v>1147</v>
      </c>
      <c r="I995" t="s">
        <v>1148</v>
      </c>
      <c r="J995" t="s">
        <v>986</v>
      </c>
      <c r="K995">
        <v>35112</v>
      </c>
      <c r="L995">
        <v>4</v>
      </c>
      <c r="M995">
        <v>69</v>
      </c>
      <c r="N995">
        <v>3871000</v>
      </c>
      <c r="O995">
        <v>968</v>
      </c>
      <c r="P995">
        <v>15500</v>
      </c>
      <c r="Q995">
        <v>11600</v>
      </c>
      <c r="R995">
        <v>185800</v>
      </c>
      <c r="S995">
        <v>100000</v>
      </c>
      <c r="T995">
        <v>2012</v>
      </c>
      <c r="U995" t="s">
        <v>995</v>
      </c>
      <c r="V995">
        <v>9</v>
      </c>
      <c r="W995">
        <v>67</v>
      </c>
      <c r="X995">
        <v>10285453</v>
      </c>
      <c r="Y995">
        <v>6.48</v>
      </c>
      <c r="Z995">
        <v>9021165</v>
      </c>
      <c r="AA995">
        <v>60.128160999999999</v>
      </c>
      <c r="AB995">
        <v>18.643501000000001</v>
      </c>
    </row>
    <row r="996" spans="1:28" x14ac:dyDescent="0.3">
      <c r="A996">
        <v>995</v>
      </c>
      <c r="B996" t="s">
        <v>634</v>
      </c>
      <c r="C996">
        <v>12300000</v>
      </c>
      <c r="D996">
        <v>2129773714</v>
      </c>
      <c r="E996" t="s">
        <v>1044</v>
      </c>
      <c r="F996" t="s">
        <v>634</v>
      </c>
      <c r="G996">
        <v>62</v>
      </c>
      <c r="H996" t="s">
        <v>978</v>
      </c>
      <c r="I996" t="s">
        <v>979</v>
      </c>
      <c r="J996" t="s">
        <v>1044</v>
      </c>
      <c r="K996">
        <v>4568</v>
      </c>
      <c r="L996">
        <v>125</v>
      </c>
      <c r="M996">
        <v>44</v>
      </c>
      <c r="N996">
        <v>24000000</v>
      </c>
      <c r="O996">
        <v>6000</v>
      </c>
      <c r="P996">
        <v>96000</v>
      </c>
      <c r="Q996">
        <v>72000</v>
      </c>
      <c r="R996">
        <v>1200000</v>
      </c>
      <c r="S996">
        <v>100000</v>
      </c>
      <c r="T996">
        <v>2017</v>
      </c>
      <c r="U996" t="s">
        <v>1010</v>
      </c>
      <c r="V996">
        <v>1</v>
      </c>
      <c r="W996">
        <v>28.1</v>
      </c>
      <c r="X996">
        <v>1366417754</v>
      </c>
      <c r="Y996">
        <v>5.36</v>
      </c>
      <c r="Z996">
        <v>471031528</v>
      </c>
      <c r="AA996">
        <v>20.593684</v>
      </c>
      <c r="AB996">
        <v>78.962879999999998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58"/>
  <sheetViews>
    <sheetView zoomScale="94" workbookViewId="0">
      <pane ySplit="1" topLeftCell="A2" activePane="bottomLeft" state="frozen"/>
      <selection pane="bottomLeft" activeCell="E17" sqref="E17"/>
    </sheetView>
  </sheetViews>
  <sheetFormatPr defaultRowHeight="14.4" x14ac:dyDescent="0.3"/>
  <cols>
    <col min="1" max="1" width="10.44140625" customWidth="1"/>
    <col min="2" max="2" width="44.77734375" bestFit="1" customWidth="1"/>
    <col min="3" max="3" width="12.44140625" customWidth="1"/>
    <col min="4" max="4" width="18.44140625" customWidth="1"/>
    <col min="5" max="5" width="19" bestFit="1" customWidth="1"/>
    <col min="6" max="6" width="9.77734375" customWidth="1"/>
    <col min="7" max="7" width="18.44140625" bestFit="1" customWidth="1"/>
    <col min="8" max="8" width="18.44140625" customWidth="1"/>
    <col min="9" max="9" width="23.21875" customWidth="1"/>
    <col min="10" max="10" width="12" hidden="1" customWidth="1"/>
    <col min="11" max="11" width="14.109375" hidden="1" customWidth="1"/>
    <col min="12" max="12" width="12.109375" hidden="1" customWidth="1"/>
    <col min="13" max="13" width="12.109375" customWidth="1"/>
    <col min="14" max="14" width="14" customWidth="1"/>
  </cols>
  <sheetData>
    <row r="1" spans="1:14" s="3" customFormat="1" x14ac:dyDescent="0.3">
      <c r="A1" s="3" t="s">
        <v>1295</v>
      </c>
      <c r="B1" s="3" t="s">
        <v>1296</v>
      </c>
      <c r="C1" s="3" t="s">
        <v>1297</v>
      </c>
      <c r="D1" s="3" t="s">
        <v>1298</v>
      </c>
      <c r="E1" s="3" t="s">
        <v>1299</v>
      </c>
      <c r="F1" s="3" t="s">
        <v>1300</v>
      </c>
      <c r="G1" s="3" t="s">
        <v>956</v>
      </c>
      <c r="H1" s="3" t="s">
        <v>1301</v>
      </c>
      <c r="I1" s="3" t="s">
        <v>966</v>
      </c>
      <c r="J1" s="3" t="s">
        <v>968</v>
      </c>
      <c r="K1" s="3" t="s">
        <v>969</v>
      </c>
      <c r="L1" s="3" t="s">
        <v>970</v>
      </c>
      <c r="M1" s="3" t="s">
        <v>972</v>
      </c>
    </row>
    <row r="2" spans="1:14" x14ac:dyDescent="0.3">
      <c r="A2">
        <v>1</v>
      </c>
      <c r="B2" t="s">
        <v>749</v>
      </c>
      <c r="C2">
        <v>12700000</v>
      </c>
      <c r="D2">
        <v>2709954270</v>
      </c>
      <c r="E2" t="s">
        <v>988</v>
      </c>
      <c r="F2">
        <v>846</v>
      </c>
      <c r="G2" t="s">
        <v>1294</v>
      </c>
      <c r="H2" t="s">
        <v>1294</v>
      </c>
      <c r="I2">
        <v>333200</v>
      </c>
      <c r="J2">
        <v>2013</v>
      </c>
      <c r="K2">
        <v>8</v>
      </c>
      <c r="L2">
        <v>10</v>
      </c>
      <c r="M2" t="s">
        <v>1294</v>
      </c>
      <c r="N2" s="2"/>
    </row>
    <row r="3" spans="1:14" x14ac:dyDescent="0.3">
      <c r="A3">
        <v>2</v>
      </c>
      <c r="B3" t="s">
        <v>749</v>
      </c>
      <c r="C3">
        <v>14100000</v>
      </c>
      <c r="D3">
        <v>3594936775</v>
      </c>
      <c r="E3" t="s">
        <v>988</v>
      </c>
      <c r="F3">
        <v>846</v>
      </c>
      <c r="G3" t="s">
        <v>1294</v>
      </c>
      <c r="H3" t="s">
        <v>1294</v>
      </c>
      <c r="I3">
        <v>333200</v>
      </c>
      <c r="J3">
        <v>2013</v>
      </c>
      <c r="K3">
        <v>8</v>
      </c>
      <c r="L3">
        <v>10</v>
      </c>
      <c r="M3" t="s">
        <v>1294</v>
      </c>
    </row>
    <row r="4" spans="1:14" x14ac:dyDescent="0.3">
      <c r="A4">
        <v>3</v>
      </c>
      <c r="B4" t="s">
        <v>25</v>
      </c>
      <c r="C4">
        <v>12400000</v>
      </c>
      <c r="D4">
        <v>7597013023</v>
      </c>
      <c r="E4" t="s">
        <v>1044</v>
      </c>
      <c r="F4">
        <v>398</v>
      </c>
      <c r="G4" t="s">
        <v>984</v>
      </c>
      <c r="H4" t="s">
        <v>1303</v>
      </c>
      <c r="I4">
        <v>43400000</v>
      </c>
      <c r="J4">
        <v>2019</v>
      </c>
      <c r="K4">
        <v>3</v>
      </c>
      <c r="L4">
        <v>24</v>
      </c>
      <c r="M4">
        <v>328239523</v>
      </c>
    </row>
    <row r="5" spans="1:14" x14ac:dyDescent="0.3">
      <c r="A5">
        <v>4</v>
      </c>
      <c r="B5" t="s">
        <v>622</v>
      </c>
      <c r="C5">
        <v>13800000</v>
      </c>
      <c r="D5">
        <v>5019136690</v>
      </c>
      <c r="E5" t="s">
        <v>994</v>
      </c>
      <c r="F5">
        <v>520</v>
      </c>
      <c r="G5" t="s">
        <v>1058</v>
      </c>
      <c r="H5" t="s">
        <v>1305</v>
      </c>
      <c r="I5">
        <v>1300000</v>
      </c>
      <c r="J5">
        <v>2019</v>
      </c>
      <c r="K5">
        <v>3</v>
      </c>
      <c r="L5">
        <v>13</v>
      </c>
      <c r="M5">
        <v>126014024</v>
      </c>
    </row>
    <row r="6" spans="1:14" x14ac:dyDescent="0.3">
      <c r="A6">
        <v>5</v>
      </c>
      <c r="B6" t="s">
        <v>940</v>
      </c>
      <c r="C6">
        <v>26100000</v>
      </c>
      <c r="D6">
        <v>7886440199</v>
      </c>
      <c r="E6" t="s">
        <v>988</v>
      </c>
      <c r="F6">
        <v>0</v>
      </c>
      <c r="G6" t="s">
        <v>1071</v>
      </c>
      <c r="H6" t="s">
        <v>1302</v>
      </c>
      <c r="I6">
        <v>0</v>
      </c>
      <c r="J6">
        <v>2019</v>
      </c>
      <c r="K6">
        <v>7</v>
      </c>
      <c r="L6">
        <v>13</v>
      </c>
      <c r="M6">
        <v>34268528</v>
      </c>
    </row>
    <row r="7" spans="1:14" x14ac:dyDescent="0.3">
      <c r="A7">
        <v>6</v>
      </c>
      <c r="B7" t="s">
        <v>330</v>
      </c>
      <c r="C7">
        <v>24500000</v>
      </c>
      <c r="D7">
        <v>23962070944</v>
      </c>
      <c r="E7" t="s">
        <v>977</v>
      </c>
      <c r="F7">
        <v>18950</v>
      </c>
      <c r="G7" t="s">
        <v>1006</v>
      </c>
      <c r="H7" t="s">
        <v>1302</v>
      </c>
      <c r="I7">
        <v>5100000</v>
      </c>
      <c r="J7">
        <v>2011</v>
      </c>
      <c r="K7">
        <v>1</v>
      </c>
      <c r="L7">
        <v>31</v>
      </c>
      <c r="M7">
        <v>51709098</v>
      </c>
    </row>
    <row r="8" spans="1:14" x14ac:dyDescent="0.3">
      <c r="A8">
        <v>7</v>
      </c>
      <c r="B8" t="s">
        <v>1073</v>
      </c>
      <c r="C8">
        <v>38200000</v>
      </c>
      <c r="D8">
        <v>13598903820</v>
      </c>
      <c r="E8" t="s">
        <v>977</v>
      </c>
      <c r="F8">
        <v>11</v>
      </c>
      <c r="G8" t="s">
        <v>984</v>
      </c>
      <c r="H8" t="s">
        <v>1303</v>
      </c>
      <c r="I8">
        <v>305</v>
      </c>
      <c r="J8">
        <v>2016</v>
      </c>
      <c r="K8">
        <v>6</v>
      </c>
      <c r="L8">
        <v>26</v>
      </c>
      <c r="M8">
        <v>328239523</v>
      </c>
    </row>
    <row r="9" spans="1:14" x14ac:dyDescent="0.3">
      <c r="A9">
        <v>8</v>
      </c>
      <c r="B9" t="s">
        <v>1181</v>
      </c>
      <c r="C9">
        <v>17700000</v>
      </c>
      <c r="D9">
        <v>8396875537</v>
      </c>
      <c r="E9" t="s">
        <v>1026</v>
      </c>
      <c r="F9">
        <v>211620</v>
      </c>
      <c r="G9" t="s">
        <v>1152</v>
      </c>
      <c r="H9" t="s">
        <v>1304</v>
      </c>
      <c r="I9">
        <v>17800000</v>
      </c>
      <c r="J9">
        <v>2006</v>
      </c>
      <c r="K9">
        <v>2</v>
      </c>
      <c r="L9">
        <v>5</v>
      </c>
      <c r="M9">
        <v>44385155</v>
      </c>
    </row>
    <row r="10" spans="1:14" x14ac:dyDescent="0.3">
      <c r="A10">
        <v>9</v>
      </c>
      <c r="B10" t="s">
        <v>296</v>
      </c>
      <c r="C10">
        <v>14900000</v>
      </c>
      <c r="D10">
        <v>10069000444</v>
      </c>
      <c r="E10" t="s">
        <v>1365</v>
      </c>
      <c r="F10">
        <v>419</v>
      </c>
      <c r="G10" t="s">
        <v>984</v>
      </c>
      <c r="H10" t="s">
        <v>1303</v>
      </c>
      <c r="I10">
        <v>5800000</v>
      </c>
      <c r="J10">
        <v>2007</v>
      </c>
      <c r="K10">
        <v>2</v>
      </c>
      <c r="L10">
        <v>8</v>
      </c>
      <c r="M10">
        <v>328239523</v>
      </c>
    </row>
    <row r="11" spans="1:14" x14ac:dyDescent="0.3">
      <c r="A11">
        <v>10</v>
      </c>
      <c r="B11" t="s">
        <v>1012</v>
      </c>
      <c r="C11">
        <v>80100000</v>
      </c>
      <c r="D11">
        <v>26236790209</v>
      </c>
      <c r="E11" t="s">
        <v>1011</v>
      </c>
      <c r="F11">
        <v>1</v>
      </c>
      <c r="G11" t="s">
        <v>1013</v>
      </c>
      <c r="H11" t="s">
        <v>1304</v>
      </c>
      <c r="I11">
        <v>0.05</v>
      </c>
      <c r="J11">
        <v>2020</v>
      </c>
      <c r="K11">
        <v>7</v>
      </c>
      <c r="L11">
        <v>27</v>
      </c>
      <c r="M11">
        <v>66834405</v>
      </c>
    </row>
    <row r="12" spans="1:14" x14ac:dyDescent="0.3">
      <c r="A12">
        <v>11</v>
      </c>
      <c r="B12" t="s">
        <v>661</v>
      </c>
      <c r="C12">
        <v>20700000</v>
      </c>
      <c r="D12">
        <v>5091618606</v>
      </c>
      <c r="E12" t="s">
        <v>1011</v>
      </c>
      <c r="F12">
        <v>5062</v>
      </c>
      <c r="G12" t="s">
        <v>984</v>
      </c>
      <c r="H12" t="s">
        <v>1303</v>
      </c>
      <c r="I12">
        <v>960600</v>
      </c>
      <c r="J12">
        <v>2018</v>
      </c>
      <c r="K12">
        <v>1</v>
      </c>
      <c r="L12">
        <v>18</v>
      </c>
      <c r="M12">
        <v>328239523</v>
      </c>
    </row>
    <row r="13" spans="1:14" x14ac:dyDescent="0.3">
      <c r="A13">
        <v>12</v>
      </c>
      <c r="B13" t="s">
        <v>624</v>
      </c>
      <c r="C13">
        <v>15600000</v>
      </c>
      <c r="D13">
        <v>6165757696</v>
      </c>
      <c r="E13" t="s">
        <v>994</v>
      </c>
      <c r="F13">
        <v>4245</v>
      </c>
      <c r="G13" t="s">
        <v>984</v>
      </c>
      <c r="H13" t="s">
        <v>1303</v>
      </c>
      <c r="I13">
        <v>1300000</v>
      </c>
      <c r="J13">
        <v>2018</v>
      </c>
      <c r="K13">
        <v>12</v>
      </c>
      <c r="L13">
        <v>13</v>
      </c>
      <c r="M13">
        <v>328239523</v>
      </c>
    </row>
    <row r="14" spans="1:14" x14ac:dyDescent="0.3">
      <c r="A14">
        <v>13</v>
      </c>
      <c r="B14" t="s">
        <v>329</v>
      </c>
      <c r="C14">
        <v>20100000</v>
      </c>
      <c r="D14">
        <v>6119294270</v>
      </c>
      <c r="E14" t="s">
        <v>1011</v>
      </c>
      <c r="F14">
        <v>5491</v>
      </c>
      <c r="G14" t="s">
        <v>984</v>
      </c>
      <c r="H14" t="s">
        <v>1303</v>
      </c>
      <c r="I14">
        <v>5100000</v>
      </c>
      <c r="J14">
        <v>2017</v>
      </c>
      <c r="K14">
        <v>10</v>
      </c>
      <c r="L14">
        <v>30</v>
      </c>
      <c r="M14">
        <v>328239523</v>
      </c>
    </row>
    <row r="15" spans="1:14" x14ac:dyDescent="0.3">
      <c r="A15">
        <v>14</v>
      </c>
      <c r="B15" t="s">
        <v>478</v>
      </c>
      <c r="C15">
        <v>14800000</v>
      </c>
      <c r="D15">
        <v>8866012877</v>
      </c>
      <c r="E15" t="s">
        <v>994</v>
      </c>
      <c r="F15">
        <v>3867</v>
      </c>
      <c r="G15" t="s">
        <v>984</v>
      </c>
      <c r="H15" t="s">
        <v>1303</v>
      </c>
      <c r="I15">
        <v>2600000</v>
      </c>
      <c r="J15">
        <v>2019</v>
      </c>
      <c r="K15">
        <v>6</v>
      </c>
      <c r="L15">
        <v>7</v>
      </c>
      <c r="M15">
        <v>328239523</v>
      </c>
    </row>
    <row r="16" spans="1:14" x14ac:dyDescent="0.3">
      <c r="A16">
        <v>15</v>
      </c>
      <c r="B16" t="s">
        <v>602</v>
      </c>
      <c r="C16">
        <v>13000000</v>
      </c>
      <c r="D16">
        <v>4349562794</v>
      </c>
      <c r="E16" t="s">
        <v>977</v>
      </c>
      <c r="F16">
        <v>521</v>
      </c>
      <c r="G16" t="s">
        <v>1019</v>
      </c>
      <c r="H16" t="s">
        <v>1305</v>
      </c>
      <c r="I16">
        <v>1400000</v>
      </c>
      <c r="J16">
        <v>2012</v>
      </c>
      <c r="K16">
        <v>6</v>
      </c>
      <c r="L16">
        <v>4</v>
      </c>
      <c r="M16">
        <v>212559417</v>
      </c>
    </row>
    <row r="17" spans="1:13" x14ac:dyDescent="0.3">
      <c r="A17">
        <v>16</v>
      </c>
      <c r="B17" t="s">
        <v>130</v>
      </c>
      <c r="C17">
        <v>20100000</v>
      </c>
      <c r="D17">
        <v>14816075927</v>
      </c>
      <c r="E17" t="s">
        <v>977</v>
      </c>
      <c r="F17">
        <v>2384</v>
      </c>
      <c r="G17" t="s">
        <v>984</v>
      </c>
      <c r="H17" t="s">
        <v>1303</v>
      </c>
      <c r="I17">
        <v>13300000</v>
      </c>
      <c r="J17">
        <v>2013</v>
      </c>
      <c r="K17">
        <v>5</v>
      </c>
      <c r="L17">
        <v>25</v>
      </c>
      <c r="M17">
        <v>328239523</v>
      </c>
    </row>
    <row r="18" spans="1:13" x14ac:dyDescent="0.3">
      <c r="A18">
        <v>17</v>
      </c>
      <c r="B18" t="s">
        <v>279</v>
      </c>
      <c r="C18">
        <v>15000000</v>
      </c>
      <c r="D18">
        <v>8932038210</v>
      </c>
      <c r="E18" t="s">
        <v>988</v>
      </c>
      <c r="F18">
        <v>3168</v>
      </c>
      <c r="G18" t="s">
        <v>978</v>
      </c>
      <c r="H18" t="s">
        <v>1302</v>
      </c>
      <c r="I18">
        <v>6300000</v>
      </c>
      <c r="J18">
        <v>2017</v>
      </c>
      <c r="K18">
        <v>4</v>
      </c>
      <c r="L18">
        <v>7</v>
      </c>
      <c r="M18">
        <v>1366417754</v>
      </c>
    </row>
    <row r="19" spans="1:13" x14ac:dyDescent="0.3">
      <c r="A19">
        <v>18</v>
      </c>
      <c r="B19" t="s">
        <v>507</v>
      </c>
      <c r="C19">
        <v>14500000</v>
      </c>
      <c r="D19">
        <v>6290721701</v>
      </c>
      <c r="E19" t="s">
        <v>977</v>
      </c>
      <c r="F19">
        <v>4790</v>
      </c>
      <c r="G19" t="s">
        <v>978</v>
      </c>
      <c r="H19" t="s">
        <v>1302</v>
      </c>
      <c r="I19">
        <v>2300000</v>
      </c>
      <c r="J19">
        <v>2016</v>
      </c>
      <c r="K19">
        <v>10</v>
      </c>
      <c r="L19">
        <v>28</v>
      </c>
      <c r="M19">
        <v>1366417754</v>
      </c>
    </row>
    <row r="20" spans="1:13" x14ac:dyDescent="0.3">
      <c r="A20">
        <v>19</v>
      </c>
      <c r="B20" t="s">
        <v>69</v>
      </c>
      <c r="C20">
        <v>57600000</v>
      </c>
      <c r="D20">
        <v>25307753534</v>
      </c>
      <c r="E20" t="s">
        <v>1026</v>
      </c>
      <c r="F20">
        <v>283775</v>
      </c>
      <c r="G20" t="s">
        <v>978</v>
      </c>
      <c r="H20" t="s">
        <v>1302</v>
      </c>
      <c r="I20">
        <v>22100000</v>
      </c>
      <c r="J20">
        <v>2009</v>
      </c>
      <c r="K20">
        <v>8</v>
      </c>
      <c r="L20">
        <v>27</v>
      </c>
      <c r="M20">
        <v>1366417754</v>
      </c>
    </row>
    <row r="21" spans="1:13" x14ac:dyDescent="0.3">
      <c r="A21">
        <v>20</v>
      </c>
      <c r="B21" t="s">
        <v>378</v>
      </c>
      <c r="C21">
        <v>16900000</v>
      </c>
      <c r="D21">
        <v>9270331567</v>
      </c>
      <c r="E21" t="s">
        <v>1044</v>
      </c>
      <c r="F21">
        <v>441</v>
      </c>
      <c r="G21" t="s">
        <v>978</v>
      </c>
      <c r="H21" t="s">
        <v>1302</v>
      </c>
      <c r="I21">
        <v>4300000</v>
      </c>
      <c r="J21">
        <v>2017</v>
      </c>
      <c r="K21">
        <v>5</v>
      </c>
      <c r="L21">
        <v>8</v>
      </c>
      <c r="M21">
        <v>1366417754</v>
      </c>
    </row>
    <row r="22" spans="1:13" x14ac:dyDescent="0.3">
      <c r="A22">
        <v>21</v>
      </c>
      <c r="B22" t="s">
        <v>199</v>
      </c>
      <c r="C22">
        <v>14700000</v>
      </c>
      <c r="D22">
        <v>12961669452</v>
      </c>
      <c r="E22" t="s">
        <v>1026</v>
      </c>
      <c r="F22">
        <v>80830</v>
      </c>
      <c r="G22" t="s">
        <v>984</v>
      </c>
      <c r="H22" t="s">
        <v>1303</v>
      </c>
      <c r="I22">
        <v>8900000</v>
      </c>
      <c r="J22">
        <v>2006</v>
      </c>
      <c r="K22">
        <v>8</v>
      </c>
      <c r="L22">
        <v>7</v>
      </c>
      <c r="M22">
        <v>328239523</v>
      </c>
    </row>
    <row r="23" spans="1:13" x14ac:dyDescent="0.3">
      <c r="A23">
        <v>22</v>
      </c>
      <c r="B23" t="s">
        <v>238</v>
      </c>
      <c r="C23">
        <v>30500000</v>
      </c>
      <c r="D23">
        <v>4521573939</v>
      </c>
      <c r="E23" t="s">
        <v>996</v>
      </c>
      <c r="F23">
        <v>641</v>
      </c>
      <c r="G23" t="s">
        <v>1093</v>
      </c>
      <c r="H23" t="s">
        <v>1302</v>
      </c>
      <c r="I23">
        <v>7600000</v>
      </c>
      <c r="J23">
        <v>2016</v>
      </c>
      <c r="K23">
        <v>7</v>
      </c>
      <c r="L23">
        <v>28</v>
      </c>
      <c r="M23">
        <v>4207083</v>
      </c>
    </row>
    <row r="24" spans="1:13" x14ac:dyDescent="0.3">
      <c r="A24">
        <v>23</v>
      </c>
      <c r="B24" t="s">
        <v>139</v>
      </c>
      <c r="C24">
        <v>37000000</v>
      </c>
      <c r="D24">
        <v>13102611515</v>
      </c>
      <c r="E24" t="s">
        <v>994</v>
      </c>
      <c r="F24">
        <v>301308</v>
      </c>
      <c r="G24" t="s">
        <v>978</v>
      </c>
      <c r="H24" t="s">
        <v>1302</v>
      </c>
      <c r="I24">
        <v>12800000</v>
      </c>
      <c r="J24">
        <v>2012</v>
      </c>
      <c r="K24">
        <v>6</v>
      </c>
      <c r="L24">
        <v>1</v>
      </c>
      <c r="M24">
        <v>1366417754</v>
      </c>
    </row>
    <row r="25" spans="1:13" x14ac:dyDescent="0.3">
      <c r="A25">
        <v>24</v>
      </c>
      <c r="B25" t="s">
        <v>871</v>
      </c>
      <c r="C25">
        <v>25200000</v>
      </c>
      <c r="D25">
        <v>7968363381</v>
      </c>
      <c r="E25" t="s">
        <v>994</v>
      </c>
      <c r="F25">
        <v>12</v>
      </c>
      <c r="G25" t="s">
        <v>1294</v>
      </c>
      <c r="H25" t="s">
        <v>1294</v>
      </c>
      <c r="I25">
        <v>0.1</v>
      </c>
      <c r="J25">
        <v>2014</v>
      </c>
      <c r="K25">
        <v>7</v>
      </c>
      <c r="L25">
        <v>26</v>
      </c>
      <c r="M25" t="s">
        <v>1294</v>
      </c>
    </row>
    <row r="26" spans="1:13" x14ac:dyDescent="0.3">
      <c r="A26">
        <v>25</v>
      </c>
      <c r="B26" t="s">
        <v>213</v>
      </c>
      <c r="C26">
        <v>44200000</v>
      </c>
      <c r="D26">
        <v>50292540392</v>
      </c>
      <c r="E26" t="s">
        <v>994</v>
      </c>
      <c r="F26">
        <v>193890</v>
      </c>
      <c r="G26" t="s">
        <v>1045</v>
      </c>
      <c r="H26" t="s">
        <v>1302</v>
      </c>
      <c r="I26">
        <v>8500000</v>
      </c>
      <c r="J26">
        <v>2008</v>
      </c>
      <c r="K26">
        <v>7</v>
      </c>
      <c r="L26">
        <v>16</v>
      </c>
      <c r="M26">
        <v>108116615</v>
      </c>
    </row>
    <row r="27" spans="1:13" x14ac:dyDescent="0.3">
      <c r="A27">
        <v>26</v>
      </c>
      <c r="B27" t="s">
        <v>207</v>
      </c>
      <c r="C27">
        <v>15100000</v>
      </c>
      <c r="D27">
        <v>10489367372</v>
      </c>
      <c r="E27" t="s">
        <v>1026</v>
      </c>
      <c r="F27">
        <v>209520</v>
      </c>
      <c r="G27" t="s">
        <v>1045</v>
      </c>
      <c r="H27" t="s">
        <v>1302</v>
      </c>
      <c r="I27">
        <v>8700000</v>
      </c>
      <c r="J27">
        <v>2009</v>
      </c>
      <c r="K27">
        <v>10</v>
      </c>
      <c r="L27">
        <v>22</v>
      </c>
      <c r="M27">
        <v>108116615</v>
      </c>
    </row>
    <row r="28" spans="1:13" x14ac:dyDescent="0.3">
      <c r="A28">
        <v>27</v>
      </c>
      <c r="B28" t="s">
        <v>505</v>
      </c>
      <c r="C28">
        <v>13600000</v>
      </c>
      <c r="D28">
        <v>2122062016</v>
      </c>
      <c r="E28" t="s">
        <v>996</v>
      </c>
      <c r="F28">
        <v>368</v>
      </c>
      <c r="G28" t="s">
        <v>1065</v>
      </c>
      <c r="H28" t="s">
        <v>1304</v>
      </c>
      <c r="I28">
        <v>2300000</v>
      </c>
      <c r="J28">
        <v>2014</v>
      </c>
      <c r="K28">
        <v>1</v>
      </c>
      <c r="L28">
        <v>2</v>
      </c>
      <c r="M28">
        <v>47076781</v>
      </c>
    </row>
    <row r="29" spans="1:13" x14ac:dyDescent="0.3">
      <c r="A29">
        <v>28</v>
      </c>
      <c r="B29" t="s">
        <v>169</v>
      </c>
      <c r="C29">
        <v>12800000</v>
      </c>
      <c r="D29">
        <v>9502983550</v>
      </c>
      <c r="E29" t="s">
        <v>1044</v>
      </c>
      <c r="F29">
        <v>681</v>
      </c>
      <c r="G29" t="s">
        <v>984</v>
      </c>
      <c r="H29" t="s">
        <v>1303</v>
      </c>
      <c r="I29">
        <v>11000000</v>
      </c>
      <c r="J29">
        <v>2015</v>
      </c>
      <c r="K29">
        <v>10</v>
      </c>
      <c r="L29">
        <v>4</v>
      </c>
      <c r="M29">
        <v>328239523</v>
      </c>
    </row>
    <row r="30" spans="1:13" x14ac:dyDescent="0.3">
      <c r="A30">
        <v>29</v>
      </c>
      <c r="B30" t="s">
        <v>1201</v>
      </c>
      <c r="C30">
        <v>16200000</v>
      </c>
      <c r="D30">
        <v>4488680903</v>
      </c>
      <c r="E30" t="s">
        <v>988</v>
      </c>
      <c r="F30">
        <v>10</v>
      </c>
      <c r="G30" t="s">
        <v>1065</v>
      </c>
      <c r="H30" t="s">
        <v>1304</v>
      </c>
      <c r="I30">
        <v>0.19</v>
      </c>
      <c r="J30">
        <v>2006</v>
      </c>
      <c r="K30">
        <v>5</v>
      </c>
      <c r="L30">
        <v>2</v>
      </c>
      <c r="M30">
        <v>47076781</v>
      </c>
    </row>
    <row r="31" spans="1:13" x14ac:dyDescent="0.3">
      <c r="A31">
        <v>30</v>
      </c>
      <c r="B31" t="s">
        <v>628</v>
      </c>
      <c r="C31">
        <v>13900000</v>
      </c>
      <c r="D31">
        <v>5465532801</v>
      </c>
      <c r="E31" t="s">
        <v>988</v>
      </c>
      <c r="F31">
        <v>503</v>
      </c>
      <c r="G31" t="s">
        <v>984</v>
      </c>
      <c r="H31" t="s">
        <v>1303</v>
      </c>
      <c r="I31">
        <v>1300000</v>
      </c>
      <c r="J31">
        <v>2018</v>
      </c>
      <c r="K31">
        <v>3</v>
      </c>
      <c r="L31">
        <v>12</v>
      </c>
      <c r="M31">
        <v>328239523</v>
      </c>
    </row>
    <row r="32" spans="1:13" x14ac:dyDescent="0.3">
      <c r="A32">
        <v>31</v>
      </c>
      <c r="B32" t="s">
        <v>268</v>
      </c>
      <c r="C32">
        <v>30200000</v>
      </c>
      <c r="D32">
        <v>14199108016</v>
      </c>
      <c r="E32" t="s">
        <v>977</v>
      </c>
      <c r="F32">
        <v>15</v>
      </c>
      <c r="G32" t="s">
        <v>1013</v>
      </c>
      <c r="H32" t="s">
        <v>1304</v>
      </c>
      <c r="I32">
        <v>6600000</v>
      </c>
      <c r="J32">
        <v>2008</v>
      </c>
      <c r="K32">
        <v>4</v>
      </c>
      <c r="L32">
        <v>4</v>
      </c>
      <c r="M32">
        <v>66834405</v>
      </c>
    </row>
    <row r="33" spans="1:13" x14ac:dyDescent="0.3">
      <c r="A33">
        <v>32</v>
      </c>
      <c r="B33" t="s">
        <v>391</v>
      </c>
      <c r="C33">
        <v>15100000</v>
      </c>
      <c r="D33">
        <v>12413869881</v>
      </c>
      <c r="E33" t="s">
        <v>977</v>
      </c>
      <c r="F33">
        <v>52</v>
      </c>
      <c r="G33" t="s">
        <v>1013</v>
      </c>
      <c r="H33" t="s">
        <v>1304</v>
      </c>
      <c r="I33">
        <v>4100000</v>
      </c>
      <c r="J33">
        <v>2009</v>
      </c>
      <c r="K33">
        <v>10</v>
      </c>
      <c r="L33">
        <v>15</v>
      </c>
      <c r="M33">
        <v>66834405</v>
      </c>
    </row>
    <row r="34" spans="1:13" x14ac:dyDescent="0.3">
      <c r="A34">
        <v>33</v>
      </c>
      <c r="B34" t="s">
        <v>730</v>
      </c>
      <c r="C34">
        <v>12700000</v>
      </c>
      <c r="D34">
        <v>4579773883</v>
      </c>
      <c r="E34" t="s">
        <v>977</v>
      </c>
      <c r="F34">
        <v>594</v>
      </c>
      <c r="G34" t="s">
        <v>1065</v>
      </c>
      <c r="H34" t="s">
        <v>1304</v>
      </c>
      <c r="I34">
        <v>484000</v>
      </c>
      <c r="J34">
        <v>2013</v>
      </c>
      <c r="K34">
        <v>12</v>
      </c>
      <c r="L34">
        <v>22</v>
      </c>
      <c r="M34">
        <v>47076781</v>
      </c>
    </row>
    <row r="35" spans="1:13" x14ac:dyDescent="0.3">
      <c r="A35">
        <v>34</v>
      </c>
      <c r="B35" t="s">
        <v>170</v>
      </c>
      <c r="C35">
        <v>28400000</v>
      </c>
      <c r="D35">
        <v>10062770060</v>
      </c>
      <c r="E35" t="s">
        <v>1108</v>
      </c>
      <c r="F35">
        <v>5436</v>
      </c>
      <c r="G35" t="s">
        <v>978</v>
      </c>
      <c r="H35" t="s">
        <v>1302</v>
      </c>
      <c r="I35">
        <v>10900000</v>
      </c>
      <c r="J35">
        <v>2012</v>
      </c>
      <c r="K35">
        <v>2</v>
      </c>
      <c r="L35">
        <v>23</v>
      </c>
      <c r="M35">
        <v>1366417754</v>
      </c>
    </row>
    <row r="36" spans="1:13" x14ac:dyDescent="0.3">
      <c r="A36">
        <v>35</v>
      </c>
      <c r="B36" t="s">
        <v>1107</v>
      </c>
      <c r="C36">
        <v>28500000</v>
      </c>
      <c r="D36">
        <v>25857994495</v>
      </c>
      <c r="E36" t="s">
        <v>977</v>
      </c>
      <c r="F36">
        <v>0</v>
      </c>
      <c r="G36" t="s">
        <v>1294</v>
      </c>
      <c r="H36" t="s">
        <v>1294</v>
      </c>
      <c r="I36">
        <v>0</v>
      </c>
      <c r="J36">
        <v>2010</v>
      </c>
      <c r="K36">
        <v>12</v>
      </c>
      <c r="L36">
        <v>16</v>
      </c>
      <c r="M36" t="s">
        <v>1294</v>
      </c>
    </row>
    <row r="37" spans="1:13" x14ac:dyDescent="0.3">
      <c r="A37">
        <v>36</v>
      </c>
      <c r="B37" t="s">
        <v>1034</v>
      </c>
      <c r="C37">
        <v>46300000</v>
      </c>
      <c r="D37">
        <v>22936630813</v>
      </c>
      <c r="E37" t="s">
        <v>996</v>
      </c>
      <c r="F37">
        <v>1</v>
      </c>
      <c r="G37" t="s">
        <v>1035</v>
      </c>
      <c r="H37" t="s">
        <v>1303</v>
      </c>
      <c r="I37">
        <v>5</v>
      </c>
      <c r="J37">
        <v>2006</v>
      </c>
      <c r="K37">
        <v>3</v>
      </c>
      <c r="L37">
        <v>11</v>
      </c>
      <c r="M37">
        <v>11333483</v>
      </c>
    </row>
    <row r="38" spans="1:13" x14ac:dyDescent="0.3">
      <c r="A38">
        <v>37</v>
      </c>
      <c r="B38" t="s">
        <v>657</v>
      </c>
      <c r="C38">
        <v>30400000</v>
      </c>
      <c r="D38">
        <v>4332274962</v>
      </c>
      <c r="E38" t="s">
        <v>988</v>
      </c>
      <c r="F38">
        <v>2197</v>
      </c>
      <c r="G38" t="s">
        <v>1081</v>
      </c>
      <c r="H38" t="s">
        <v>1302</v>
      </c>
      <c r="I38">
        <v>1000000</v>
      </c>
      <c r="J38">
        <v>2014</v>
      </c>
      <c r="K38">
        <v>1</v>
      </c>
      <c r="L38">
        <v>26</v>
      </c>
      <c r="M38">
        <v>270203917</v>
      </c>
    </row>
    <row r="39" spans="1:13" x14ac:dyDescent="0.3">
      <c r="A39">
        <v>38</v>
      </c>
      <c r="B39" t="s">
        <v>346</v>
      </c>
      <c r="C39">
        <v>13800000</v>
      </c>
      <c r="D39">
        <v>2224911030</v>
      </c>
      <c r="E39" t="s">
        <v>988</v>
      </c>
      <c r="F39">
        <v>173</v>
      </c>
      <c r="G39" t="s">
        <v>984</v>
      </c>
      <c r="H39" t="s">
        <v>1303</v>
      </c>
      <c r="I39">
        <v>4800000</v>
      </c>
      <c r="J39">
        <v>2015</v>
      </c>
      <c r="K39">
        <v>1</v>
      </c>
      <c r="L39">
        <v>3</v>
      </c>
      <c r="M39">
        <v>328239523</v>
      </c>
    </row>
    <row r="40" spans="1:13" x14ac:dyDescent="0.3">
      <c r="A40">
        <v>39</v>
      </c>
      <c r="B40" t="s">
        <v>925</v>
      </c>
      <c r="C40">
        <v>18100000</v>
      </c>
      <c r="D40">
        <v>12249828886</v>
      </c>
      <c r="E40" t="s">
        <v>988</v>
      </c>
      <c r="F40">
        <v>0</v>
      </c>
      <c r="G40" t="s">
        <v>1294</v>
      </c>
      <c r="H40" t="s">
        <v>1294</v>
      </c>
      <c r="I40">
        <v>0</v>
      </c>
      <c r="J40">
        <v>2009</v>
      </c>
      <c r="K40">
        <v>10</v>
      </c>
      <c r="L40">
        <v>24</v>
      </c>
      <c r="M40" t="s">
        <v>1294</v>
      </c>
    </row>
    <row r="41" spans="1:13" x14ac:dyDescent="0.3">
      <c r="A41">
        <v>40</v>
      </c>
      <c r="B41" t="s">
        <v>369</v>
      </c>
      <c r="C41">
        <v>12900000</v>
      </c>
      <c r="D41">
        <v>6300933122</v>
      </c>
      <c r="E41" t="s">
        <v>977</v>
      </c>
      <c r="F41">
        <v>39</v>
      </c>
      <c r="G41" t="s">
        <v>984</v>
      </c>
      <c r="H41" t="s">
        <v>1303</v>
      </c>
      <c r="I41">
        <v>4400000</v>
      </c>
      <c r="J41">
        <v>2005</v>
      </c>
      <c r="K41">
        <v>11</v>
      </c>
      <c r="L41">
        <v>5</v>
      </c>
      <c r="M41">
        <v>328239523</v>
      </c>
    </row>
    <row r="42" spans="1:13" x14ac:dyDescent="0.3">
      <c r="A42">
        <v>41</v>
      </c>
      <c r="B42" t="s">
        <v>114</v>
      </c>
      <c r="C42">
        <v>23200000</v>
      </c>
      <c r="D42">
        <v>7966720147</v>
      </c>
      <c r="E42" t="s">
        <v>988</v>
      </c>
      <c r="F42">
        <v>595</v>
      </c>
      <c r="G42" t="s">
        <v>1294</v>
      </c>
      <c r="H42" t="s">
        <v>1294</v>
      </c>
      <c r="I42">
        <v>15400000</v>
      </c>
      <c r="J42">
        <v>2017</v>
      </c>
      <c r="K42">
        <v>10</v>
      </c>
      <c r="L42">
        <v>25</v>
      </c>
      <c r="M42" t="s">
        <v>1294</v>
      </c>
    </row>
    <row r="43" spans="1:13" x14ac:dyDescent="0.3">
      <c r="A43">
        <v>42</v>
      </c>
      <c r="B43" t="s">
        <v>948</v>
      </c>
      <c r="C43">
        <v>22900000</v>
      </c>
      <c r="D43">
        <v>5380073627</v>
      </c>
      <c r="E43" t="s">
        <v>982</v>
      </c>
      <c r="F43">
        <v>0</v>
      </c>
      <c r="G43" t="s">
        <v>984</v>
      </c>
      <c r="H43" t="s">
        <v>1303</v>
      </c>
      <c r="I43">
        <v>0</v>
      </c>
      <c r="J43">
        <v>2006</v>
      </c>
      <c r="K43">
        <v>3</v>
      </c>
      <c r="L43">
        <v>21</v>
      </c>
      <c r="M43">
        <v>328239523</v>
      </c>
    </row>
    <row r="44" spans="1:13" x14ac:dyDescent="0.3">
      <c r="A44">
        <v>43</v>
      </c>
      <c r="B44" t="s">
        <v>22</v>
      </c>
      <c r="C44">
        <v>26400000</v>
      </c>
      <c r="D44">
        <v>27006526665</v>
      </c>
      <c r="E44" t="s">
        <v>1044</v>
      </c>
      <c r="F44">
        <v>865</v>
      </c>
      <c r="G44" t="s">
        <v>984</v>
      </c>
      <c r="H44" t="s">
        <v>1303</v>
      </c>
      <c r="I44">
        <v>50200000</v>
      </c>
      <c r="J44">
        <v>2020</v>
      </c>
      <c r="K44">
        <v>2</v>
      </c>
      <c r="L44">
        <v>3</v>
      </c>
      <c r="M44">
        <v>328239523</v>
      </c>
    </row>
    <row r="45" spans="1:13" x14ac:dyDescent="0.3">
      <c r="A45">
        <v>44</v>
      </c>
      <c r="B45" t="s">
        <v>1047</v>
      </c>
      <c r="C45">
        <v>43700000</v>
      </c>
      <c r="D45">
        <v>12884264778</v>
      </c>
      <c r="E45" t="s">
        <v>977</v>
      </c>
      <c r="F45">
        <v>8</v>
      </c>
      <c r="G45" t="s">
        <v>1048</v>
      </c>
      <c r="H45" t="s">
        <v>1302</v>
      </c>
      <c r="I45">
        <v>1</v>
      </c>
      <c r="J45">
        <v>2006</v>
      </c>
      <c r="K45">
        <v>5</v>
      </c>
      <c r="L45">
        <v>12</v>
      </c>
      <c r="M45">
        <v>69625582</v>
      </c>
    </row>
    <row r="46" spans="1:13" x14ac:dyDescent="0.3">
      <c r="A46">
        <v>45</v>
      </c>
      <c r="B46" t="s">
        <v>401</v>
      </c>
      <c r="C46">
        <v>12900000</v>
      </c>
      <c r="D46">
        <v>7520379951</v>
      </c>
      <c r="E46" t="s">
        <v>994</v>
      </c>
      <c r="F46">
        <v>169304</v>
      </c>
      <c r="G46" t="s">
        <v>1062</v>
      </c>
      <c r="H46" t="s">
        <v>1302</v>
      </c>
      <c r="I46">
        <v>3900000</v>
      </c>
      <c r="J46">
        <v>2006</v>
      </c>
      <c r="K46">
        <v>9</v>
      </c>
      <c r="L46">
        <v>19</v>
      </c>
      <c r="M46">
        <v>9770529</v>
      </c>
    </row>
    <row r="47" spans="1:13" x14ac:dyDescent="0.3">
      <c r="A47">
        <v>46</v>
      </c>
      <c r="B47" t="s">
        <v>1172</v>
      </c>
      <c r="C47">
        <v>18400000</v>
      </c>
      <c r="D47">
        <v>11280732382</v>
      </c>
      <c r="E47" t="s">
        <v>994</v>
      </c>
      <c r="F47">
        <v>0</v>
      </c>
      <c r="G47" t="s">
        <v>1294</v>
      </c>
      <c r="H47" t="s">
        <v>1294</v>
      </c>
      <c r="I47">
        <v>0</v>
      </c>
      <c r="J47">
        <v>2007</v>
      </c>
      <c r="K47">
        <v>4</v>
      </c>
      <c r="L47">
        <v>25</v>
      </c>
      <c r="M47" t="s">
        <v>1294</v>
      </c>
    </row>
    <row r="48" spans="1:13" x14ac:dyDescent="0.3">
      <c r="A48">
        <v>47</v>
      </c>
      <c r="B48" t="s">
        <v>82</v>
      </c>
      <c r="C48">
        <v>24100000</v>
      </c>
      <c r="D48">
        <v>10999000479</v>
      </c>
      <c r="E48" t="s">
        <v>1044</v>
      </c>
      <c r="F48">
        <v>802</v>
      </c>
      <c r="G48" t="s">
        <v>1023</v>
      </c>
      <c r="H48" t="s">
        <v>1305</v>
      </c>
      <c r="I48">
        <v>19300000</v>
      </c>
      <c r="J48">
        <v>2014</v>
      </c>
      <c r="K48">
        <v>1</v>
      </c>
      <c r="L48">
        <v>17</v>
      </c>
      <c r="M48">
        <v>44938712</v>
      </c>
    </row>
    <row r="49" spans="1:13" x14ac:dyDescent="0.3">
      <c r="A49">
        <v>48</v>
      </c>
      <c r="B49" t="s">
        <v>722</v>
      </c>
      <c r="C49">
        <v>13100000</v>
      </c>
      <c r="D49">
        <v>1401914513</v>
      </c>
      <c r="E49" t="s">
        <v>994</v>
      </c>
      <c r="F49">
        <v>287</v>
      </c>
      <c r="G49" t="s">
        <v>1045</v>
      </c>
      <c r="H49" t="s">
        <v>1302</v>
      </c>
      <c r="I49">
        <v>520700</v>
      </c>
      <c r="J49">
        <v>2017</v>
      </c>
      <c r="K49">
        <v>7</v>
      </c>
      <c r="L49">
        <v>18</v>
      </c>
      <c r="M49">
        <v>108116615</v>
      </c>
    </row>
    <row r="50" spans="1:13" x14ac:dyDescent="0.3">
      <c r="A50">
        <v>49</v>
      </c>
      <c r="B50" t="s">
        <v>255</v>
      </c>
      <c r="C50">
        <v>13900000</v>
      </c>
      <c r="D50">
        <v>3193226072</v>
      </c>
      <c r="E50" t="s">
        <v>1011</v>
      </c>
      <c r="F50">
        <v>288</v>
      </c>
      <c r="G50" t="s">
        <v>1294</v>
      </c>
      <c r="H50" t="s">
        <v>1294</v>
      </c>
      <c r="I50">
        <v>6900000</v>
      </c>
      <c r="J50">
        <v>2010</v>
      </c>
      <c r="K50">
        <v>8</v>
      </c>
      <c r="L50">
        <v>21</v>
      </c>
      <c r="M50" t="s">
        <v>1294</v>
      </c>
    </row>
    <row r="51" spans="1:13" x14ac:dyDescent="0.3">
      <c r="A51">
        <v>50</v>
      </c>
      <c r="B51" t="s">
        <v>876</v>
      </c>
      <c r="C51">
        <v>16400000</v>
      </c>
      <c r="D51">
        <v>14431830557</v>
      </c>
      <c r="E51" t="s">
        <v>988</v>
      </c>
      <c r="F51">
        <v>1</v>
      </c>
      <c r="G51" t="s">
        <v>1294</v>
      </c>
      <c r="H51" t="s">
        <v>1294</v>
      </c>
      <c r="I51">
        <v>0.05</v>
      </c>
      <c r="J51">
        <v>2015</v>
      </c>
      <c r="K51">
        <v>11</v>
      </c>
      <c r="L51">
        <v>23</v>
      </c>
      <c r="M51" t="s">
        <v>1294</v>
      </c>
    </row>
    <row r="52" spans="1:13" x14ac:dyDescent="0.3">
      <c r="A52">
        <v>51</v>
      </c>
      <c r="B52" t="s">
        <v>1169</v>
      </c>
      <c r="C52">
        <v>18700000</v>
      </c>
      <c r="D52">
        <v>6148303268</v>
      </c>
      <c r="E52" t="s">
        <v>996</v>
      </c>
      <c r="F52">
        <v>2</v>
      </c>
      <c r="G52" t="s">
        <v>1294</v>
      </c>
      <c r="H52" t="s">
        <v>1294</v>
      </c>
      <c r="I52">
        <v>0.05</v>
      </c>
      <c r="J52">
        <v>2016</v>
      </c>
      <c r="K52">
        <v>7</v>
      </c>
      <c r="L52">
        <v>7</v>
      </c>
      <c r="M52" t="s">
        <v>1294</v>
      </c>
    </row>
    <row r="53" spans="1:13" x14ac:dyDescent="0.3">
      <c r="A53">
        <v>52</v>
      </c>
      <c r="B53" t="s">
        <v>729</v>
      </c>
      <c r="C53">
        <v>14000000</v>
      </c>
      <c r="D53">
        <v>4959982720</v>
      </c>
      <c r="E53" t="s">
        <v>996</v>
      </c>
      <c r="F53">
        <v>5757</v>
      </c>
      <c r="G53" t="s">
        <v>1019</v>
      </c>
      <c r="H53" t="s">
        <v>1305</v>
      </c>
      <c r="I53">
        <v>490100</v>
      </c>
      <c r="J53">
        <v>2012</v>
      </c>
      <c r="K53">
        <v>12</v>
      </c>
      <c r="L53">
        <v>15</v>
      </c>
      <c r="M53">
        <v>212559417</v>
      </c>
    </row>
    <row r="54" spans="1:13" x14ac:dyDescent="0.3">
      <c r="A54">
        <v>53</v>
      </c>
      <c r="B54" t="s">
        <v>160</v>
      </c>
      <c r="C54">
        <v>17400000</v>
      </c>
      <c r="D54">
        <v>13043561912</v>
      </c>
      <c r="E54" t="s">
        <v>988</v>
      </c>
      <c r="F54">
        <v>118448</v>
      </c>
      <c r="G54" t="s">
        <v>1048</v>
      </c>
      <c r="H54" t="s">
        <v>1302</v>
      </c>
      <c r="I54">
        <v>11300000</v>
      </c>
      <c r="J54">
        <v>2014</v>
      </c>
      <c r="K54">
        <v>2</v>
      </c>
      <c r="L54">
        <v>5</v>
      </c>
      <c r="M54">
        <v>69625582</v>
      </c>
    </row>
    <row r="55" spans="1:13" x14ac:dyDescent="0.3">
      <c r="A55">
        <v>54</v>
      </c>
      <c r="B55" t="s">
        <v>272</v>
      </c>
      <c r="C55">
        <v>24800000</v>
      </c>
      <c r="D55">
        <v>3699352704</v>
      </c>
      <c r="E55" t="s">
        <v>988</v>
      </c>
      <c r="F55">
        <v>1894</v>
      </c>
      <c r="G55" t="s">
        <v>984</v>
      </c>
      <c r="H55" t="s">
        <v>1303</v>
      </c>
      <c r="I55">
        <v>6500000</v>
      </c>
      <c r="J55">
        <v>2006</v>
      </c>
      <c r="K55">
        <v>6</v>
      </c>
      <c r="L55">
        <v>29</v>
      </c>
      <c r="M55">
        <v>328239523</v>
      </c>
    </row>
    <row r="56" spans="1:13" x14ac:dyDescent="0.3">
      <c r="A56">
        <v>55</v>
      </c>
      <c r="B56" t="s">
        <v>145</v>
      </c>
      <c r="C56">
        <v>20200000</v>
      </c>
      <c r="D56">
        <v>2951914200</v>
      </c>
      <c r="E56" t="s">
        <v>988</v>
      </c>
      <c r="F56">
        <v>460</v>
      </c>
      <c r="G56" t="s">
        <v>1051</v>
      </c>
      <c r="H56" t="s">
        <v>1305</v>
      </c>
      <c r="I56">
        <v>12700000</v>
      </c>
      <c r="J56">
        <v>2009</v>
      </c>
      <c r="K56">
        <v>7</v>
      </c>
      <c r="L56">
        <v>20</v>
      </c>
      <c r="M56">
        <v>50339443</v>
      </c>
    </row>
    <row r="57" spans="1:13" x14ac:dyDescent="0.3">
      <c r="A57">
        <v>56</v>
      </c>
      <c r="B57" t="s">
        <v>855</v>
      </c>
      <c r="C57">
        <v>24300000</v>
      </c>
      <c r="D57">
        <v>2380248899</v>
      </c>
      <c r="E57" t="s">
        <v>988</v>
      </c>
      <c r="F57">
        <v>17</v>
      </c>
      <c r="G57" t="s">
        <v>1294</v>
      </c>
      <c r="H57" t="s">
        <v>1294</v>
      </c>
      <c r="I57">
        <v>0.24</v>
      </c>
      <c r="J57">
        <v>2009</v>
      </c>
      <c r="K57">
        <v>12</v>
      </c>
      <c r="L57">
        <v>31</v>
      </c>
      <c r="M57" t="s">
        <v>1294</v>
      </c>
    </row>
    <row r="58" spans="1:13" x14ac:dyDescent="0.3">
      <c r="A58">
        <v>57</v>
      </c>
      <c r="B58" t="s">
        <v>604</v>
      </c>
      <c r="C58">
        <v>13500000</v>
      </c>
      <c r="D58">
        <v>3445794123</v>
      </c>
      <c r="E58" t="s">
        <v>1011</v>
      </c>
      <c r="F58">
        <v>591</v>
      </c>
      <c r="G58" t="s">
        <v>978</v>
      </c>
      <c r="H58" t="s">
        <v>1302</v>
      </c>
      <c r="I58">
        <v>1400000</v>
      </c>
      <c r="J58">
        <v>2012</v>
      </c>
      <c r="K58">
        <v>3</v>
      </c>
      <c r="L58">
        <v>10</v>
      </c>
      <c r="M58">
        <v>1366417754</v>
      </c>
    </row>
    <row r="59" spans="1:13" x14ac:dyDescent="0.3">
      <c r="A59">
        <v>58</v>
      </c>
      <c r="B59" t="s">
        <v>1175</v>
      </c>
      <c r="C59">
        <v>18000000</v>
      </c>
      <c r="D59">
        <v>15412333005</v>
      </c>
      <c r="E59" t="s">
        <v>988</v>
      </c>
      <c r="F59">
        <v>45</v>
      </c>
      <c r="G59" t="s">
        <v>984</v>
      </c>
      <c r="H59" t="s">
        <v>1303</v>
      </c>
      <c r="I59">
        <v>0.19</v>
      </c>
      <c r="J59">
        <v>2006</v>
      </c>
      <c r="K59">
        <v>8</v>
      </c>
      <c r="L59">
        <v>4</v>
      </c>
      <c r="M59">
        <v>328239523</v>
      </c>
    </row>
    <row r="60" spans="1:13" x14ac:dyDescent="0.3">
      <c r="A60">
        <v>59</v>
      </c>
      <c r="B60" t="s">
        <v>421</v>
      </c>
      <c r="C60">
        <v>17200000</v>
      </c>
      <c r="D60">
        <v>7337212581</v>
      </c>
      <c r="E60" t="s">
        <v>977</v>
      </c>
      <c r="F60">
        <v>138</v>
      </c>
      <c r="G60" t="s">
        <v>1019</v>
      </c>
      <c r="H60" t="s">
        <v>1305</v>
      </c>
      <c r="I60">
        <v>3500000</v>
      </c>
      <c r="J60">
        <v>2011</v>
      </c>
      <c r="K60">
        <v>11</v>
      </c>
      <c r="L60">
        <v>2</v>
      </c>
      <c r="M60">
        <v>212559417</v>
      </c>
    </row>
    <row r="61" spans="1:13" x14ac:dyDescent="0.3">
      <c r="A61">
        <v>60</v>
      </c>
      <c r="B61" t="s">
        <v>1292</v>
      </c>
      <c r="C61">
        <v>12400000</v>
      </c>
      <c r="D61">
        <v>13959586308</v>
      </c>
      <c r="E61" t="s">
        <v>994</v>
      </c>
      <c r="F61">
        <v>1</v>
      </c>
      <c r="G61" t="s">
        <v>1294</v>
      </c>
      <c r="H61" t="s">
        <v>1294</v>
      </c>
      <c r="I61">
        <v>0.1</v>
      </c>
      <c r="J61">
        <v>2006</v>
      </c>
      <c r="K61">
        <v>6</v>
      </c>
      <c r="L61">
        <v>18</v>
      </c>
      <c r="M61" t="s">
        <v>1294</v>
      </c>
    </row>
    <row r="62" spans="1:13" x14ac:dyDescent="0.3">
      <c r="A62">
        <v>61</v>
      </c>
      <c r="B62" t="s">
        <v>762</v>
      </c>
      <c r="C62">
        <v>16000000</v>
      </c>
      <c r="D62">
        <v>3029872908</v>
      </c>
      <c r="E62" t="s">
        <v>996</v>
      </c>
      <c r="F62">
        <v>687</v>
      </c>
      <c r="G62" t="s">
        <v>1058</v>
      </c>
      <c r="H62" t="s">
        <v>1305</v>
      </c>
      <c r="I62">
        <v>225500</v>
      </c>
      <c r="J62">
        <v>2015</v>
      </c>
      <c r="K62">
        <v>5</v>
      </c>
      <c r="L62">
        <v>25</v>
      </c>
      <c r="M62">
        <v>126014024</v>
      </c>
    </row>
    <row r="63" spans="1:13" x14ac:dyDescent="0.3">
      <c r="A63">
        <v>62</v>
      </c>
      <c r="B63" t="s">
        <v>129</v>
      </c>
      <c r="C63">
        <v>25000000</v>
      </c>
      <c r="D63">
        <v>14827085149</v>
      </c>
      <c r="E63" t="s">
        <v>977</v>
      </c>
      <c r="F63">
        <v>147</v>
      </c>
      <c r="G63" t="s">
        <v>1051</v>
      </c>
      <c r="H63" t="s">
        <v>1305</v>
      </c>
      <c r="I63">
        <v>13600000</v>
      </c>
      <c r="J63">
        <v>2016</v>
      </c>
      <c r="K63">
        <v>9</v>
      </c>
      <c r="L63">
        <v>8</v>
      </c>
      <c r="M63">
        <v>50339443</v>
      </c>
    </row>
    <row r="64" spans="1:13" x14ac:dyDescent="0.3">
      <c r="A64">
        <v>63</v>
      </c>
      <c r="B64" t="s">
        <v>72</v>
      </c>
      <c r="C64">
        <v>17400000</v>
      </c>
      <c r="D64">
        <v>17763586483</v>
      </c>
      <c r="E64" t="s">
        <v>996</v>
      </c>
      <c r="F64">
        <v>4411</v>
      </c>
      <c r="G64" t="s">
        <v>984</v>
      </c>
      <c r="H64" t="s">
        <v>1303</v>
      </c>
      <c r="I64">
        <v>21100000</v>
      </c>
      <c r="J64">
        <v>2012</v>
      </c>
      <c r="K64">
        <v>8</v>
      </c>
      <c r="L64">
        <v>13</v>
      </c>
      <c r="M64">
        <v>328239523</v>
      </c>
    </row>
    <row r="65" spans="1:13" x14ac:dyDescent="0.3">
      <c r="A65">
        <v>64</v>
      </c>
      <c r="B65" t="s">
        <v>519</v>
      </c>
      <c r="C65">
        <v>17300000</v>
      </c>
      <c r="D65">
        <v>1026425106</v>
      </c>
      <c r="E65" t="s">
        <v>1088</v>
      </c>
      <c r="F65">
        <v>180</v>
      </c>
      <c r="G65" t="s">
        <v>984</v>
      </c>
      <c r="H65" t="s">
        <v>1303</v>
      </c>
      <c r="I65">
        <v>2200000</v>
      </c>
      <c r="J65">
        <v>2005</v>
      </c>
      <c r="K65">
        <v>6</v>
      </c>
      <c r="L65">
        <v>22</v>
      </c>
      <c r="M65">
        <v>328239523</v>
      </c>
    </row>
    <row r="66" spans="1:13" x14ac:dyDescent="0.3">
      <c r="A66">
        <v>65</v>
      </c>
      <c r="B66" t="s">
        <v>235</v>
      </c>
      <c r="C66">
        <v>52700000</v>
      </c>
      <c r="D66">
        <v>24004842608</v>
      </c>
      <c r="E66" t="s">
        <v>977</v>
      </c>
      <c r="F66">
        <v>147</v>
      </c>
      <c r="G66" t="s">
        <v>984</v>
      </c>
      <c r="H66" t="s">
        <v>1303</v>
      </c>
      <c r="I66">
        <v>7700000</v>
      </c>
      <c r="J66">
        <v>2007</v>
      </c>
      <c r="K66">
        <v>1</v>
      </c>
      <c r="L66">
        <v>22</v>
      </c>
      <c r="M66">
        <v>328239523</v>
      </c>
    </row>
    <row r="67" spans="1:13" x14ac:dyDescent="0.3">
      <c r="A67">
        <v>66</v>
      </c>
      <c r="B67" t="s">
        <v>355</v>
      </c>
      <c r="C67">
        <v>17700000</v>
      </c>
      <c r="D67">
        <v>20115544708</v>
      </c>
      <c r="E67" t="s">
        <v>977</v>
      </c>
      <c r="F67">
        <v>178</v>
      </c>
      <c r="G67" t="s">
        <v>984</v>
      </c>
      <c r="H67" t="s">
        <v>1303</v>
      </c>
      <c r="I67">
        <v>4700000</v>
      </c>
      <c r="J67">
        <v>2010</v>
      </c>
      <c r="K67">
        <v>10</v>
      </c>
      <c r="L67">
        <v>21</v>
      </c>
      <c r="M67">
        <v>328239523</v>
      </c>
    </row>
    <row r="68" spans="1:13" x14ac:dyDescent="0.3">
      <c r="A68">
        <v>67</v>
      </c>
      <c r="B68" t="s">
        <v>426</v>
      </c>
      <c r="C68">
        <v>15800000</v>
      </c>
      <c r="D68">
        <v>4122634467</v>
      </c>
      <c r="E68" t="s">
        <v>994</v>
      </c>
      <c r="F68">
        <v>542</v>
      </c>
      <c r="G68" t="s">
        <v>1081</v>
      </c>
      <c r="H68" t="s">
        <v>1302</v>
      </c>
      <c r="I68">
        <v>3400000</v>
      </c>
      <c r="J68">
        <v>2017</v>
      </c>
      <c r="K68">
        <v>1</v>
      </c>
      <c r="L68">
        <v>18</v>
      </c>
      <c r="M68">
        <v>270203917</v>
      </c>
    </row>
    <row r="69" spans="1:13" x14ac:dyDescent="0.3">
      <c r="A69">
        <v>68</v>
      </c>
      <c r="B69" t="s">
        <v>20</v>
      </c>
      <c r="C69">
        <v>43200000</v>
      </c>
      <c r="D69">
        <v>37939780685</v>
      </c>
      <c r="E69" t="s">
        <v>988</v>
      </c>
      <c r="F69">
        <v>109871</v>
      </c>
      <c r="G69" t="s">
        <v>1041</v>
      </c>
      <c r="H69" t="s">
        <v>1302</v>
      </c>
      <c r="I69">
        <v>55200000</v>
      </c>
      <c r="J69">
        <v>2016</v>
      </c>
      <c r="K69">
        <v>7</v>
      </c>
      <c r="L69">
        <v>11</v>
      </c>
      <c r="M69">
        <v>216565318</v>
      </c>
    </row>
    <row r="70" spans="1:13" x14ac:dyDescent="0.3">
      <c r="A70">
        <v>69</v>
      </c>
      <c r="B70" t="s">
        <v>1162</v>
      </c>
      <c r="C70">
        <v>19600000</v>
      </c>
      <c r="D70">
        <v>2851024430</v>
      </c>
      <c r="E70" t="s">
        <v>996</v>
      </c>
      <c r="F70">
        <v>17</v>
      </c>
      <c r="G70" t="s">
        <v>984</v>
      </c>
      <c r="H70" t="s">
        <v>1303</v>
      </c>
      <c r="I70">
        <v>1</v>
      </c>
      <c r="J70">
        <v>2009</v>
      </c>
      <c r="K70">
        <v>3</v>
      </c>
      <c r="L70">
        <v>5</v>
      </c>
      <c r="M70">
        <v>328239523</v>
      </c>
    </row>
    <row r="71" spans="1:13" x14ac:dyDescent="0.3">
      <c r="A71">
        <v>70</v>
      </c>
      <c r="B71" t="s">
        <v>627</v>
      </c>
      <c r="C71">
        <v>29800000</v>
      </c>
      <c r="D71">
        <v>4457913639</v>
      </c>
      <c r="E71" t="s">
        <v>1044</v>
      </c>
      <c r="F71">
        <v>151</v>
      </c>
      <c r="G71" t="s">
        <v>978</v>
      </c>
      <c r="H71" t="s">
        <v>1302</v>
      </c>
      <c r="I71">
        <v>1300000</v>
      </c>
      <c r="J71">
        <v>2009</v>
      </c>
      <c r="K71">
        <v>7</v>
      </c>
      <c r="L71">
        <v>6</v>
      </c>
      <c r="M71">
        <v>1366417754</v>
      </c>
    </row>
    <row r="72" spans="1:13" x14ac:dyDescent="0.3">
      <c r="A72">
        <v>71</v>
      </c>
      <c r="B72" t="s">
        <v>695</v>
      </c>
      <c r="C72">
        <v>13400000</v>
      </c>
      <c r="D72">
        <v>2319515787</v>
      </c>
      <c r="E72" t="s">
        <v>1011</v>
      </c>
      <c r="F72">
        <v>1349</v>
      </c>
      <c r="G72" t="s">
        <v>984</v>
      </c>
      <c r="H72" t="s">
        <v>1303</v>
      </c>
      <c r="I72">
        <v>695900</v>
      </c>
      <c r="J72">
        <v>2006</v>
      </c>
      <c r="K72">
        <v>12</v>
      </c>
      <c r="L72">
        <v>16</v>
      </c>
      <c r="M72">
        <v>328239523</v>
      </c>
    </row>
    <row r="73" spans="1:13" x14ac:dyDescent="0.3">
      <c r="A73">
        <v>72</v>
      </c>
      <c r="B73" t="s">
        <v>357</v>
      </c>
      <c r="C73">
        <v>13900000</v>
      </c>
      <c r="D73">
        <v>12513842343</v>
      </c>
      <c r="E73" t="s">
        <v>977</v>
      </c>
      <c r="F73">
        <v>1660</v>
      </c>
      <c r="G73" t="s">
        <v>984</v>
      </c>
      <c r="H73" t="s">
        <v>1303</v>
      </c>
      <c r="I73">
        <v>4700000</v>
      </c>
      <c r="J73">
        <v>2006</v>
      </c>
      <c r="K73">
        <v>12</v>
      </c>
      <c r="L73">
        <v>15</v>
      </c>
      <c r="M73">
        <v>328239523</v>
      </c>
    </row>
    <row r="74" spans="1:13" x14ac:dyDescent="0.3">
      <c r="A74">
        <v>73</v>
      </c>
      <c r="B74" t="s">
        <v>451</v>
      </c>
      <c r="C74">
        <v>14600000</v>
      </c>
      <c r="D74">
        <v>3337074920</v>
      </c>
      <c r="E74" t="s">
        <v>994</v>
      </c>
      <c r="F74">
        <v>961</v>
      </c>
      <c r="G74" t="s">
        <v>1065</v>
      </c>
      <c r="H74" t="s">
        <v>1304</v>
      </c>
      <c r="I74">
        <v>2900000</v>
      </c>
      <c r="J74">
        <v>2013</v>
      </c>
      <c r="K74">
        <v>12</v>
      </c>
      <c r="L74">
        <v>12</v>
      </c>
      <c r="M74">
        <v>47076781</v>
      </c>
    </row>
    <row r="75" spans="1:13" x14ac:dyDescent="0.3">
      <c r="A75">
        <v>74</v>
      </c>
      <c r="B75" t="s">
        <v>710</v>
      </c>
      <c r="C75">
        <v>29200000</v>
      </c>
      <c r="D75">
        <v>4079141673</v>
      </c>
      <c r="E75" t="s">
        <v>1044</v>
      </c>
      <c r="F75">
        <v>404</v>
      </c>
      <c r="G75" t="s">
        <v>1065</v>
      </c>
      <c r="H75" t="s">
        <v>1304</v>
      </c>
      <c r="I75">
        <v>582900</v>
      </c>
      <c r="J75">
        <v>2006</v>
      </c>
      <c r="K75">
        <v>2</v>
      </c>
      <c r="L75">
        <v>28</v>
      </c>
      <c r="M75">
        <v>47076781</v>
      </c>
    </row>
    <row r="76" spans="1:13" x14ac:dyDescent="0.3">
      <c r="A76">
        <v>75</v>
      </c>
      <c r="B76" t="s">
        <v>757</v>
      </c>
      <c r="C76">
        <v>20100000</v>
      </c>
      <c r="D76">
        <v>8920141342</v>
      </c>
      <c r="E76" t="s">
        <v>996</v>
      </c>
      <c r="F76">
        <v>4974</v>
      </c>
      <c r="G76" t="s">
        <v>1019</v>
      </c>
      <c r="H76" t="s">
        <v>1305</v>
      </c>
      <c r="I76">
        <v>260200</v>
      </c>
      <c r="J76">
        <v>2011</v>
      </c>
      <c r="K76">
        <v>10</v>
      </c>
      <c r="L76">
        <v>7</v>
      </c>
      <c r="M76">
        <v>212559417</v>
      </c>
    </row>
    <row r="77" spans="1:13" x14ac:dyDescent="0.3">
      <c r="A77">
        <v>76</v>
      </c>
      <c r="B77" t="s">
        <v>400</v>
      </c>
      <c r="C77">
        <v>20600000</v>
      </c>
      <c r="D77">
        <v>10292874715</v>
      </c>
      <c r="E77" t="s">
        <v>977</v>
      </c>
      <c r="F77">
        <v>156</v>
      </c>
      <c r="G77" t="s">
        <v>1147</v>
      </c>
      <c r="H77" t="s">
        <v>1304</v>
      </c>
      <c r="I77">
        <v>3900000</v>
      </c>
      <c r="J77">
        <v>2009</v>
      </c>
      <c r="K77">
        <v>10</v>
      </c>
      <c r="L77">
        <v>28</v>
      </c>
      <c r="M77">
        <v>10285453</v>
      </c>
    </row>
    <row r="78" spans="1:13" x14ac:dyDescent="0.3">
      <c r="A78">
        <v>77</v>
      </c>
      <c r="B78" t="s">
        <v>496</v>
      </c>
      <c r="C78">
        <v>12400000</v>
      </c>
      <c r="D78">
        <v>6202090191</v>
      </c>
      <c r="E78" t="s">
        <v>977</v>
      </c>
      <c r="F78">
        <v>205</v>
      </c>
      <c r="G78" t="s">
        <v>984</v>
      </c>
      <c r="H78" t="s">
        <v>1303</v>
      </c>
      <c r="I78">
        <v>2400000</v>
      </c>
      <c r="J78">
        <v>2005</v>
      </c>
      <c r="K78">
        <v>10</v>
      </c>
      <c r="L78">
        <v>8</v>
      </c>
      <c r="M78">
        <v>328239523</v>
      </c>
    </row>
    <row r="79" spans="1:13" x14ac:dyDescent="0.3">
      <c r="A79">
        <v>78</v>
      </c>
      <c r="B79" t="s">
        <v>569</v>
      </c>
      <c r="C79">
        <v>13500000</v>
      </c>
      <c r="D79">
        <v>5545936485</v>
      </c>
      <c r="E79" t="s">
        <v>977</v>
      </c>
      <c r="F79">
        <v>814</v>
      </c>
      <c r="G79" t="s">
        <v>1013</v>
      </c>
      <c r="H79" t="s">
        <v>1304</v>
      </c>
      <c r="I79">
        <v>1700000</v>
      </c>
      <c r="J79">
        <v>2006</v>
      </c>
      <c r="K79">
        <v>12</v>
      </c>
      <c r="L79">
        <v>25</v>
      </c>
      <c r="M79">
        <v>66834405</v>
      </c>
    </row>
    <row r="80" spans="1:13" x14ac:dyDescent="0.3">
      <c r="A80">
        <v>79</v>
      </c>
      <c r="B80" t="s">
        <v>159</v>
      </c>
      <c r="C80">
        <v>21300000</v>
      </c>
      <c r="D80">
        <v>10047736580</v>
      </c>
      <c r="E80" t="s">
        <v>988</v>
      </c>
      <c r="F80">
        <v>669</v>
      </c>
      <c r="G80" t="s">
        <v>978</v>
      </c>
      <c r="H80" t="s">
        <v>1302</v>
      </c>
      <c r="I80">
        <v>11300000</v>
      </c>
      <c r="J80">
        <v>2021</v>
      </c>
      <c r="K80">
        <v>2</v>
      </c>
      <c r="L80">
        <v>2</v>
      </c>
      <c r="M80">
        <v>1366417754</v>
      </c>
    </row>
    <row r="81" spans="1:13" x14ac:dyDescent="0.3">
      <c r="A81">
        <v>80</v>
      </c>
      <c r="B81" t="s">
        <v>758</v>
      </c>
      <c r="C81">
        <v>13300000</v>
      </c>
      <c r="D81">
        <v>6412313570</v>
      </c>
      <c r="E81" t="s">
        <v>996</v>
      </c>
      <c r="F81">
        <v>1749</v>
      </c>
      <c r="G81" t="s">
        <v>1017</v>
      </c>
      <c r="H81" t="s">
        <v>1303</v>
      </c>
      <c r="I81">
        <v>258600</v>
      </c>
      <c r="J81">
        <v>2015</v>
      </c>
      <c r="K81">
        <v>5</v>
      </c>
      <c r="L81">
        <v>8</v>
      </c>
      <c r="M81">
        <v>36991981</v>
      </c>
    </row>
    <row r="82" spans="1:13" x14ac:dyDescent="0.3">
      <c r="A82">
        <v>81</v>
      </c>
      <c r="B82" t="s">
        <v>1132</v>
      </c>
      <c r="C82">
        <v>22900000</v>
      </c>
      <c r="D82">
        <v>13206471140</v>
      </c>
      <c r="E82" t="s">
        <v>990</v>
      </c>
      <c r="F82">
        <v>1251</v>
      </c>
      <c r="G82" t="s">
        <v>1058</v>
      </c>
      <c r="H82" t="s">
        <v>1305</v>
      </c>
      <c r="I82">
        <v>6600000</v>
      </c>
      <c r="J82">
        <v>2018</v>
      </c>
      <c r="K82">
        <v>3</v>
      </c>
      <c r="L82">
        <v>19</v>
      </c>
      <c r="M82">
        <v>126014024</v>
      </c>
    </row>
    <row r="83" spans="1:13" x14ac:dyDescent="0.3">
      <c r="A83">
        <v>82</v>
      </c>
      <c r="B83" t="s">
        <v>314</v>
      </c>
      <c r="C83">
        <v>20300000</v>
      </c>
      <c r="D83">
        <v>11819051552</v>
      </c>
      <c r="E83" t="s">
        <v>990</v>
      </c>
      <c r="F83">
        <v>875</v>
      </c>
      <c r="G83" t="s">
        <v>1081</v>
      </c>
      <c r="H83" t="s">
        <v>1302</v>
      </c>
      <c r="I83">
        <v>5400000</v>
      </c>
      <c r="J83">
        <v>2019</v>
      </c>
      <c r="K83">
        <v>1</v>
      </c>
      <c r="L83">
        <v>14</v>
      </c>
      <c r="M83">
        <v>270203917</v>
      </c>
    </row>
    <row r="84" spans="1:13" x14ac:dyDescent="0.3">
      <c r="A84">
        <v>83</v>
      </c>
      <c r="B84" t="s">
        <v>290</v>
      </c>
      <c r="C84">
        <v>32800000</v>
      </c>
      <c r="D84">
        <v>26355088167</v>
      </c>
      <c r="E84" t="s">
        <v>990</v>
      </c>
      <c r="F84">
        <v>2122</v>
      </c>
      <c r="G84" t="s">
        <v>984</v>
      </c>
      <c r="H84" t="s">
        <v>1303</v>
      </c>
      <c r="I84">
        <v>6100000</v>
      </c>
      <c r="J84">
        <v>2016</v>
      </c>
      <c r="K84">
        <v>7</v>
      </c>
      <c r="L84">
        <v>15</v>
      </c>
      <c r="M84">
        <v>328239523</v>
      </c>
    </row>
    <row r="85" spans="1:13" x14ac:dyDescent="0.3">
      <c r="A85">
        <v>84</v>
      </c>
      <c r="B85" t="s">
        <v>1033</v>
      </c>
      <c r="C85">
        <v>46800000</v>
      </c>
      <c r="D85">
        <v>19398045702</v>
      </c>
      <c r="E85" t="s">
        <v>988</v>
      </c>
      <c r="F85">
        <v>1</v>
      </c>
      <c r="G85" t="s">
        <v>1294</v>
      </c>
      <c r="H85" t="s">
        <v>1294</v>
      </c>
      <c r="I85">
        <v>21</v>
      </c>
      <c r="J85">
        <v>2007</v>
      </c>
      <c r="K85">
        <v>7</v>
      </c>
      <c r="L85">
        <v>21</v>
      </c>
      <c r="M85" t="s">
        <v>1294</v>
      </c>
    </row>
    <row r="86" spans="1:13" x14ac:dyDescent="0.3">
      <c r="A86">
        <v>85</v>
      </c>
      <c r="B86" t="s">
        <v>1037</v>
      </c>
      <c r="C86">
        <v>46100000</v>
      </c>
      <c r="D86">
        <v>30686342319</v>
      </c>
      <c r="E86" t="s">
        <v>977</v>
      </c>
      <c r="F86">
        <v>1</v>
      </c>
      <c r="G86" t="s">
        <v>1294</v>
      </c>
      <c r="H86" t="s">
        <v>1294</v>
      </c>
      <c r="I86">
        <v>0.05</v>
      </c>
      <c r="J86">
        <v>2005</v>
      </c>
      <c r="K86">
        <v>11</v>
      </c>
      <c r="L86">
        <v>15</v>
      </c>
      <c r="M86" t="s">
        <v>1294</v>
      </c>
    </row>
    <row r="87" spans="1:13" x14ac:dyDescent="0.3">
      <c r="A87">
        <v>86</v>
      </c>
      <c r="B87" t="s">
        <v>623</v>
      </c>
      <c r="C87">
        <v>21100000</v>
      </c>
      <c r="D87">
        <v>4526271677</v>
      </c>
      <c r="E87" t="s">
        <v>994</v>
      </c>
      <c r="F87">
        <v>2325</v>
      </c>
      <c r="G87" t="s">
        <v>1081</v>
      </c>
      <c r="H87" t="s">
        <v>1302</v>
      </c>
      <c r="I87">
        <v>1300000</v>
      </c>
      <c r="J87">
        <v>2016</v>
      </c>
      <c r="K87">
        <v>6</v>
      </c>
      <c r="L87">
        <v>4</v>
      </c>
      <c r="M87">
        <v>270203917</v>
      </c>
    </row>
    <row r="88" spans="1:13" x14ac:dyDescent="0.3">
      <c r="A88">
        <v>87</v>
      </c>
      <c r="B88" t="s">
        <v>425</v>
      </c>
      <c r="C88">
        <v>13300000</v>
      </c>
      <c r="D88">
        <v>4129249415</v>
      </c>
      <c r="E88" t="s">
        <v>996</v>
      </c>
      <c r="F88">
        <v>1640</v>
      </c>
      <c r="G88" t="s">
        <v>1071</v>
      </c>
      <c r="H88" t="s">
        <v>1302</v>
      </c>
      <c r="I88">
        <v>3400000</v>
      </c>
      <c r="J88">
        <v>2013</v>
      </c>
      <c r="K88">
        <v>8</v>
      </c>
      <c r="L88">
        <v>20</v>
      </c>
      <c r="M88">
        <v>34268528</v>
      </c>
    </row>
    <row r="89" spans="1:13" x14ac:dyDescent="0.3">
      <c r="A89">
        <v>88</v>
      </c>
      <c r="B89" t="s">
        <v>225</v>
      </c>
      <c r="C89">
        <v>75600000</v>
      </c>
      <c r="D89">
        <v>20826993957</v>
      </c>
      <c r="E89" t="s">
        <v>977</v>
      </c>
      <c r="F89">
        <v>2281</v>
      </c>
      <c r="G89" t="s">
        <v>1006</v>
      </c>
      <c r="H89" t="s">
        <v>1302</v>
      </c>
      <c r="I89">
        <v>8100000</v>
      </c>
      <c r="J89">
        <v>2012</v>
      </c>
      <c r="K89">
        <v>12</v>
      </c>
      <c r="L89">
        <v>17</v>
      </c>
      <c r="M89">
        <v>51709098</v>
      </c>
    </row>
    <row r="90" spans="1:13" x14ac:dyDescent="0.3">
      <c r="A90">
        <v>89</v>
      </c>
      <c r="B90" t="s">
        <v>674</v>
      </c>
      <c r="C90">
        <v>26300000</v>
      </c>
      <c r="D90">
        <v>4749833967</v>
      </c>
      <c r="E90" t="s">
        <v>988</v>
      </c>
      <c r="F90">
        <v>190</v>
      </c>
      <c r="G90" t="s">
        <v>978</v>
      </c>
      <c r="H90" t="s">
        <v>1302</v>
      </c>
      <c r="I90">
        <v>828600</v>
      </c>
      <c r="J90">
        <v>2015</v>
      </c>
      <c r="K90">
        <v>6</v>
      </c>
      <c r="L90">
        <v>20</v>
      </c>
      <c r="M90">
        <v>1366417754</v>
      </c>
    </row>
    <row r="91" spans="1:13" x14ac:dyDescent="0.3">
      <c r="A91">
        <v>90</v>
      </c>
      <c r="B91" t="s">
        <v>533</v>
      </c>
      <c r="C91">
        <v>13600000</v>
      </c>
      <c r="D91">
        <v>9685060624</v>
      </c>
      <c r="E91" t="s">
        <v>1128</v>
      </c>
      <c r="F91">
        <v>16047</v>
      </c>
      <c r="G91" t="s">
        <v>1013</v>
      </c>
      <c r="H91" t="s">
        <v>1304</v>
      </c>
      <c r="I91">
        <v>2100000</v>
      </c>
      <c r="J91">
        <v>2005</v>
      </c>
      <c r="K91">
        <v>11</v>
      </c>
      <c r="L91">
        <v>12</v>
      </c>
      <c r="M91">
        <v>66834405</v>
      </c>
    </row>
    <row r="92" spans="1:13" x14ac:dyDescent="0.3">
      <c r="A92">
        <v>91</v>
      </c>
      <c r="B92" t="s">
        <v>433</v>
      </c>
      <c r="C92">
        <v>14500000</v>
      </c>
      <c r="D92">
        <v>4598387043</v>
      </c>
      <c r="E92" t="s">
        <v>1026</v>
      </c>
      <c r="F92">
        <v>18972</v>
      </c>
      <c r="G92" t="s">
        <v>1013</v>
      </c>
      <c r="H92" t="s">
        <v>1304</v>
      </c>
      <c r="I92">
        <v>3200000</v>
      </c>
      <c r="J92">
        <v>2006</v>
      </c>
      <c r="K92">
        <v>4</v>
      </c>
      <c r="L92">
        <v>8</v>
      </c>
      <c r="M92">
        <v>66834405</v>
      </c>
    </row>
    <row r="93" spans="1:13" x14ac:dyDescent="0.3">
      <c r="A93">
        <v>92</v>
      </c>
      <c r="B93" t="s">
        <v>281</v>
      </c>
      <c r="C93">
        <v>16500000</v>
      </c>
      <c r="D93">
        <v>7043235131</v>
      </c>
      <c r="E93" t="s">
        <v>1026</v>
      </c>
      <c r="F93">
        <v>21243</v>
      </c>
      <c r="G93" t="s">
        <v>978</v>
      </c>
      <c r="H93" t="s">
        <v>1302</v>
      </c>
      <c r="I93">
        <v>6300000</v>
      </c>
      <c r="J93">
        <v>2009</v>
      </c>
      <c r="K93">
        <v>9</v>
      </c>
      <c r="L93">
        <v>22</v>
      </c>
      <c r="M93">
        <v>1366417754</v>
      </c>
    </row>
    <row r="94" spans="1:13" x14ac:dyDescent="0.3">
      <c r="A94">
        <v>93</v>
      </c>
      <c r="B94" t="s">
        <v>803</v>
      </c>
      <c r="C94">
        <v>14800000</v>
      </c>
      <c r="D94">
        <v>272678287</v>
      </c>
      <c r="E94" t="s">
        <v>994</v>
      </c>
      <c r="F94">
        <v>34</v>
      </c>
      <c r="G94" t="s">
        <v>1130</v>
      </c>
      <c r="H94" t="s">
        <v>1304</v>
      </c>
      <c r="I94">
        <v>1800</v>
      </c>
      <c r="J94">
        <v>2015</v>
      </c>
      <c r="K94">
        <v>1</v>
      </c>
      <c r="L94">
        <v>31</v>
      </c>
      <c r="M94">
        <v>83132799</v>
      </c>
    </row>
    <row r="95" spans="1:13" x14ac:dyDescent="0.3">
      <c r="A95">
        <v>94</v>
      </c>
      <c r="B95" t="s">
        <v>131</v>
      </c>
      <c r="C95">
        <v>26700000</v>
      </c>
      <c r="D95">
        <v>4388047013</v>
      </c>
      <c r="E95" t="s">
        <v>994</v>
      </c>
      <c r="F95">
        <v>241</v>
      </c>
      <c r="G95" t="s">
        <v>984</v>
      </c>
      <c r="H95" t="s">
        <v>1303</v>
      </c>
      <c r="I95">
        <v>13300000</v>
      </c>
      <c r="J95">
        <v>2016</v>
      </c>
      <c r="K95">
        <v>4</v>
      </c>
      <c r="L95">
        <v>24</v>
      </c>
      <c r="M95">
        <v>328239523</v>
      </c>
    </row>
    <row r="96" spans="1:13" x14ac:dyDescent="0.3">
      <c r="A96">
        <v>95</v>
      </c>
      <c r="B96" t="s">
        <v>11</v>
      </c>
      <c r="C96">
        <v>18000000</v>
      </c>
      <c r="D96">
        <v>8716982055</v>
      </c>
      <c r="E96" t="s">
        <v>982</v>
      </c>
      <c r="F96">
        <v>748</v>
      </c>
      <c r="G96" t="s">
        <v>1294</v>
      </c>
      <c r="H96" t="s">
        <v>1294</v>
      </c>
      <c r="I96">
        <v>66000000</v>
      </c>
      <c r="J96">
        <v>2011</v>
      </c>
      <c r="K96">
        <v>3</v>
      </c>
      <c r="L96">
        <v>12</v>
      </c>
      <c r="M96" t="s">
        <v>1294</v>
      </c>
    </row>
    <row r="97" spans="1:13" x14ac:dyDescent="0.3">
      <c r="A97">
        <v>96</v>
      </c>
      <c r="B97" t="s">
        <v>945</v>
      </c>
      <c r="C97">
        <v>12500000</v>
      </c>
      <c r="D97">
        <v>4163639093</v>
      </c>
      <c r="E97" t="s">
        <v>1294</v>
      </c>
      <c r="F97">
        <v>322</v>
      </c>
      <c r="G97" t="s">
        <v>984</v>
      </c>
      <c r="H97" t="s">
        <v>1303</v>
      </c>
      <c r="I97">
        <v>0</v>
      </c>
      <c r="J97">
        <v>2022</v>
      </c>
      <c r="K97">
        <v>3</v>
      </c>
      <c r="L97">
        <v>30</v>
      </c>
      <c r="M97">
        <v>328239523</v>
      </c>
    </row>
    <row r="98" spans="1:13" x14ac:dyDescent="0.3">
      <c r="A98">
        <v>97</v>
      </c>
      <c r="B98" t="s">
        <v>333</v>
      </c>
      <c r="C98">
        <v>21300000</v>
      </c>
      <c r="D98">
        <v>10644857969</v>
      </c>
      <c r="E98" t="s">
        <v>977</v>
      </c>
      <c r="F98">
        <v>78</v>
      </c>
      <c r="G98" t="s">
        <v>984</v>
      </c>
      <c r="H98" t="s">
        <v>1303</v>
      </c>
      <c r="I98">
        <v>5000000</v>
      </c>
      <c r="J98">
        <v>2011</v>
      </c>
      <c r="K98">
        <v>9</v>
      </c>
      <c r="L98">
        <v>6</v>
      </c>
      <c r="M98">
        <v>328239523</v>
      </c>
    </row>
    <row r="99" spans="1:13" x14ac:dyDescent="0.3">
      <c r="A99">
        <v>98</v>
      </c>
      <c r="B99" t="s">
        <v>200</v>
      </c>
      <c r="C99">
        <v>21900000</v>
      </c>
      <c r="D99">
        <v>4454917643</v>
      </c>
      <c r="E99" t="s">
        <v>982</v>
      </c>
      <c r="F99">
        <v>301</v>
      </c>
      <c r="G99" t="s">
        <v>984</v>
      </c>
      <c r="H99" t="s">
        <v>1303</v>
      </c>
      <c r="I99">
        <v>8900000</v>
      </c>
      <c r="J99">
        <v>2014</v>
      </c>
      <c r="K99">
        <v>6</v>
      </c>
      <c r="L99">
        <v>5</v>
      </c>
      <c r="M99">
        <v>328239523</v>
      </c>
    </row>
    <row r="100" spans="1:13" x14ac:dyDescent="0.3">
      <c r="A100">
        <v>99</v>
      </c>
      <c r="B100" t="s">
        <v>10</v>
      </c>
      <c r="C100">
        <v>32700000</v>
      </c>
      <c r="D100">
        <v>19180039918</v>
      </c>
      <c r="E100" t="s">
        <v>1294</v>
      </c>
      <c r="F100">
        <v>2738</v>
      </c>
      <c r="G100" t="s">
        <v>1085</v>
      </c>
      <c r="H100" t="s">
        <v>1304</v>
      </c>
      <c r="I100">
        <v>70200000</v>
      </c>
      <c r="J100">
        <v>2012</v>
      </c>
      <c r="K100">
        <v>12</v>
      </c>
      <c r="L100">
        <v>12</v>
      </c>
      <c r="M100">
        <v>83429615</v>
      </c>
    </row>
    <row r="101" spans="1:13" x14ac:dyDescent="0.3">
      <c r="A101">
        <v>100</v>
      </c>
      <c r="B101" t="s">
        <v>469</v>
      </c>
      <c r="C101">
        <v>26000000</v>
      </c>
      <c r="D101">
        <v>17308961985</v>
      </c>
      <c r="E101" t="s">
        <v>977</v>
      </c>
      <c r="F101">
        <v>240</v>
      </c>
      <c r="G101" t="s">
        <v>984</v>
      </c>
      <c r="H101" t="s">
        <v>1303</v>
      </c>
      <c r="I101">
        <v>2700000</v>
      </c>
      <c r="J101">
        <v>2005</v>
      </c>
      <c r="K101">
        <v>11</v>
      </c>
      <c r="L101">
        <v>7</v>
      </c>
      <c r="M101">
        <v>328239523</v>
      </c>
    </row>
    <row r="102" spans="1:13" x14ac:dyDescent="0.3">
      <c r="A102">
        <v>101</v>
      </c>
      <c r="B102" t="s">
        <v>377</v>
      </c>
      <c r="C102">
        <v>12800000</v>
      </c>
      <c r="D102">
        <v>14185611472</v>
      </c>
      <c r="E102" t="s">
        <v>977</v>
      </c>
      <c r="F102">
        <v>168</v>
      </c>
      <c r="G102" t="s">
        <v>984</v>
      </c>
      <c r="H102" t="s">
        <v>1303</v>
      </c>
      <c r="I102">
        <v>4300000</v>
      </c>
      <c r="J102">
        <v>2009</v>
      </c>
      <c r="K102">
        <v>9</v>
      </c>
      <c r="L102">
        <v>2</v>
      </c>
      <c r="M102">
        <v>328239523</v>
      </c>
    </row>
    <row r="103" spans="1:13" x14ac:dyDescent="0.3">
      <c r="A103">
        <v>102</v>
      </c>
      <c r="B103" t="s">
        <v>589</v>
      </c>
      <c r="C103">
        <v>12400000</v>
      </c>
      <c r="D103">
        <v>2315226648</v>
      </c>
      <c r="E103" t="s">
        <v>1011</v>
      </c>
      <c r="F103">
        <v>729</v>
      </c>
      <c r="G103" t="s">
        <v>978</v>
      </c>
      <c r="H103" t="s">
        <v>1302</v>
      </c>
      <c r="I103">
        <v>1500000</v>
      </c>
      <c r="J103">
        <v>2016</v>
      </c>
      <c r="K103">
        <v>8</v>
      </c>
      <c r="L103">
        <v>10</v>
      </c>
      <c r="M103">
        <v>1366417754</v>
      </c>
    </row>
    <row r="104" spans="1:13" x14ac:dyDescent="0.3">
      <c r="A104">
        <v>103</v>
      </c>
      <c r="B104" t="s">
        <v>739</v>
      </c>
      <c r="C104">
        <v>13200000</v>
      </c>
      <c r="D104">
        <v>1148422000</v>
      </c>
      <c r="E104" t="s">
        <v>988</v>
      </c>
      <c r="F104">
        <v>192</v>
      </c>
      <c r="G104" t="s">
        <v>1000</v>
      </c>
      <c r="H104" t="s">
        <v>1302</v>
      </c>
      <c r="I104">
        <v>420900</v>
      </c>
      <c r="J104">
        <v>2019</v>
      </c>
      <c r="K104">
        <v>1</v>
      </c>
      <c r="L104">
        <v>10</v>
      </c>
      <c r="M104">
        <v>144373535</v>
      </c>
    </row>
    <row r="105" spans="1:13" x14ac:dyDescent="0.3">
      <c r="A105">
        <v>104</v>
      </c>
      <c r="B105" t="s">
        <v>766</v>
      </c>
      <c r="C105">
        <v>12900000</v>
      </c>
      <c r="D105">
        <v>3178222797</v>
      </c>
      <c r="E105" t="s">
        <v>988</v>
      </c>
      <c r="F105">
        <v>193</v>
      </c>
      <c r="G105" t="s">
        <v>1006</v>
      </c>
      <c r="H105" t="s">
        <v>1302</v>
      </c>
      <c r="I105">
        <v>192100</v>
      </c>
      <c r="J105">
        <v>2016</v>
      </c>
      <c r="K105">
        <v>8</v>
      </c>
      <c r="L105">
        <v>8</v>
      </c>
      <c r="M105">
        <v>51709098</v>
      </c>
    </row>
    <row r="106" spans="1:13" x14ac:dyDescent="0.3">
      <c r="A106">
        <v>105</v>
      </c>
      <c r="B106" t="s">
        <v>708</v>
      </c>
      <c r="C106">
        <v>14100000</v>
      </c>
      <c r="D106">
        <v>4627069704</v>
      </c>
      <c r="E106" t="s">
        <v>988</v>
      </c>
      <c r="F106">
        <v>1540</v>
      </c>
      <c r="G106" t="s">
        <v>1048</v>
      </c>
      <c r="H106" t="s">
        <v>1302</v>
      </c>
      <c r="I106">
        <v>600100</v>
      </c>
      <c r="J106">
        <v>2006</v>
      </c>
      <c r="K106">
        <v>10</v>
      </c>
      <c r="L106">
        <v>3</v>
      </c>
      <c r="M106">
        <v>69625582</v>
      </c>
    </row>
    <row r="107" spans="1:13" x14ac:dyDescent="0.3">
      <c r="A107">
        <v>106</v>
      </c>
      <c r="B107" t="s">
        <v>1224</v>
      </c>
      <c r="C107">
        <v>15000000</v>
      </c>
      <c r="D107">
        <v>9996133066</v>
      </c>
      <c r="E107" t="s">
        <v>996</v>
      </c>
      <c r="F107">
        <v>68</v>
      </c>
      <c r="G107" t="s">
        <v>1294</v>
      </c>
      <c r="H107" t="s">
        <v>1294</v>
      </c>
      <c r="I107">
        <v>0</v>
      </c>
      <c r="J107">
        <v>2020</v>
      </c>
      <c r="K107">
        <v>12</v>
      </c>
      <c r="L107">
        <v>2</v>
      </c>
      <c r="M107" t="s">
        <v>1294</v>
      </c>
    </row>
    <row r="108" spans="1:13" x14ac:dyDescent="0.3">
      <c r="A108">
        <v>107</v>
      </c>
      <c r="B108" t="s">
        <v>541</v>
      </c>
      <c r="C108">
        <v>15100000</v>
      </c>
      <c r="D108">
        <v>7857371770</v>
      </c>
      <c r="E108" t="s">
        <v>977</v>
      </c>
      <c r="F108">
        <v>776</v>
      </c>
      <c r="G108" t="s">
        <v>1006</v>
      </c>
      <c r="H108" t="s">
        <v>1302</v>
      </c>
      <c r="I108">
        <v>2000000</v>
      </c>
      <c r="J108">
        <v>2005</v>
      </c>
      <c r="K108">
        <v>10</v>
      </c>
      <c r="L108">
        <v>10</v>
      </c>
      <c r="M108">
        <v>51709098</v>
      </c>
    </row>
    <row r="109" spans="1:13" x14ac:dyDescent="0.3">
      <c r="A109">
        <v>108</v>
      </c>
      <c r="B109" t="s">
        <v>252</v>
      </c>
      <c r="C109">
        <v>47900000</v>
      </c>
      <c r="D109">
        <v>13626331061</v>
      </c>
      <c r="E109" t="s">
        <v>977</v>
      </c>
      <c r="F109">
        <v>65</v>
      </c>
      <c r="G109" t="s">
        <v>984</v>
      </c>
      <c r="H109" t="s">
        <v>1303</v>
      </c>
      <c r="I109">
        <v>7000000</v>
      </c>
      <c r="J109">
        <v>2013</v>
      </c>
      <c r="K109">
        <v>2</v>
      </c>
      <c r="L109">
        <v>6</v>
      </c>
      <c r="M109">
        <v>328239523</v>
      </c>
    </row>
    <row r="110" spans="1:13" x14ac:dyDescent="0.3">
      <c r="A110">
        <v>109</v>
      </c>
      <c r="B110" t="s">
        <v>1030</v>
      </c>
      <c r="C110">
        <v>52200000</v>
      </c>
      <c r="D110">
        <v>9877365274</v>
      </c>
      <c r="E110" t="s">
        <v>990</v>
      </c>
      <c r="F110">
        <v>847</v>
      </c>
      <c r="G110" t="s">
        <v>984</v>
      </c>
      <c r="H110" t="s">
        <v>1303</v>
      </c>
      <c r="I110">
        <v>12800000</v>
      </c>
      <c r="J110">
        <v>2013</v>
      </c>
      <c r="K110">
        <v>10</v>
      </c>
      <c r="L110">
        <v>25</v>
      </c>
      <c r="M110">
        <v>328239523</v>
      </c>
    </row>
    <row r="111" spans="1:13" x14ac:dyDescent="0.3">
      <c r="A111">
        <v>110</v>
      </c>
      <c r="B111" t="s">
        <v>250</v>
      </c>
      <c r="C111">
        <v>16900000</v>
      </c>
      <c r="D111">
        <v>3523578665</v>
      </c>
      <c r="E111" t="s">
        <v>1067</v>
      </c>
      <c r="F111">
        <v>4891</v>
      </c>
      <c r="G111" t="s">
        <v>1019</v>
      </c>
      <c r="H111" t="s">
        <v>1305</v>
      </c>
      <c r="I111">
        <v>7200000</v>
      </c>
      <c r="J111">
        <v>2016</v>
      </c>
      <c r="K111">
        <v>4</v>
      </c>
      <c r="L111">
        <v>10</v>
      </c>
      <c r="M111">
        <v>212559417</v>
      </c>
    </row>
    <row r="112" spans="1:13" x14ac:dyDescent="0.3">
      <c r="A112">
        <v>111</v>
      </c>
      <c r="B112" t="s">
        <v>192</v>
      </c>
      <c r="C112">
        <v>20600000</v>
      </c>
      <c r="D112">
        <v>7657171980</v>
      </c>
      <c r="E112" t="s">
        <v>1044</v>
      </c>
      <c r="F112">
        <v>83</v>
      </c>
      <c r="G112" t="s">
        <v>1023</v>
      </c>
      <c r="H112" t="s">
        <v>1305</v>
      </c>
      <c r="I112">
        <v>9300000</v>
      </c>
      <c r="J112">
        <v>2017</v>
      </c>
      <c r="K112">
        <v>1</v>
      </c>
      <c r="L112">
        <v>15</v>
      </c>
      <c r="M112">
        <v>44938712</v>
      </c>
    </row>
    <row r="113" spans="1:13" x14ac:dyDescent="0.3">
      <c r="A113">
        <v>112</v>
      </c>
      <c r="B113" t="s">
        <v>60</v>
      </c>
      <c r="C113">
        <v>89800000</v>
      </c>
      <c r="D113">
        <v>32144597566</v>
      </c>
      <c r="E113" t="s">
        <v>994</v>
      </c>
      <c r="F113">
        <v>543</v>
      </c>
      <c r="G113" t="s">
        <v>1006</v>
      </c>
      <c r="H113" t="s">
        <v>1302</v>
      </c>
      <c r="I113">
        <v>23900000</v>
      </c>
      <c r="J113">
        <v>2016</v>
      </c>
      <c r="K113">
        <v>6</v>
      </c>
      <c r="L113">
        <v>29</v>
      </c>
      <c r="M113">
        <v>51709098</v>
      </c>
    </row>
    <row r="114" spans="1:13" x14ac:dyDescent="0.3">
      <c r="A114">
        <v>113</v>
      </c>
      <c r="B114" t="s">
        <v>205</v>
      </c>
      <c r="C114">
        <v>18100000</v>
      </c>
      <c r="D114">
        <v>14857290259</v>
      </c>
      <c r="E114" t="s">
        <v>990</v>
      </c>
      <c r="F114">
        <v>707</v>
      </c>
      <c r="G114" t="s">
        <v>984</v>
      </c>
      <c r="H114" t="s">
        <v>1303</v>
      </c>
      <c r="I114">
        <v>8700000</v>
      </c>
      <c r="J114">
        <v>2014</v>
      </c>
      <c r="K114">
        <v>1</v>
      </c>
      <c r="L114">
        <v>27</v>
      </c>
      <c r="M114">
        <v>328239523</v>
      </c>
    </row>
    <row r="115" spans="1:13" x14ac:dyDescent="0.3">
      <c r="A115">
        <v>114</v>
      </c>
      <c r="B115" t="s">
        <v>379</v>
      </c>
      <c r="C115">
        <v>15500000</v>
      </c>
      <c r="D115">
        <v>8984089026</v>
      </c>
      <c r="E115" t="s">
        <v>994</v>
      </c>
      <c r="F115">
        <v>598</v>
      </c>
      <c r="G115" t="s">
        <v>1058</v>
      </c>
      <c r="H115" t="s">
        <v>1305</v>
      </c>
      <c r="I115">
        <v>4300000</v>
      </c>
      <c r="J115">
        <v>2017</v>
      </c>
      <c r="K115">
        <v>1</v>
      </c>
      <c r="L115">
        <v>13</v>
      </c>
      <c r="M115">
        <v>126014024</v>
      </c>
    </row>
    <row r="116" spans="1:13" x14ac:dyDescent="0.3">
      <c r="A116">
        <v>115</v>
      </c>
      <c r="B116" t="s">
        <v>938</v>
      </c>
      <c r="C116">
        <v>13400000</v>
      </c>
      <c r="D116">
        <v>2650061211</v>
      </c>
      <c r="E116" t="s">
        <v>988</v>
      </c>
      <c r="F116">
        <v>0</v>
      </c>
      <c r="G116" t="s">
        <v>978</v>
      </c>
      <c r="H116" t="s">
        <v>1302</v>
      </c>
      <c r="I116">
        <v>0</v>
      </c>
      <c r="J116">
        <v>2017</v>
      </c>
      <c r="K116">
        <v>7</v>
      </c>
      <c r="L116">
        <v>4</v>
      </c>
      <c r="M116">
        <v>1366417754</v>
      </c>
    </row>
    <row r="117" spans="1:13" x14ac:dyDescent="0.3">
      <c r="A117">
        <v>116</v>
      </c>
      <c r="B117" t="s">
        <v>535</v>
      </c>
      <c r="C117">
        <v>12700000</v>
      </c>
      <c r="D117">
        <v>4733873025</v>
      </c>
      <c r="E117" t="s">
        <v>1011</v>
      </c>
      <c r="F117">
        <v>812</v>
      </c>
      <c r="G117" t="s">
        <v>984</v>
      </c>
      <c r="H117" t="s">
        <v>1303</v>
      </c>
      <c r="I117">
        <v>2100000</v>
      </c>
      <c r="J117">
        <v>2017</v>
      </c>
      <c r="K117">
        <v>6</v>
      </c>
      <c r="L117">
        <v>1</v>
      </c>
      <c r="M117">
        <v>328239523</v>
      </c>
    </row>
    <row r="118" spans="1:13" x14ac:dyDescent="0.3">
      <c r="A118">
        <v>117</v>
      </c>
      <c r="B118" t="s">
        <v>66</v>
      </c>
      <c r="C118">
        <v>18200000</v>
      </c>
      <c r="D118">
        <v>9937823152</v>
      </c>
      <c r="E118" t="s">
        <v>994</v>
      </c>
      <c r="F118">
        <v>442</v>
      </c>
      <c r="G118" t="s">
        <v>1294</v>
      </c>
      <c r="H118" t="s">
        <v>1294</v>
      </c>
      <c r="I118">
        <v>22500000</v>
      </c>
      <c r="J118">
        <v>2019</v>
      </c>
      <c r="K118">
        <v>1</v>
      </c>
      <c r="L118">
        <v>25</v>
      </c>
      <c r="M118" t="s">
        <v>1294</v>
      </c>
    </row>
    <row r="119" spans="1:13" x14ac:dyDescent="0.3">
      <c r="A119">
        <v>118</v>
      </c>
      <c r="B119" t="s">
        <v>247</v>
      </c>
      <c r="C119">
        <v>16300000</v>
      </c>
      <c r="D119">
        <v>7141825267</v>
      </c>
      <c r="E119" t="s">
        <v>988</v>
      </c>
      <c r="F119">
        <v>1444</v>
      </c>
      <c r="G119" t="s">
        <v>978</v>
      </c>
      <c r="H119" t="s">
        <v>1302</v>
      </c>
      <c r="I119">
        <v>7300000</v>
      </c>
      <c r="J119">
        <v>2011</v>
      </c>
      <c r="K119">
        <v>10</v>
      </c>
      <c r="L119">
        <v>13</v>
      </c>
      <c r="M119">
        <v>1366417754</v>
      </c>
    </row>
    <row r="120" spans="1:13" x14ac:dyDescent="0.3">
      <c r="A120">
        <v>119</v>
      </c>
      <c r="B120" t="s">
        <v>1237</v>
      </c>
      <c r="C120">
        <v>14500000</v>
      </c>
      <c r="D120">
        <v>5014888374</v>
      </c>
      <c r="E120" t="s">
        <v>994</v>
      </c>
      <c r="F120">
        <v>618</v>
      </c>
      <c r="G120" t="s">
        <v>1006</v>
      </c>
      <c r="H120" t="s">
        <v>1302</v>
      </c>
      <c r="I120">
        <v>238100</v>
      </c>
      <c r="J120">
        <v>2016</v>
      </c>
      <c r="K120">
        <v>5</v>
      </c>
      <c r="L120">
        <v>18</v>
      </c>
      <c r="M120">
        <v>51709098</v>
      </c>
    </row>
    <row r="121" spans="1:13" x14ac:dyDescent="0.3">
      <c r="A121">
        <v>120</v>
      </c>
      <c r="B121" t="s">
        <v>651</v>
      </c>
      <c r="C121">
        <v>30300000</v>
      </c>
      <c r="D121">
        <v>13546549817</v>
      </c>
      <c r="E121" t="s">
        <v>988</v>
      </c>
      <c r="F121">
        <v>223</v>
      </c>
      <c r="G121" t="s">
        <v>984</v>
      </c>
      <c r="H121" t="s">
        <v>1303</v>
      </c>
      <c r="I121">
        <v>1100000</v>
      </c>
      <c r="J121">
        <v>2012</v>
      </c>
      <c r="K121">
        <v>2</v>
      </c>
      <c r="L121">
        <v>21</v>
      </c>
      <c r="M121">
        <v>328239523</v>
      </c>
    </row>
    <row r="122" spans="1:13" x14ac:dyDescent="0.3">
      <c r="A122">
        <v>121</v>
      </c>
      <c r="B122" t="s">
        <v>289</v>
      </c>
      <c r="C122">
        <v>27800000</v>
      </c>
      <c r="D122">
        <v>21037851468</v>
      </c>
      <c r="E122" t="s">
        <v>977</v>
      </c>
      <c r="F122">
        <v>292</v>
      </c>
      <c r="G122" t="s">
        <v>1114</v>
      </c>
      <c r="H122" t="s">
        <v>1114</v>
      </c>
      <c r="I122">
        <v>6100000</v>
      </c>
      <c r="J122">
        <v>2013</v>
      </c>
      <c r="K122">
        <v>1</v>
      </c>
      <c r="L122">
        <v>1</v>
      </c>
      <c r="M122">
        <v>25766605</v>
      </c>
    </row>
    <row r="123" spans="1:13" x14ac:dyDescent="0.3">
      <c r="A123">
        <v>122</v>
      </c>
      <c r="B123" t="s">
        <v>607</v>
      </c>
      <c r="C123">
        <v>16300000</v>
      </c>
      <c r="D123">
        <v>6578828147</v>
      </c>
      <c r="E123" t="s">
        <v>977</v>
      </c>
      <c r="F123">
        <v>490</v>
      </c>
      <c r="G123" t="s">
        <v>984</v>
      </c>
      <c r="H123" t="s">
        <v>1303</v>
      </c>
      <c r="I123">
        <v>1400000</v>
      </c>
      <c r="J123">
        <v>2007</v>
      </c>
      <c r="K123">
        <v>9</v>
      </c>
      <c r="L123">
        <v>2</v>
      </c>
      <c r="M123">
        <v>328239523</v>
      </c>
    </row>
    <row r="124" spans="1:13" x14ac:dyDescent="0.3">
      <c r="A124">
        <v>123</v>
      </c>
      <c r="B124" t="s">
        <v>936</v>
      </c>
      <c r="C124">
        <v>20900000</v>
      </c>
      <c r="D124">
        <v>4927879069</v>
      </c>
      <c r="E124" t="s">
        <v>1128</v>
      </c>
      <c r="F124">
        <v>982</v>
      </c>
      <c r="G124" t="s">
        <v>984</v>
      </c>
      <c r="H124" t="s">
        <v>1303</v>
      </c>
      <c r="I124">
        <v>0</v>
      </c>
      <c r="J124">
        <v>2014</v>
      </c>
      <c r="K124">
        <v>9</v>
      </c>
      <c r="L124">
        <v>8</v>
      </c>
      <c r="M124">
        <v>328239523</v>
      </c>
    </row>
    <row r="125" spans="1:13" x14ac:dyDescent="0.3">
      <c r="A125">
        <v>124</v>
      </c>
      <c r="B125" t="s">
        <v>658</v>
      </c>
      <c r="C125">
        <v>13200000</v>
      </c>
      <c r="D125">
        <v>2036408398</v>
      </c>
      <c r="E125" t="s">
        <v>996</v>
      </c>
      <c r="F125">
        <v>172</v>
      </c>
      <c r="G125" t="s">
        <v>1269</v>
      </c>
      <c r="H125" t="s">
        <v>1304</v>
      </c>
      <c r="I125">
        <v>977700</v>
      </c>
      <c r="J125">
        <v>2017</v>
      </c>
      <c r="K125">
        <v>4</v>
      </c>
      <c r="L125">
        <v>28</v>
      </c>
      <c r="M125">
        <v>5520314</v>
      </c>
    </row>
    <row r="126" spans="1:13" x14ac:dyDescent="0.3">
      <c r="A126">
        <v>125</v>
      </c>
      <c r="B126" t="s">
        <v>254</v>
      </c>
      <c r="C126">
        <v>27000000</v>
      </c>
      <c r="D126">
        <v>6570935979</v>
      </c>
      <c r="E126" t="s">
        <v>1044</v>
      </c>
      <c r="F126">
        <v>554</v>
      </c>
      <c r="G126" t="s">
        <v>984</v>
      </c>
      <c r="H126" t="s">
        <v>1303</v>
      </c>
      <c r="I126">
        <v>6900000</v>
      </c>
      <c r="J126">
        <v>2009</v>
      </c>
      <c r="K126">
        <v>8</v>
      </c>
      <c r="L126">
        <v>1</v>
      </c>
      <c r="M126">
        <v>328239523</v>
      </c>
    </row>
    <row r="127" spans="1:13" x14ac:dyDescent="0.3">
      <c r="A127">
        <v>126</v>
      </c>
      <c r="B127" t="s">
        <v>1043</v>
      </c>
      <c r="C127">
        <v>44500000</v>
      </c>
      <c r="D127">
        <v>10708531817</v>
      </c>
      <c r="E127" t="s">
        <v>1011</v>
      </c>
      <c r="F127">
        <v>0</v>
      </c>
      <c r="G127" t="s">
        <v>1294</v>
      </c>
      <c r="H127" t="s">
        <v>1294</v>
      </c>
      <c r="I127">
        <v>0</v>
      </c>
      <c r="J127">
        <v>2005</v>
      </c>
      <c r="K127">
        <v>11</v>
      </c>
      <c r="L127">
        <v>18</v>
      </c>
      <c r="M127" t="s">
        <v>1294</v>
      </c>
    </row>
    <row r="128" spans="1:13" x14ac:dyDescent="0.3">
      <c r="A128">
        <v>127</v>
      </c>
      <c r="B128" t="s">
        <v>479</v>
      </c>
      <c r="C128">
        <v>19700000</v>
      </c>
      <c r="D128">
        <v>11323617496</v>
      </c>
      <c r="E128" t="s">
        <v>988</v>
      </c>
      <c r="F128">
        <v>4225</v>
      </c>
      <c r="G128" t="s">
        <v>1013</v>
      </c>
      <c r="H128" t="s">
        <v>1304</v>
      </c>
      <c r="I128">
        <v>2600000</v>
      </c>
      <c r="J128">
        <v>2008</v>
      </c>
      <c r="K128">
        <v>4</v>
      </c>
      <c r="L128">
        <v>12</v>
      </c>
      <c r="M128">
        <v>66834405</v>
      </c>
    </row>
    <row r="129" spans="1:13" x14ac:dyDescent="0.3">
      <c r="A129">
        <v>128</v>
      </c>
      <c r="B129" t="s">
        <v>217</v>
      </c>
      <c r="C129">
        <v>36700000</v>
      </c>
      <c r="D129">
        <v>19378155425</v>
      </c>
      <c r="E129" t="s">
        <v>977</v>
      </c>
      <c r="F129">
        <v>99</v>
      </c>
      <c r="G129" t="s">
        <v>984</v>
      </c>
      <c r="H129" t="s">
        <v>1303</v>
      </c>
      <c r="I129">
        <v>8400000</v>
      </c>
      <c r="J129">
        <v>2006</v>
      </c>
      <c r="K129">
        <v>9</v>
      </c>
      <c r="L129">
        <v>19</v>
      </c>
      <c r="M129">
        <v>328239523</v>
      </c>
    </row>
    <row r="130" spans="1:13" x14ac:dyDescent="0.3">
      <c r="A130">
        <v>129</v>
      </c>
      <c r="B130" t="s">
        <v>704</v>
      </c>
      <c r="C130">
        <v>13500000</v>
      </c>
      <c r="D130">
        <v>1181292450</v>
      </c>
      <c r="E130" t="s">
        <v>996</v>
      </c>
      <c r="F130">
        <v>319</v>
      </c>
      <c r="G130" t="s">
        <v>1081</v>
      </c>
      <c r="H130" t="s">
        <v>1302</v>
      </c>
      <c r="I130">
        <v>644900</v>
      </c>
      <c r="J130">
        <v>2019</v>
      </c>
      <c r="K130">
        <v>7</v>
      </c>
      <c r="L130">
        <v>19</v>
      </c>
      <c r="M130">
        <v>270203917</v>
      </c>
    </row>
    <row r="131" spans="1:13" x14ac:dyDescent="0.3">
      <c r="A131">
        <v>130</v>
      </c>
      <c r="B131" t="s">
        <v>737</v>
      </c>
      <c r="C131">
        <v>20100000</v>
      </c>
      <c r="D131">
        <v>17913237851</v>
      </c>
      <c r="E131" t="s">
        <v>994</v>
      </c>
      <c r="F131">
        <v>7737</v>
      </c>
      <c r="G131" t="s">
        <v>984</v>
      </c>
      <c r="H131" t="s">
        <v>1303</v>
      </c>
      <c r="I131">
        <v>437400</v>
      </c>
      <c r="J131">
        <v>2011</v>
      </c>
      <c r="K131">
        <v>8</v>
      </c>
      <c r="L131">
        <v>10</v>
      </c>
      <c r="M131">
        <v>328239523</v>
      </c>
    </row>
    <row r="132" spans="1:13" x14ac:dyDescent="0.3">
      <c r="A132">
        <v>131</v>
      </c>
      <c r="B132" t="s">
        <v>942</v>
      </c>
      <c r="C132">
        <v>15600000</v>
      </c>
      <c r="D132">
        <v>1511794214</v>
      </c>
      <c r="E132" t="s">
        <v>988</v>
      </c>
      <c r="F132">
        <v>483</v>
      </c>
      <c r="G132" t="s">
        <v>1058</v>
      </c>
      <c r="H132" t="s">
        <v>1305</v>
      </c>
      <c r="I132">
        <v>0</v>
      </c>
      <c r="J132">
        <v>2010</v>
      </c>
      <c r="K132">
        <v>9</v>
      </c>
      <c r="L132">
        <v>22</v>
      </c>
      <c r="M132">
        <v>126014024</v>
      </c>
    </row>
    <row r="133" spans="1:13" x14ac:dyDescent="0.3">
      <c r="A133">
        <v>132</v>
      </c>
      <c r="B133" t="s">
        <v>944</v>
      </c>
      <c r="C133">
        <v>13000000</v>
      </c>
      <c r="D133">
        <v>10664585</v>
      </c>
      <c r="E133" t="s">
        <v>988</v>
      </c>
      <c r="F133">
        <v>29</v>
      </c>
      <c r="G133" t="s">
        <v>1081</v>
      </c>
      <c r="H133" t="s">
        <v>1302</v>
      </c>
      <c r="I133">
        <v>0</v>
      </c>
      <c r="J133">
        <v>2016</v>
      </c>
      <c r="K133">
        <v>1</v>
      </c>
      <c r="L133">
        <v>20</v>
      </c>
      <c r="M133">
        <v>270203917</v>
      </c>
    </row>
    <row r="134" spans="1:13" x14ac:dyDescent="0.3">
      <c r="A134">
        <v>133</v>
      </c>
      <c r="B134" t="s">
        <v>339</v>
      </c>
      <c r="C134">
        <v>19000000</v>
      </c>
      <c r="D134">
        <v>16014044618</v>
      </c>
      <c r="E134" t="s">
        <v>977</v>
      </c>
      <c r="F134">
        <v>79</v>
      </c>
      <c r="G134" t="s">
        <v>1013</v>
      </c>
      <c r="H134" t="s">
        <v>1304</v>
      </c>
      <c r="I134">
        <v>4900000</v>
      </c>
      <c r="J134">
        <v>2007</v>
      </c>
      <c r="K134">
        <v>2</v>
      </c>
      <c r="L134">
        <v>11</v>
      </c>
      <c r="M134">
        <v>66834405</v>
      </c>
    </row>
    <row r="135" spans="1:13" x14ac:dyDescent="0.3">
      <c r="A135">
        <v>134</v>
      </c>
      <c r="B135" t="s">
        <v>542</v>
      </c>
      <c r="C135">
        <v>16300000</v>
      </c>
      <c r="D135">
        <v>6613422635</v>
      </c>
      <c r="E135" t="s">
        <v>977</v>
      </c>
      <c r="F135">
        <v>80</v>
      </c>
      <c r="G135" t="s">
        <v>984</v>
      </c>
      <c r="H135" t="s">
        <v>1303</v>
      </c>
      <c r="I135">
        <v>2000000</v>
      </c>
      <c r="J135">
        <v>2015</v>
      </c>
      <c r="K135">
        <v>8</v>
      </c>
      <c r="L135">
        <v>11</v>
      </c>
      <c r="M135">
        <v>328239523</v>
      </c>
    </row>
    <row r="136" spans="1:13" x14ac:dyDescent="0.3">
      <c r="A136">
        <v>135</v>
      </c>
      <c r="B136" t="s">
        <v>543</v>
      </c>
      <c r="C136">
        <v>14700000</v>
      </c>
      <c r="D136">
        <v>4684983333</v>
      </c>
      <c r="E136" t="s">
        <v>977</v>
      </c>
      <c r="F136">
        <v>3978</v>
      </c>
      <c r="G136" t="s">
        <v>1019</v>
      </c>
      <c r="H136" t="s">
        <v>1305</v>
      </c>
      <c r="I136">
        <v>2000000</v>
      </c>
      <c r="J136">
        <v>2014</v>
      </c>
      <c r="K136">
        <v>5</v>
      </c>
      <c r="L136">
        <v>27</v>
      </c>
      <c r="M136">
        <v>212559417</v>
      </c>
    </row>
    <row r="137" spans="1:13" x14ac:dyDescent="0.3">
      <c r="A137">
        <v>136</v>
      </c>
      <c r="B137" t="s">
        <v>452</v>
      </c>
      <c r="C137">
        <v>15900000</v>
      </c>
      <c r="D137">
        <v>6802382479</v>
      </c>
      <c r="E137" t="s">
        <v>977</v>
      </c>
      <c r="F137">
        <v>132</v>
      </c>
      <c r="G137" t="s">
        <v>1051</v>
      </c>
      <c r="H137" t="s">
        <v>1305</v>
      </c>
      <c r="I137">
        <v>2900000</v>
      </c>
      <c r="J137">
        <v>2010</v>
      </c>
      <c r="K137">
        <v>7</v>
      </c>
      <c r="L137">
        <v>29</v>
      </c>
      <c r="M137">
        <v>50339443</v>
      </c>
    </row>
    <row r="138" spans="1:13" x14ac:dyDescent="0.3">
      <c r="A138">
        <v>137</v>
      </c>
      <c r="B138" t="s">
        <v>649</v>
      </c>
      <c r="C138">
        <v>20800000</v>
      </c>
      <c r="D138">
        <v>1870608170</v>
      </c>
      <c r="E138" t="s">
        <v>1044</v>
      </c>
      <c r="F138">
        <v>288</v>
      </c>
      <c r="G138" t="s">
        <v>1019</v>
      </c>
      <c r="H138" t="s">
        <v>1305</v>
      </c>
      <c r="I138">
        <v>1100000</v>
      </c>
      <c r="J138">
        <v>2011</v>
      </c>
      <c r="K138">
        <v>4</v>
      </c>
      <c r="L138">
        <v>8</v>
      </c>
      <c r="M138">
        <v>212559417</v>
      </c>
    </row>
    <row r="139" spans="1:13" x14ac:dyDescent="0.3">
      <c r="A139">
        <v>138</v>
      </c>
      <c r="B139" t="s">
        <v>700</v>
      </c>
      <c r="C139">
        <v>16100000</v>
      </c>
      <c r="D139">
        <v>2687443643</v>
      </c>
      <c r="E139" t="s">
        <v>994</v>
      </c>
      <c r="F139">
        <v>723</v>
      </c>
      <c r="G139" t="s">
        <v>1019</v>
      </c>
      <c r="H139" t="s">
        <v>1305</v>
      </c>
      <c r="I139">
        <v>662500</v>
      </c>
      <c r="J139">
        <v>2017</v>
      </c>
      <c r="K139">
        <v>7</v>
      </c>
      <c r="L139">
        <v>21</v>
      </c>
      <c r="M139">
        <v>212559417</v>
      </c>
    </row>
    <row r="140" spans="1:13" x14ac:dyDescent="0.3">
      <c r="A140">
        <v>139</v>
      </c>
      <c r="B140" t="s">
        <v>929</v>
      </c>
      <c r="C140">
        <v>66500000</v>
      </c>
      <c r="D140">
        <v>36775585925</v>
      </c>
      <c r="E140" t="s">
        <v>977</v>
      </c>
      <c r="F140">
        <v>2572</v>
      </c>
      <c r="G140" t="s">
        <v>1019</v>
      </c>
      <c r="H140" t="s">
        <v>1305</v>
      </c>
      <c r="I140">
        <v>0</v>
      </c>
      <c r="J140">
        <v>2012</v>
      </c>
      <c r="K140">
        <v>3</v>
      </c>
      <c r="L140">
        <v>21</v>
      </c>
      <c r="M140">
        <v>212559417</v>
      </c>
    </row>
    <row r="141" spans="1:13" x14ac:dyDescent="0.3">
      <c r="A141">
        <v>140</v>
      </c>
      <c r="B141" t="s">
        <v>1232</v>
      </c>
      <c r="C141">
        <v>14700000</v>
      </c>
      <c r="D141">
        <v>1506796393</v>
      </c>
      <c r="E141" t="s">
        <v>988</v>
      </c>
      <c r="F141">
        <v>554</v>
      </c>
      <c r="G141" t="s">
        <v>1065</v>
      </c>
      <c r="H141" t="s">
        <v>1304</v>
      </c>
      <c r="I141">
        <v>10900</v>
      </c>
      <c r="J141">
        <v>2010</v>
      </c>
      <c r="K141">
        <v>2</v>
      </c>
      <c r="L141">
        <v>19</v>
      </c>
      <c r="M141">
        <v>47076781</v>
      </c>
    </row>
    <row r="142" spans="1:13" x14ac:dyDescent="0.3">
      <c r="A142">
        <v>141</v>
      </c>
      <c r="B142" t="s">
        <v>852</v>
      </c>
      <c r="C142">
        <v>18800000</v>
      </c>
      <c r="D142">
        <v>7634430188</v>
      </c>
      <c r="E142" t="s">
        <v>994</v>
      </c>
      <c r="F142">
        <v>9</v>
      </c>
      <c r="G142" t="s">
        <v>1294</v>
      </c>
      <c r="H142" t="s">
        <v>1294</v>
      </c>
      <c r="I142">
        <v>0.34</v>
      </c>
      <c r="J142">
        <v>2017</v>
      </c>
      <c r="K142">
        <v>8</v>
      </c>
      <c r="L142">
        <v>15</v>
      </c>
      <c r="M142" t="s">
        <v>1294</v>
      </c>
    </row>
    <row r="143" spans="1:13" x14ac:dyDescent="0.3">
      <c r="A143">
        <v>142</v>
      </c>
      <c r="B143" t="s">
        <v>408</v>
      </c>
      <c r="C143">
        <v>39200000</v>
      </c>
      <c r="D143">
        <v>3294013141</v>
      </c>
      <c r="E143" t="s">
        <v>1044</v>
      </c>
      <c r="F143">
        <v>186</v>
      </c>
      <c r="G143" t="s">
        <v>978</v>
      </c>
      <c r="H143" t="s">
        <v>1302</v>
      </c>
      <c r="I143">
        <v>3800000</v>
      </c>
      <c r="J143">
        <v>2014</v>
      </c>
      <c r="K143">
        <v>10</v>
      </c>
      <c r="L143">
        <v>30</v>
      </c>
      <c r="M143">
        <v>1366417754</v>
      </c>
    </row>
    <row r="144" spans="1:13" x14ac:dyDescent="0.3">
      <c r="A144">
        <v>143</v>
      </c>
      <c r="B144" t="s">
        <v>752</v>
      </c>
      <c r="C144">
        <v>12600000</v>
      </c>
      <c r="D144">
        <v>3152402405</v>
      </c>
      <c r="E144" t="s">
        <v>994</v>
      </c>
      <c r="F144">
        <v>1101</v>
      </c>
      <c r="G144" t="s">
        <v>984</v>
      </c>
      <c r="H144" t="s">
        <v>1303</v>
      </c>
      <c r="I144">
        <v>285700</v>
      </c>
      <c r="J144">
        <v>2010</v>
      </c>
      <c r="K144">
        <v>2</v>
      </c>
      <c r="L144">
        <v>15</v>
      </c>
      <c r="M144">
        <v>328239523</v>
      </c>
    </row>
    <row r="145" spans="1:13" x14ac:dyDescent="0.3">
      <c r="A145">
        <v>144</v>
      </c>
      <c r="B145" t="s">
        <v>214</v>
      </c>
      <c r="C145">
        <v>12400000</v>
      </c>
      <c r="D145">
        <v>4779139505</v>
      </c>
      <c r="E145" t="s">
        <v>990</v>
      </c>
      <c r="F145">
        <v>1340</v>
      </c>
      <c r="G145" t="s">
        <v>984</v>
      </c>
      <c r="H145" t="s">
        <v>1303</v>
      </c>
      <c r="I145">
        <v>8500000</v>
      </c>
      <c r="J145">
        <v>2016</v>
      </c>
      <c r="K145">
        <v>4</v>
      </c>
      <c r="L145">
        <v>6</v>
      </c>
      <c r="M145">
        <v>328239523</v>
      </c>
    </row>
    <row r="146" spans="1:13" x14ac:dyDescent="0.3">
      <c r="A146">
        <v>145</v>
      </c>
      <c r="B146" t="s">
        <v>943</v>
      </c>
      <c r="C146">
        <v>33500000</v>
      </c>
      <c r="D146">
        <v>29611914495</v>
      </c>
      <c r="E146" t="s">
        <v>988</v>
      </c>
      <c r="F146">
        <v>96214</v>
      </c>
      <c r="G146" t="s">
        <v>1048</v>
      </c>
      <c r="H146" t="s">
        <v>1302</v>
      </c>
      <c r="I146">
        <v>0</v>
      </c>
      <c r="J146">
        <v>2014</v>
      </c>
      <c r="K146">
        <v>5</v>
      </c>
      <c r="L146">
        <v>29</v>
      </c>
      <c r="M146">
        <v>69625582</v>
      </c>
    </row>
    <row r="147" spans="1:13" x14ac:dyDescent="0.3">
      <c r="A147">
        <v>146</v>
      </c>
      <c r="B147" t="s">
        <v>385</v>
      </c>
      <c r="C147">
        <v>16400000</v>
      </c>
      <c r="D147">
        <v>9463244435</v>
      </c>
      <c r="E147" t="s">
        <v>988</v>
      </c>
      <c r="F147">
        <v>56203</v>
      </c>
      <c r="G147" t="s">
        <v>1048</v>
      </c>
      <c r="H147" t="s">
        <v>1302</v>
      </c>
      <c r="I147">
        <v>4200000</v>
      </c>
      <c r="J147">
        <v>2010</v>
      </c>
      <c r="K147">
        <v>5</v>
      </c>
      <c r="L147">
        <v>17</v>
      </c>
      <c r="M147">
        <v>69625582</v>
      </c>
    </row>
    <row r="148" spans="1:13" x14ac:dyDescent="0.3">
      <c r="A148">
        <v>147</v>
      </c>
      <c r="B148" t="s">
        <v>571</v>
      </c>
      <c r="C148">
        <v>14700000</v>
      </c>
      <c r="D148">
        <v>6751985988</v>
      </c>
      <c r="E148" t="s">
        <v>1044</v>
      </c>
      <c r="F148">
        <v>698</v>
      </c>
      <c r="G148" t="s">
        <v>984</v>
      </c>
      <c r="H148" t="s">
        <v>1303</v>
      </c>
      <c r="I148">
        <v>1700000</v>
      </c>
      <c r="J148">
        <v>2006</v>
      </c>
      <c r="K148">
        <v>3</v>
      </c>
      <c r="L148">
        <v>26</v>
      </c>
      <c r="M148">
        <v>328239523</v>
      </c>
    </row>
    <row r="149" spans="1:13" x14ac:dyDescent="0.3">
      <c r="A149">
        <v>148</v>
      </c>
      <c r="B149" t="s">
        <v>38</v>
      </c>
      <c r="C149">
        <v>15100000</v>
      </c>
      <c r="D149">
        <v>13897932103</v>
      </c>
      <c r="E149" t="s">
        <v>988</v>
      </c>
      <c r="F149">
        <v>2717</v>
      </c>
      <c r="G149" t="s">
        <v>1000</v>
      </c>
      <c r="H149" t="s">
        <v>1302</v>
      </c>
      <c r="I149">
        <v>34200000</v>
      </c>
      <c r="J149">
        <v>2020</v>
      </c>
      <c r="K149">
        <v>1</v>
      </c>
      <c r="L149">
        <v>24</v>
      </c>
      <c r="M149">
        <v>144373535</v>
      </c>
    </row>
    <row r="150" spans="1:13" x14ac:dyDescent="0.3">
      <c r="A150">
        <v>149</v>
      </c>
      <c r="B150" t="s">
        <v>313</v>
      </c>
      <c r="C150">
        <v>22000000</v>
      </c>
      <c r="D150">
        <v>9924807127</v>
      </c>
      <c r="E150" t="s">
        <v>977</v>
      </c>
      <c r="F150">
        <v>157</v>
      </c>
      <c r="G150" t="s">
        <v>984</v>
      </c>
      <c r="H150" t="s">
        <v>1303</v>
      </c>
      <c r="I150">
        <v>5400000</v>
      </c>
      <c r="J150">
        <v>2009</v>
      </c>
      <c r="K150">
        <v>9</v>
      </c>
      <c r="L150">
        <v>9</v>
      </c>
      <c r="M150">
        <v>328239523</v>
      </c>
    </row>
    <row r="151" spans="1:13" x14ac:dyDescent="0.3">
      <c r="A151">
        <v>150</v>
      </c>
      <c r="B151" t="s">
        <v>305</v>
      </c>
      <c r="C151">
        <v>15000000</v>
      </c>
      <c r="D151">
        <v>9924103188</v>
      </c>
      <c r="E151" t="s">
        <v>994</v>
      </c>
      <c r="F151">
        <v>899</v>
      </c>
      <c r="G151" t="s">
        <v>978</v>
      </c>
      <c r="H151" t="s">
        <v>1302</v>
      </c>
      <c r="I151">
        <v>5500000</v>
      </c>
      <c r="J151">
        <v>2014</v>
      </c>
      <c r="K151">
        <v>8</v>
      </c>
      <c r="L151">
        <v>17</v>
      </c>
      <c r="M151">
        <v>1366417754</v>
      </c>
    </row>
    <row r="152" spans="1:13" x14ac:dyDescent="0.3">
      <c r="A152">
        <v>151</v>
      </c>
      <c r="B152" t="s">
        <v>648</v>
      </c>
      <c r="C152">
        <v>24700000</v>
      </c>
      <c r="D152">
        <v>2994726412</v>
      </c>
      <c r="E152" t="s">
        <v>1011</v>
      </c>
      <c r="F152">
        <v>412</v>
      </c>
      <c r="G152" t="s">
        <v>1114</v>
      </c>
      <c r="H152" t="s">
        <v>1114</v>
      </c>
      <c r="I152">
        <v>1100000</v>
      </c>
      <c r="J152">
        <v>2011</v>
      </c>
      <c r="K152">
        <v>8</v>
      </c>
      <c r="L152">
        <v>17</v>
      </c>
      <c r="M152">
        <v>25766605</v>
      </c>
    </row>
    <row r="153" spans="1:13" x14ac:dyDescent="0.3">
      <c r="A153">
        <v>152</v>
      </c>
      <c r="B153" t="s">
        <v>78</v>
      </c>
      <c r="C153">
        <v>65900000</v>
      </c>
      <c r="D153">
        <v>45757850229</v>
      </c>
      <c r="E153" t="s">
        <v>990</v>
      </c>
      <c r="F153">
        <v>633</v>
      </c>
      <c r="G153" t="s">
        <v>978</v>
      </c>
      <c r="H153" t="s">
        <v>1302</v>
      </c>
      <c r="I153">
        <v>20200000</v>
      </c>
      <c r="J153">
        <v>2013</v>
      </c>
      <c r="K153">
        <v>2</v>
      </c>
      <c r="L153">
        <v>9</v>
      </c>
      <c r="M153">
        <v>1366417754</v>
      </c>
    </row>
    <row r="154" spans="1:13" x14ac:dyDescent="0.3">
      <c r="A154">
        <v>153</v>
      </c>
      <c r="B154" t="s">
        <v>706</v>
      </c>
      <c r="C154">
        <v>12500000</v>
      </c>
      <c r="D154">
        <v>4465772496</v>
      </c>
      <c r="E154" t="s">
        <v>1044</v>
      </c>
      <c r="F154">
        <v>117</v>
      </c>
      <c r="G154" t="s">
        <v>978</v>
      </c>
      <c r="H154" t="s">
        <v>1302</v>
      </c>
      <c r="I154">
        <v>630800</v>
      </c>
      <c r="J154">
        <v>2018</v>
      </c>
      <c r="K154">
        <v>2</v>
      </c>
      <c r="L154">
        <v>20</v>
      </c>
      <c r="M154">
        <v>1366417754</v>
      </c>
    </row>
    <row r="155" spans="1:13" x14ac:dyDescent="0.3">
      <c r="A155">
        <v>154</v>
      </c>
      <c r="B155" t="s">
        <v>1168</v>
      </c>
      <c r="C155">
        <v>18700000</v>
      </c>
      <c r="D155">
        <v>12295637162</v>
      </c>
      <c r="E155" t="s">
        <v>988</v>
      </c>
      <c r="F155">
        <v>16</v>
      </c>
      <c r="G155" t="s">
        <v>1065</v>
      </c>
      <c r="H155" t="s">
        <v>1304</v>
      </c>
      <c r="I155">
        <v>5</v>
      </c>
      <c r="J155">
        <v>2005</v>
      </c>
      <c r="K155">
        <v>9</v>
      </c>
      <c r="L155">
        <v>26</v>
      </c>
      <c r="M155">
        <v>47076781</v>
      </c>
    </row>
    <row r="156" spans="1:13" x14ac:dyDescent="0.3">
      <c r="A156">
        <v>155</v>
      </c>
      <c r="B156" t="s">
        <v>650</v>
      </c>
      <c r="C156">
        <v>19600000</v>
      </c>
      <c r="D156">
        <v>3961318438</v>
      </c>
      <c r="E156" t="s">
        <v>996</v>
      </c>
      <c r="F156">
        <v>674</v>
      </c>
      <c r="G156" t="s">
        <v>984</v>
      </c>
      <c r="H156" t="s">
        <v>1303</v>
      </c>
      <c r="I156">
        <v>1100000</v>
      </c>
      <c r="J156">
        <v>2013</v>
      </c>
      <c r="K156">
        <v>1</v>
      </c>
      <c r="L156">
        <v>31</v>
      </c>
      <c r="M156">
        <v>328239523</v>
      </c>
    </row>
    <row r="157" spans="1:13" x14ac:dyDescent="0.3">
      <c r="A157">
        <v>156</v>
      </c>
      <c r="B157" t="s">
        <v>1141</v>
      </c>
      <c r="C157">
        <v>21500000</v>
      </c>
      <c r="D157">
        <v>22065582014</v>
      </c>
      <c r="E157" t="s">
        <v>994</v>
      </c>
      <c r="F157">
        <v>6</v>
      </c>
      <c r="G157" t="s">
        <v>1294</v>
      </c>
      <c r="H157" t="s">
        <v>1294</v>
      </c>
      <c r="I157">
        <v>0.14000000000000001</v>
      </c>
      <c r="J157">
        <v>2006</v>
      </c>
      <c r="K157">
        <v>4</v>
      </c>
      <c r="L157">
        <v>2</v>
      </c>
      <c r="M157" t="s">
        <v>1294</v>
      </c>
    </row>
    <row r="158" spans="1:13" x14ac:dyDescent="0.3">
      <c r="A158">
        <v>157</v>
      </c>
      <c r="B158" t="s">
        <v>196</v>
      </c>
      <c r="C158">
        <v>15200000</v>
      </c>
      <c r="D158">
        <v>14198154095</v>
      </c>
      <c r="E158" t="s">
        <v>1026</v>
      </c>
      <c r="F158">
        <v>160405</v>
      </c>
      <c r="G158" t="s">
        <v>984</v>
      </c>
      <c r="H158" t="s">
        <v>1303</v>
      </c>
      <c r="I158">
        <v>9000000</v>
      </c>
      <c r="J158">
        <v>2005</v>
      </c>
      <c r="K158">
        <v>10</v>
      </c>
      <c r="L158">
        <v>2</v>
      </c>
      <c r="M158">
        <v>328239523</v>
      </c>
    </row>
    <row r="159" spans="1:13" x14ac:dyDescent="0.3">
      <c r="A159">
        <v>158</v>
      </c>
      <c r="B159" t="s">
        <v>3</v>
      </c>
      <c r="C159">
        <v>162000000</v>
      </c>
      <c r="D159" s="1">
        <v>164000000000</v>
      </c>
      <c r="E159" t="s">
        <v>990</v>
      </c>
      <c r="F159">
        <v>966</v>
      </c>
      <c r="G159" t="s">
        <v>984</v>
      </c>
      <c r="H159" t="s">
        <v>1303</v>
      </c>
      <c r="I159">
        <v>94800000</v>
      </c>
      <c r="J159">
        <v>2006</v>
      </c>
      <c r="K159">
        <v>9</v>
      </c>
      <c r="L159">
        <v>1</v>
      </c>
      <c r="M159">
        <v>328239523</v>
      </c>
    </row>
    <row r="160" spans="1:13" x14ac:dyDescent="0.3">
      <c r="A160">
        <v>159</v>
      </c>
      <c r="B160" t="s">
        <v>168</v>
      </c>
      <c r="C160">
        <v>13400000</v>
      </c>
      <c r="D160">
        <v>11789678655</v>
      </c>
      <c r="E160" t="s">
        <v>977</v>
      </c>
      <c r="F160">
        <v>7356</v>
      </c>
      <c r="G160" t="s">
        <v>1051</v>
      </c>
      <c r="H160" t="s">
        <v>1305</v>
      </c>
      <c r="I160">
        <v>11000000</v>
      </c>
      <c r="J160">
        <v>2007</v>
      </c>
      <c r="K160">
        <v>2</v>
      </c>
      <c r="L160">
        <v>8</v>
      </c>
      <c r="M160">
        <v>50339443</v>
      </c>
    </row>
    <row r="161" spans="1:13" x14ac:dyDescent="0.3">
      <c r="A161">
        <v>160</v>
      </c>
      <c r="B161" t="s">
        <v>187</v>
      </c>
      <c r="C161">
        <v>25300000</v>
      </c>
      <c r="D161">
        <v>17331663193</v>
      </c>
      <c r="E161" t="s">
        <v>977</v>
      </c>
      <c r="F161">
        <v>398</v>
      </c>
      <c r="G161" t="s">
        <v>1013</v>
      </c>
      <c r="H161" t="s">
        <v>1304</v>
      </c>
      <c r="I161">
        <v>9500000</v>
      </c>
      <c r="J161">
        <v>2010</v>
      </c>
      <c r="K161">
        <v>1</v>
      </c>
      <c r="L161">
        <v>3</v>
      </c>
      <c r="M161">
        <v>66834405</v>
      </c>
    </row>
    <row r="162" spans="1:13" x14ac:dyDescent="0.3">
      <c r="A162">
        <v>161</v>
      </c>
      <c r="B162" t="s">
        <v>742</v>
      </c>
      <c r="C162">
        <v>12500000</v>
      </c>
      <c r="D162">
        <v>1612094871</v>
      </c>
      <c r="E162" t="s">
        <v>988</v>
      </c>
      <c r="F162">
        <v>385</v>
      </c>
      <c r="G162" t="s">
        <v>1013</v>
      </c>
      <c r="H162" t="s">
        <v>1304</v>
      </c>
      <c r="I162">
        <v>407200</v>
      </c>
      <c r="J162">
        <v>2006</v>
      </c>
      <c r="K162">
        <v>11</v>
      </c>
      <c r="L162">
        <v>15</v>
      </c>
      <c r="M162">
        <v>66834405</v>
      </c>
    </row>
    <row r="163" spans="1:13" x14ac:dyDescent="0.3">
      <c r="A163">
        <v>162</v>
      </c>
      <c r="B163" t="s">
        <v>922</v>
      </c>
      <c r="C163">
        <v>14700000</v>
      </c>
      <c r="D163">
        <v>7255848125</v>
      </c>
      <c r="E163" t="s">
        <v>1044</v>
      </c>
      <c r="F163">
        <v>4340</v>
      </c>
      <c r="G163" t="s">
        <v>984</v>
      </c>
      <c r="H163" t="s">
        <v>1303</v>
      </c>
      <c r="I163">
        <v>0</v>
      </c>
      <c r="J163">
        <v>2006</v>
      </c>
      <c r="K163">
        <v>10</v>
      </c>
      <c r="L163">
        <v>9</v>
      </c>
      <c r="M163">
        <v>328239523</v>
      </c>
    </row>
    <row r="164" spans="1:13" x14ac:dyDescent="0.3">
      <c r="A164">
        <v>163</v>
      </c>
      <c r="B164" t="s">
        <v>721</v>
      </c>
      <c r="C164">
        <v>23900000</v>
      </c>
      <c r="D164">
        <v>6582932625</v>
      </c>
      <c r="E164" t="s">
        <v>988</v>
      </c>
      <c r="F164">
        <v>257</v>
      </c>
      <c r="G164" t="s">
        <v>984</v>
      </c>
      <c r="H164" t="s">
        <v>1303</v>
      </c>
      <c r="I164">
        <v>520900</v>
      </c>
      <c r="J164">
        <v>2011</v>
      </c>
      <c r="K164">
        <v>8</v>
      </c>
      <c r="L164">
        <v>9</v>
      </c>
      <c r="M164">
        <v>328239523</v>
      </c>
    </row>
    <row r="165" spans="1:13" x14ac:dyDescent="0.3">
      <c r="A165">
        <v>164</v>
      </c>
      <c r="B165" t="s">
        <v>101</v>
      </c>
      <c r="C165">
        <v>14700000</v>
      </c>
      <c r="D165">
        <v>12362331529</v>
      </c>
      <c r="E165" t="s">
        <v>988</v>
      </c>
      <c r="F165">
        <v>23490</v>
      </c>
      <c r="G165" t="s">
        <v>978</v>
      </c>
      <c r="H165" t="s">
        <v>1302</v>
      </c>
      <c r="I165">
        <v>16700000</v>
      </c>
      <c r="J165">
        <v>2013</v>
      </c>
      <c r="K165">
        <v>11</v>
      </c>
      <c r="L165">
        <v>28</v>
      </c>
      <c r="M165">
        <v>1366417754</v>
      </c>
    </row>
    <row r="166" spans="1:13" x14ac:dyDescent="0.3">
      <c r="A166">
        <v>165</v>
      </c>
      <c r="B166" t="s">
        <v>18</v>
      </c>
      <c r="C166">
        <v>64600000</v>
      </c>
      <c r="D166">
        <v>61510906457</v>
      </c>
      <c r="E166" t="s">
        <v>992</v>
      </c>
      <c r="F166">
        <v>112915</v>
      </c>
      <c r="G166" t="s">
        <v>978</v>
      </c>
      <c r="H166" t="s">
        <v>1302</v>
      </c>
      <c r="I166">
        <v>57000000</v>
      </c>
      <c r="J166">
        <v>2008</v>
      </c>
      <c r="K166">
        <v>6</v>
      </c>
      <c r="L166">
        <v>13</v>
      </c>
      <c r="M166">
        <v>1366417754</v>
      </c>
    </row>
    <row r="167" spans="1:13" x14ac:dyDescent="0.3">
      <c r="A167">
        <v>166</v>
      </c>
      <c r="B167" t="s">
        <v>724</v>
      </c>
      <c r="C167">
        <v>13500000</v>
      </c>
      <c r="D167">
        <v>2750993392</v>
      </c>
      <c r="E167" t="s">
        <v>977</v>
      </c>
      <c r="F167">
        <v>321</v>
      </c>
      <c r="G167" t="s">
        <v>984</v>
      </c>
      <c r="H167" t="s">
        <v>1303</v>
      </c>
      <c r="I167">
        <v>517800</v>
      </c>
      <c r="J167">
        <v>2006</v>
      </c>
      <c r="K167">
        <v>5</v>
      </c>
      <c r="L167">
        <v>19</v>
      </c>
      <c r="M167">
        <v>328239523</v>
      </c>
    </row>
    <row r="168" spans="1:13" x14ac:dyDescent="0.3">
      <c r="A168">
        <v>167</v>
      </c>
      <c r="B168" t="s">
        <v>172</v>
      </c>
      <c r="C168">
        <v>20100000</v>
      </c>
      <c r="D168">
        <v>23353115850</v>
      </c>
      <c r="E168" t="s">
        <v>988</v>
      </c>
      <c r="F168">
        <v>3774</v>
      </c>
      <c r="G168" t="s">
        <v>984</v>
      </c>
      <c r="H168" t="s">
        <v>1303</v>
      </c>
      <c r="I168">
        <v>10600000</v>
      </c>
      <c r="J168">
        <v>2013</v>
      </c>
      <c r="K168">
        <v>11</v>
      </c>
      <c r="L168">
        <v>3</v>
      </c>
      <c r="M168">
        <v>328239523</v>
      </c>
    </row>
    <row r="169" spans="1:13" x14ac:dyDescent="0.3">
      <c r="A169">
        <v>168</v>
      </c>
      <c r="B169" t="s">
        <v>714</v>
      </c>
      <c r="C169">
        <v>13200000</v>
      </c>
      <c r="D169">
        <v>1758603195</v>
      </c>
      <c r="E169" t="s">
        <v>994</v>
      </c>
      <c r="F169">
        <v>393</v>
      </c>
      <c r="G169" t="s">
        <v>978</v>
      </c>
      <c r="H169" t="s">
        <v>1302</v>
      </c>
      <c r="I169">
        <v>551500</v>
      </c>
      <c r="J169">
        <v>2017</v>
      </c>
      <c r="K169">
        <v>4</v>
      </c>
      <c r="L169">
        <v>4</v>
      </c>
      <c r="M169">
        <v>1366417754</v>
      </c>
    </row>
    <row r="170" spans="1:13" x14ac:dyDescent="0.3">
      <c r="A170">
        <v>169</v>
      </c>
      <c r="B170" t="s">
        <v>334</v>
      </c>
      <c r="C170">
        <v>16700000</v>
      </c>
      <c r="D170">
        <v>7102965621</v>
      </c>
      <c r="E170" t="s">
        <v>996</v>
      </c>
      <c r="F170">
        <v>1693</v>
      </c>
      <c r="G170" t="s">
        <v>984</v>
      </c>
      <c r="H170" t="s">
        <v>1303</v>
      </c>
      <c r="I170">
        <v>5000000</v>
      </c>
      <c r="J170">
        <v>2009</v>
      </c>
      <c r="K170">
        <v>4</v>
      </c>
      <c r="L170">
        <v>27</v>
      </c>
      <c r="M170">
        <v>328239523</v>
      </c>
    </row>
    <row r="171" spans="1:13" x14ac:dyDescent="0.3">
      <c r="A171">
        <v>170</v>
      </c>
      <c r="B171" t="s">
        <v>750</v>
      </c>
      <c r="C171">
        <v>19800000</v>
      </c>
      <c r="D171">
        <v>5759442450</v>
      </c>
      <c r="E171" t="s">
        <v>994</v>
      </c>
      <c r="F171">
        <v>760</v>
      </c>
      <c r="G171" t="s">
        <v>984</v>
      </c>
      <c r="H171" t="s">
        <v>1303</v>
      </c>
      <c r="I171">
        <v>294600</v>
      </c>
      <c r="J171">
        <v>2017</v>
      </c>
      <c r="K171">
        <v>12</v>
      </c>
      <c r="L171">
        <v>3</v>
      </c>
      <c r="M171">
        <v>328239523</v>
      </c>
    </row>
    <row r="172" spans="1:13" x14ac:dyDescent="0.3">
      <c r="A172">
        <v>171</v>
      </c>
      <c r="B172" t="s">
        <v>746</v>
      </c>
      <c r="C172">
        <v>14800000</v>
      </c>
      <c r="D172">
        <v>1833519700</v>
      </c>
      <c r="E172" t="s">
        <v>990</v>
      </c>
      <c r="F172">
        <v>1481</v>
      </c>
      <c r="G172" t="s">
        <v>984</v>
      </c>
      <c r="H172" t="s">
        <v>1303</v>
      </c>
      <c r="I172">
        <v>344500</v>
      </c>
      <c r="J172">
        <v>2006</v>
      </c>
      <c r="K172">
        <v>5</v>
      </c>
      <c r="L172">
        <v>20</v>
      </c>
      <c r="M172">
        <v>328239523</v>
      </c>
    </row>
    <row r="173" spans="1:13" x14ac:dyDescent="0.3">
      <c r="A173">
        <v>172</v>
      </c>
      <c r="B173" t="s">
        <v>340</v>
      </c>
      <c r="C173">
        <v>27300000</v>
      </c>
      <c r="D173">
        <v>7705492350</v>
      </c>
      <c r="E173" t="s">
        <v>988</v>
      </c>
      <c r="F173">
        <v>1259</v>
      </c>
      <c r="G173" t="s">
        <v>978</v>
      </c>
      <c r="H173" t="s">
        <v>1302</v>
      </c>
      <c r="I173">
        <v>4900000</v>
      </c>
      <c r="J173">
        <v>2017</v>
      </c>
      <c r="K173">
        <v>9</v>
      </c>
      <c r="L173">
        <v>10</v>
      </c>
      <c r="M173">
        <v>1366417754</v>
      </c>
    </row>
    <row r="174" spans="1:13" x14ac:dyDescent="0.3">
      <c r="A174">
        <v>173</v>
      </c>
      <c r="B174" t="s">
        <v>1251</v>
      </c>
      <c r="C174">
        <v>14200000</v>
      </c>
      <c r="D174">
        <v>7946322061</v>
      </c>
      <c r="E174" t="s">
        <v>977</v>
      </c>
      <c r="F174">
        <v>0</v>
      </c>
      <c r="G174" t="s">
        <v>1294</v>
      </c>
      <c r="H174" t="s">
        <v>1294</v>
      </c>
      <c r="I174">
        <v>0</v>
      </c>
      <c r="J174">
        <v>2005</v>
      </c>
      <c r="K174">
        <v>10</v>
      </c>
      <c r="L174">
        <v>2</v>
      </c>
      <c r="M174" t="s">
        <v>1294</v>
      </c>
    </row>
    <row r="175" spans="1:13" x14ac:dyDescent="0.3">
      <c r="A175">
        <v>174</v>
      </c>
      <c r="B175" t="s">
        <v>430</v>
      </c>
      <c r="C175">
        <v>14000000</v>
      </c>
      <c r="D175">
        <v>5094050461</v>
      </c>
      <c r="E175" t="s">
        <v>988</v>
      </c>
      <c r="F175">
        <v>1307</v>
      </c>
      <c r="G175" t="s">
        <v>1019</v>
      </c>
      <c r="H175" t="s">
        <v>1305</v>
      </c>
      <c r="I175">
        <v>3300000</v>
      </c>
      <c r="J175">
        <v>2015</v>
      </c>
      <c r="K175">
        <v>8</v>
      </c>
      <c r="L175">
        <v>30</v>
      </c>
      <c r="M175">
        <v>212559417</v>
      </c>
    </row>
    <row r="176" spans="1:13" x14ac:dyDescent="0.3">
      <c r="A176">
        <v>175</v>
      </c>
      <c r="B176" t="s">
        <v>273</v>
      </c>
      <c r="C176">
        <v>33400000</v>
      </c>
      <c r="D176">
        <v>20269857567</v>
      </c>
      <c r="E176" t="s">
        <v>990</v>
      </c>
      <c r="F176">
        <v>338</v>
      </c>
      <c r="G176" t="s">
        <v>978</v>
      </c>
      <c r="H176" t="s">
        <v>1302</v>
      </c>
      <c r="I176">
        <v>6500000</v>
      </c>
      <c r="J176">
        <v>2008</v>
      </c>
      <c r="K176">
        <v>8</v>
      </c>
      <c r="L176">
        <v>26</v>
      </c>
      <c r="M176">
        <v>1366417754</v>
      </c>
    </row>
    <row r="177" spans="1:13" x14ac:dyDescent="0.3">
      <c r="A177">
        <v>176</v>
      </c>
      <c r="B177" t="s">
        <v>715</v>
      </c>
      <c r="C177">
        <v>14400000</v>
      </c>
      <c r="D177">
        <v>3086254545</v>
      </c>
      <c r="E177" t="s">
        <v>1044</v>
      </c>
      <c r="F177">
        <v>222</v>
      </c>
      <c r="G177" t="s">
        <v>1134</v>
      </c>
      <c r="H177" t="s">
        <v>1304</v>
      </c>
      <c r="I177">
        <v>548000</v>
      </c>
      <c r="J177">
        <v>2007</v>
      </c>
      <c r="K177">
        <v>2</v>
      </c>
      <c r="L177">
        <v>25</v>
      </c>
      <c r="M177">
        <v>67059887</v>
      </c>
    </row>
    <row r="178" spans="1:13" x14ac:dyDescent="0.3">
      <c r="A178">
        <v>177</v>
      </c>
      <c r="B178" t="s">
        <v>62</v>
      </c>
      <c r="C178">
        <v>26200000</v>
      </c>
      <c r="D178">
        <v>31977463002</v>
      </c>
      <c r="E178" t="s">
        <v>1294</v>
      </c>
      <c r="F178">
        <v>775</v>
      </c>
      <c r="G178" t="s">
        <v>984</v>
      </c>
      <c r="H178" t="s">
        <v>1303</v>
      </c>
      <c r="I178">
        <v>23400000</v>
      </c>
      <c r="J178">
        <v>2019</v>
      </c>
      <c r="K178">
        <v>7</v>
      </c>
      <c r="L178">
        <v>27</v>
      </c>
      <c r="M178">
        <v>328239523</v>
      </c>
    </row>
    <row r="179" spans="1:13" x14ac:dyDescent="0.3">
      <c r="A179">
        <v>178</v>
      </c>
      <c r="B179" t="s">
        <v>181</v>
      </c>
      <c r="C179">
        <v>38000000</v>
      </c>
      <c r="D179">
        <v>22731415608</v>
      </c>
      <c r="E179" t="s">
        <v>977</v>
      </c>
      <c r="F179">
        <v>505</v>
      </c>
      <c r="G179" t="s">
        <v>984</v>
      </c>
      <c r="H179" t="s">
        <v>1303</v>
      </c>
      <c r="I179">
        <v>9900000</v>
      </c>
      <c r="J179">
        <v>2011</v>
      </c>
      <c r="K179">
        <v>5</v>
      </c>
      <c r="L179">
        <v>16</v>
      </c>
      <c r="M179">
        <v>328239523</v>
      </c>
    </row>
    <row r="180" spans="1:13" x14ac:dyDescent="0.3">
      <c r="A180">
        <v>179</v>
      </c>
      <c r="B180" t="s">
        <v>676</v>
      </c>
      <c r="C180">
        <v>15100000</v>
      </c>
      <c r="D180">
        <v>2143140898</v>
      </c>
      <c r="E180" t="s">
        <v>990</v>
      </c>
      <c r="F180">
        <v>3810</v>
      </c>
      <c r="G180" t="s">
        <v>1081</v>
      </c>
      <c r="H180" t="s">
        <v>1302</v>
      </c>
      <c r="I180">
        <v>827100</v>
      </c>
      <c r="J180">
        <v>2017</v>
      </c>
      <c r="K180">
        <v>1</v>
      </c>
      <c r="L180">
        <v>16</v>
      </c>
      <c r="M180">
        <v>270203917</v>
      </c>
    </row>
    <row r="181" spans="1:13" x14ac:dyDescent="0.3">
      <c r="A181">
        <v>180</v>
      </c>
      <c r="B181" t="s">
        <v>0</v>
      </c>
      <c r="C181">
        <v>19600000</v>
      </c>
      <c r="D181">
        <v>7906181776</v>
      </c>
      <c r="E181" t="s">
        <v>982</v>
      </c>
      <c r="F181">
        <v>214</v>
      </c>
      <c r="G181" t="s">
        <v>984</v>
      </c>
      <c r="H181" t="s">
        <v>1303</v>
      </c>
      <c r="I181">
        <v>110600000</v>
      </c>
      <c r="J181">
        <v>2016</v>
      </c>
      <c r="K181">
        <v>6</v>
      </c>
      <c r="L181">
        <v>6</v>
      </c>
      <c r="M181">
        <v>328239523</v>
      </c>
    </row>
    <row r="182" spans="1:13" x14ac:dyDescent="0.3">
      <c r="A182">
        <v>181</v>
      </c>
      <c r="B182" t="s">
        <v>85</v>
      </c>
      <c r="C182">
        <v>16100000</v>
      </c>
      <c r="D182">
        <v>6872702790</v>
      </c>
      <c r="E182" t="s">
        <v>988</v>
      </c>
      <c r="F182">
        <v>671</v>
      </c>
      <c r="G182" t="s">
        <v>984</v>
      </c>
      <c r="H182" t="s">
        <v>1303</v>
      </c>
      <c r="I182">
        <v>19200000</v>
      </c>
      <c r="J182">
        <v>2015</v>
      </c>
      <c r="K182">
        <v>7</v>
      </c>
      <c r="L182">
        <v>15</v>
      </c>
      <c r="M182">
        <v>328239523</v>
      </c>
    </row>
    <row r="183" spans="1:13" x14ac:dyDescent="0.3">
      <c r="A183">
        <v>182</v>
      </c>
      <c r="B183" t="s">
        <v>590</v>
      </c>
      <c r="C183">
        <v>13600000</v>
      </c>
      <c r="D183">
        <v>1948925559</v>
      </c>
      <c r="E183" t="s">
        <v>1004</v>
      </c>
      <c r="F183">
        <v>412</v>
      </c>
      <c r="G183" t="s">
        <v>984</v>
      </c>
      <c r="H183" t="s">
        <v>1303</v>
      </c>
      <c r="I183">
        <v>1500000</v>
      </c>
      <c r="J183">
        <v>2011</v>
      </c>
      <c r="K183">
        <v>2</v>
      </c>
      <c r="L183">
        <v>1</v>
      </c>
      <c r="M183">
        <v>328239523</v>
      </c>
    </row>
    <row r="184" spans="1:13" x14ac:dyDescent="0.3">
      <c r="A184">
        <v>183</v>
      </c>
      <c r="B184" t="s">
        <v>108</v>
      </c>
      <c r="C184">
        <v>24800000</v>
      </c>
      <c r="D184">
        <v>17387583720</v>
      </c>
      <c r="E184" t="s">
        <v>988</v>
      </c>
      <c r="F184">
        <v>1644</v>
      </c>
      <c r="G184" t="s">
        <v>1013</v>
      </c>
      <c r="H184" t="s">
        <v>1304</v>
      </c>
      <c r="I184">
        <v>15900000</v>
      </c>
      <c r="J184">
        <v>2015</v>
      </c>
      <c r="K184">
        <v>10</v>
      </c>
      <c r="L184">
        <v>30</v>
      </c>
      <c r="M184">
        <v>66834405</v>
      </c>
    </row>
    <row r="185" spans="1:13" x14ac:dyDescent="0.3">
      <c r="A185">
        <v>184</v>
      </c>
      <c r="B185" t="s">
        <v>50</v>
      </c>
      <c r="C185">
        <v>21300000</v>
      </c>
      <c r="D185">
        <v>12895427184</v>
      </c>
      <c r="E185" t="s">
        <v>988</v>
      </c>
      <c r="F185">
        <v>20225</v>
      </c>
      <c r="G185" t="s">
        <v>978</v>
      </c>
      <c r="H185" t="s">
        <v>1302</v>
      </c>
      <c r="I185">
        <v>26900000</v>
      </c>
      <c r="J185">
        <v>2017</v>
      </c>
      <c r="K185">
        <v>8</v>
      </c>
      <c r="L185">
        <v>2</v>
      </c>
      <c r="M185">
        <v>1366417754</v>
      </c>
    </row>
    <row r="186" spans="1:13" x14ac:dyDescent="0.3">
      <c r="A186">
        <v>185</v>
      </c>
      <c r="B186" t="s">
        <v>707</v>
      </c>
      <c r="C186">
        <v>14200000</v>
      </c>
      <c r="D186">
        <v>3317805543</v>
      </c>
      <c r="E186" t="s">
        <v>988</v>
      </c>
      <c r="F186">
        <v>1724</v>
      </c>
      <c r="G186" t="s">
        <v>984</v>
      </c>
      <c r="H186" t="s">
        <v>1303</v>
      </c>
      <c r="I186">
        <v>619300</v>
      </c>
      <c r="J186">
        <v>2011</v>
      </c>
      <c r="K186">
        <v>8</v>
      </c>
      <c r="L186">
        <v>18</v>
      </c>
      <c r="M186">
        <v>328239523</v>
      </c>
    </row>
    <row r="187" spans="1:13" x14ac:dyDescent="0.3">
      <c r="A187">
        <v>186</v>
      </c>
      <c r="B187" t="s">
        <v>87</v>
      </c>
      <c r="C187">
        <v>24100000</v>
      </c>
      <c r="D187">
        <v>12916159065</v>
      </c>
      <c r="E187" t="s">
        <v>1044</v>
      </c>
      <c r="F187">
        <v>287</v>
      </c>
      <c r="G187" t="s">
        <v>1294</v>
      </c>
      <c r="H187" t="s">
        <v>1294</v>
      </c>
      <c r="I187">
        <v>19100000</v>
      </c>
      <c r="J187">
        <v>2009</v>
      </c>
      <c r="K187">
        <v>3</v>
      </c>
      <c r="L187">
        <v>11</v>
      </c>
      <c r="M187" t="s">
        <v>1294</v>
      </c>
    </row>
    <row r="188" spans="1:13" x14ac:dyDescent="0.3">
      <c r="A188">
        <v>187</v>
      </c>
      <c r="B188" t="s">
        <v>395</v>
      </c>
      <c r="C188">
        <v>12400000</v>
      </c>
      <c r="D188">
        <v>6933660906</v>
      </c>
      <c r="E188" t="s">
        <v>996</v>
      </c>
      <c r="F188">
        <v>12419</v>
      </c>
      <c r="G188" t="s">
        <v>1065</v>
      </c>
      <c r="H188" t="s">
        <v>1304</v>
      </c>
      <c r="I188">
        <v>4000000</v>
      </c>
      <c r="J188">
        <v>2012</v>
      </c>
      <c r="K188">
        <v>10</v>
      </c>
      <c r="L188">
        <v>29</v>
      </c>
      <c r="M188">
        <v>47076781</v>
      </c>
    </row>
    <row r="189" spans="1:13" x14ac:dyDescent="0.3">
      <c r="A189">
        <v>188</v>
      </c>
      <c r="B189" t="s">
        <v>133</v>
      </c>
      <c r="C189">
        <v>16900000</v>
      </c>
      <c r="D189">
        <v>9544277833</v>
      </c>
      <c r="E189" t="s">
        <v>994</v>
      </c>
      <c r="F189">
        <v>2337</v>
      </c>
      <c r="G189" t="s">
        <v>984</v>
      </c>
      <c r="H189" t="s">
        <v>1303</v>
      </c>
      <c r="I189">
        <v>13200000</v>
      </c>
      <c r="J189">
        <v>2016</v>
      </c>
      <c r="K189">
        <v>12</v>
      </c>
      <c r="L189">
        <v>31</v>
      </c>
      <c r="M189">
        <v>328239523</v>
      </c>
    </row>
    <row r="190" spans="1:13" x14ac:dyDescent="0.3">
      <c r="A190">
        <v>189</v>
      </c>
      <c r="B190" t="s">
        <v>926</v>
      </c>
      <c r="C190">
        <v>18500000</v>
      </c>
      <c r="D190">
        <v>2908120896</v>
      </c>
      <c r="E190" t="s">
        <v>977</v>
      </c>
      <c r="F190">
        <v>1329</v>
      </c>
      <c r="G190" t="s">
        <v>1019</v>
      </c>
      <c r="H190" t="s">
        <v>1305</v>
      </c>
      <c r="I190">
        <v>0</v>
      </c>
      <c r="J190">
        <v>2007</v>
      </c>
      <c r="K190">
        <v>9</v>
      </c>
      <c r="L190">
        <v>22</v>
      </c>
      <c r="M190">
        <v>212559417</v>
      </c>
    </row>
    <row r="191" spans="1:13" x14ac:dyDescent="0.3">
      <c r="A191">
        <v>190</v>
      </c>
      <c r="B191" t="s">
        <v>406</v>
      </c>
      <c r="C191">
        <v>27400000</v>
      </c>
      <c r="D191">
        <v>19417887510</v>
      </c>
      <c r="E191" t="s">
        <v>996</v>
      </c>
      <c r="F191">
        <v>3664</v>
      </c>
      <c r="G191" t="s">
        <v>1013</v>
      </c>
      <c r="H191" t="s">
        <v>1304</v>
      </c>
      <c r="I191">
        <v>3800000</v>
      </c>
      <c r="J191">
        <v>2012</v>
      </c>
      <c r="K191">
        <v>7</v>
      </c>
      <c r="L191">
        <v>14</v>
      </c>
      <c r="M191">
        <v>66834405</v>
      </c>
    </row>
    <row r="192" spans="1:13" x14ac:dyDescent="0.3">
      <c r="A192">
        <v>191</v>
      </c>
      <c r="B192" t="s">
        <v>763</v>
      </c>
      <c r="C192">
        <v>13900000</v>
      </c>
      <c r="D192">
        <v>2244318380</v>
      </c>
      <c r="E192" t="s">
        <v>982</v>
      </c>
      <c r="F192">
        <v>183</v>
      </c>
      <c r="G192" t="s">
        <v>984</v>
      </c>
      <c r="H192" t="s">
        <v>1303</v>
      </c>
      <c r="I192">
        <v>220700</v>
      </c>
      <c r="J192">
        <v>2009</v>
      </c>
      <c r="K192">
        <v>2</v>
      </c>
      <c r="L192">
        <v>15</v>
      </c>
      <c r="M192">
        <v>328239523</v>
      </c>
    </row>
    <row r="193" spans="1:13" x14ac:dyDescent="0.3">
      <c r="A193">
        <v>192</v>
      </c>
      <c r="B193" t="s">
        <v>412</v>
      </c>
      <c r="C193">
        <v>15300000</v>
      </c>
      <c r="D193">
        <v>10714145606</v>
      </c>
      <c r="E193" t="s">
        <v>990</v>
      </c>
      <c r="F193">
        <v>851</v>
      </c>
      <c r="G193" t="s">
        <v>984</v>
      </c>
      <c r="H193" t="s">
        <v>1303</v>
      </c>
      <c r="I193">
        <v>3700000</v>
      </c>
      <c r="J193">
        <v>2014</v>
      </c>
      <c r="K193">
        <v>12</v>
      </c>
      <c r="L193">
        <v>4</v>
      </c>
      <c r="M193">
        <v>328239523</v>
      </c>
    </row>
    <row r="194" spans="1:13" x14ac:dyDescent="0.3">
      <c r="A194">
        <v>193</v>
      </c>
      <c r="B194" t="s">
        <v>740</v>
      </c>
      <c r="C194">
        <v>17900000</v>
      </c>
      <c r="D194">
        <v>7176572299</v>
      </c>
      <c r="E194" t="s">
        <v>994</v>
      </c>
      <c r="F194">
        <v>536</v>
      </c>
      <c r="G194" t="s">
        <v>984</v>
      </c>
      <c r="H194" t="s">
        <v>1303</v>
      </c>
      <c r="I194">
        <v>415200</v>
      </c>
      <c r="J194">
        <v>2014</v>
      </c>
      <c r="K194">
        <v>12</v>
      </c>
      <c r="L194">
        <v>19</v>
      </c>
      <c r="M194">
        <v>328239523</v>
      </c>
    </row>
    <row r="195" spans="1:13" x14ac:dyDescent="0.3">
      <c r="A195">
        <v>194</v>
      </c>
      <c r="B195" t="s">
        <v>229</v>
      </c>
      <c r="C195">
        <v>25700000</v>
      </c>
      <c r="D195">
        <v>17793809548</v>
      </c>
      <c r="E195" t="s">
        <v>977</v>
      </c>
      <c r="F195">
        <v>749</v>
      </c>
      <c r="G195" t="s">
        <v>984</v>
      </c>
      <c r="H195" t="s">
        <v>1303</v>
      </c>
      <c r="I195">
        <v>7900000</v>
      </c>
      <c r="J195">
        <v>2009</v>
      </c>
      <c r="K195">
        <v>12</v>
      </c>
      <c r="L195">
        <v>11</v>
      </c>
      <c r="M195">
        <v>328239523</v>
      </c>
    </row>
    <row r="196" spans="1:13" x14ac:dyDescent="0.3">
      <c r="A196">
        <v>195</v>
      </c>
      <c r="B196" t="s">
        <v>606</v>
      </c>
      <c r="C196">
        <v>13000000</v>
      </c>
      <c r="D196">
        <v>2683297849</v>
      </c>
      <c r="E196" t="s">
        <v>988</v>
      </c>
      <c r="F196">
        <v>838</v>
      </c>
      <c r="G196" t="s">
        <v>1119</v>
      </c>
      <c r="H196" t="s">
        <v>1304</v>
      </c>
      <c r="I196">
        <v>1400000</v>
      </c>
      <c r="J196">
        <v>2011</v>
      </c>
      <c r="K196">
        <v>5</v>
      </c>
      <c r="L196">
        <v>18</v>
      </c>
      <c r="M196">
        <v>60297396</v>
      </c>
    </row>
    <row r="197" spans="1:13" x14ac:dyDescent="0.3">
      <c r="A197">
        <v>196</v>
      </c>
      <c r="B197" t="s">
        <v>1194</v>
      </c>
      <c r="C197">
        <v>16800000</v>
      </c>
      <c r="D197">
        <v>2315962318</v>
      </c>
      <c r="E197" t="s">
        <v>988</v>
      </c>
      <c r="F197">
        <v>1</v>
      </c>
      <c r="G197" t="s">
        <v>1294</v>
      </c>
      <c r="H197" t="s">
        <v>1294</v>
      </c>
      <c r="I197">
        <v>0</v>
      </c>
      <c r="J197">
        <v>2016</v>
      </c>
      <c r="K197">
        <v>4</v>
      </c>
      <c r="L197">
        <v>30</v>
      </c>
      <c r="M197" t="s">
        <v>1294</v>
      </c>
    </row>
    <row r="198" spans="1:13" x14ac:dyDescent="0.3">
      <c r="A198">
        <v>197</v>
      </c>
      <c r="B198" t="s">
        <v>639</v>
      </c>
      <c r="C198">
        <v>15800000</v>
      </c>
      <c r="D198">
        <v>1349288771</v>
      </c>
      <c r="E198" t="s">
        <v>990</v>
      </c>
      <c r="F198">
        <v>633</v>
      </c>
      <c r="G198" t="s">
        <v>978</v>
      </c>
      <c r="H198" t="s">
        <v>1302</v>
      </c>
      <c r="I198">
        <v>1200000</v>
      </c>
      <c r="J198">
        <v>2016</v>
      </c>
      <c r="K198">
        <v>12</v>
      </c>
      <c r="L198">
        <v>13</v>
      </c>
      <c r="M198">
        <v>1366417754</v>
      </c>
    </row>
    <row r="199" spans="1:13" x14ac:dyDescent="0.3">
      <c r="A199">
        <v>198</v>
      </c>
      <c r="B199" t="s">
        <v>1146</v>
      </c>
      <c r="C199">
        <v>20600000</v>
      </c>
      <c r="D199">
        <v>4956090094</v>
      </c>
      <c r="E199" t="s">
        <v>988</v>
      </c>
      <c r="F199">
        <v>15</v>
      </c>
      <c r="G199" t="s">
        <v>1081</v>
      </c>
      <c r="H199" t="s">
        <v>1302</v>
      </c>
      <c r="I199">
        <v>4</v>
      </c>
      <c r="J199">
        <v>2007</v>
      </c>
      <c r="K199">
        <v>7</v>
      </c>
      <c r="L199">
        <v>23</v>
      </c>
      <c r="M199">
        <v>270203917</v>
      </c>
    </row>
    <row r="200" spans="1:13" x14ac:dyDescent="0.3">
      <c r="A200">
        <v>199</v>
      </c>
      <c r="B200" t="s">
        <v>15</v>
      </c>
      <c r="C200">
        <v>20200000</v>
      </c>
      <c r="D200">
        <v>20919403720</v>
      </c>
      <c r="E200" t="s">
        <v>1044</v>
      </c>
      <c r="F200">
        <v>1935</v>
      </c>
      <c r="G200" t="s">
        <v>1155</v>
      </c>
      <c r="H200" t="s">
        <v>1304</v>
      </c>
      <c r="I200">
        <v>59800000</v>
      </c>
      <c r="J200">
        <v>2020</v>
      </c>
      <c r="K200">
        <v>3</v>
      </c>
      <c r="L200">
        <v>20</v>
      </c>
      <c r="M200">
        <v>1912789</v>
      </c>
    </row>
    <row r="201" spans="1:13" x14ac:dyDescent="0.3">
      <c r="A201">
        <v>200</v>
      </c>
      <c r="B201" t="s">
        <v>877</v>
      </c>
      <c r="C201">
        <v>16800000</v>
      </c>
      <c r="D201">
        <v>7206462713</v>
      </c>
      <c r="E201" t="s">
        <v>994</v>
      </c>
      <c r="F201">
        <v>41</v>
      </c>
      <c r="G201" t="s">
        <v>1294</v>
      </c>
      <c r="H201" t="s">
        <v>1294</v>
      </c>
      <c r="I201">
        <v>0.05</v>
      </c>
      <c r="J201">
        <v>2021</v>
      </c>
      <c r="K201">
        <v>9</v>
      </c>
      <c r="L201">
        <v>24</v>
      </c>
      <c r="M201" t="s">
        <v>1294</v>
      </c>
    </row>
    <row r="202" spans="1:13" x14ac:dyDescent="0.3">
      <c r="A202">
        <v>201</v>
      </c>
      <c r="B202" t="s">
        <v>343</v>
      </c>
      <c r="C202">
        <v>17600000</v>
      </c>
      <c r="D202">
        <v>6306204566</v>
      </c>
      <c r="E202" t="s">
        <v>996</v>
      </c>
      <c r="F202">
        <v>4702</v>
      </c>
      <c r="G202" t="s">
        <v>1031</v>
      </c>
      <c r="H202" t="s">
        <v>1305</v>
      </c>
      <c r="I202">
        <v>4800000</v>
      </c>
      <c r="J202">
        <v>2014</v>
      </c>
      <c r="K202">
        <v>2</v>
      </c>
      <c r="L202">
        <v>1</v>
      </c>
      <c r="M202">
        <v>18952038</v>
      </c>
    </row>
    <row r="203" spans="1:13" x14ac:dyDescent="0.3">
      <c r="A203">
        <v>202</v>
      </c>
      <c r="B203" t="s">
        <v>603</v>
      </c>
      <c r="C203">
        <v>17900000</v>
      </c>
      <c r="D203">
        <v>6888074944</v>
      </c>
      <c r="E203" t="s">
        <v>977</v>
      </c>
      <c r="F203">
        <v>314</v>
      </c>
      <c r="G203" t="s">
        <v>984</v>
      </c>
      <c r="H203" t="s">
        <v>1303</v>
      </c>
      <c r="I203">
        <v>1400000</v>
      </c>
      <c r="J203">
        <v>2008</v>
      </c>
      <c r="K203">
        <v>1</v>
      </c>
      <c r="L203">
        <v>30</v>
      </c>
      <c r="M203">
        <v>328239523</v>
      </c>
    </row>
    <row r="204" spans="1:13" x14ac:dyDescent="0.3">
      <c r="A204">
        <v>203</v>
      </c>
      <c r="B204" t="s">
        <v>166</v>
      </c>
      <c r="C204">
        <v>13900000</v>
      </c>
      <c r="D204">
        <v>7450345720</v>
      </c>
      <c r="E204" t="s">
        <v>994</v>
      </c>
      <c r="F204">
        <v>324</v>
      </c>
      <c r="G204" t="s">
        <v>1294</v>
      </c>
      <c r="H204" t="s">
        <v>1294</v>
      </c>
      <c r="I204">
        <v>11100000</v>
      </c>
      <c r="J204">
        <v>2020</v>
      </c>
      <c r="K204">
        <v>8</v>
      </c>
      <c r="L204">
        <v>12</v>
      </c>
      <c r="M204" t="s">
        <v>1294</v>
      </c>
    </row>
    <row r="205" spans="1:13" x14ac:dyDescent="0.3">
      <c r="A205">
        <v>204</v>
      </c>
      <c r="B205" t="s">
        <v>1264</v>
      </c>
      <c r="C205">
        <v>13700000</v>
      </c>
      <c r="D205">
        <v>2135195239</v>
      </c>
      <c r="E205" t="s">
        <v>996</v>
      </c>
      <c r="F205">
        <v>1</v>
      </c>
      <c r="G205" t="s">
        <v>1294</v>
      </c>
      <c r="H205" t="s">
        <v>1294</v>
      </c>
      <c r="I205">
        <v>0.24</v>
      </c>
      <c r="J205">
        <v>2020</v>
      </c>
      <c r="K205">
        <v>4</v>
      </c>
      <c r="L205">
        <v>14</v>
      </c>
      <c r="M205" t="s">
        <v>1294</v>
      </c>
    </row>
    <row r="206" spans="1:13" x14ac:dyDescent="0.3">
      <c r="A206">
        <v>205</v>
      </c>
      <c r="B206" t="s">
        <v>1083</v>
      </c>
      <c r="C206">
        <v>33700000</v>
      </c>
      <c r="D206">
        <v>10189027455</v>
      </c>
      <c r="E206" t="s">
        <v>977</v>
      </c>
      <c r="F206">
        <v>2</v>
      </c>
      <c r="G206" t="s">
        <v>1294</v>
      </c>
      <c r="H206" t="s">
        <v>1294</v>
      </c>
      <c r="I206">
        <v>0</v>
      </c>
      <c r="J206">
        <v>2018</v>
      </c>
      <c r="K206">
        <v>4</v>
      </c>
      <c r="L206">
        <v>10</v>
      </c>
      <c r="M206" t="s">
        <v>1294</v>
      </c>
    </row>
    <row r="207" spans="1:13" x14ac:dyDescent="0.3">
      <c r="A207">
        <v>206</v>
      </c>
      <c r="B207" t="s">
        <v>136</v>
      </c>
      <c r="C207">
        <v>12400000</v>
      </c>
      <c r="D207">
        <v>1971226335</v>
      </c>
      <c r="E207" t="s">
        <v>1294</v>
      </c>
      <c r="F207">
        <v>218</v>
      </c>
      <c r="G207" t="s">
        <v>978</v>
      </c>
      <c r="H207" t="s">
        <v>1302</v>
      </c>
      <c r="I207">
        <v>13100000</v>
      </c>
      <c r="J207">
        <v>2012</v>
      </c>
      <c r="K207">
        <v>9</v>
      </c>
      <c r="L207">
        <v>29</v>
      </c>
      <c r="M207">
        <v>1366417754</v>
      </c>
    </row>
    <row r="208" spans="1:13" x14ac:dyDescent="0.3">
      <c r="A208">
        <v>207</v>
      </c>
      <c r="B208" t="s">
        <v>432</v>
      </c>
      <c r="C208">
        <v>24100000</v>
      </c>
      <c r="D208">
        <v>11041261296</v>
      </c>
      <c r="E208" t="s">
        <v>1294</v>
      </c>
      <c r="F208">
        <v>590</v>
      </c>
      <c r="G208" t="s">
        <v>984</v>
      </c>
      <c r="H208" t="s">
        <v>1303</v>
      </c>
      <c r="I208">
        <v>3200000</v>
      </c>
      <c r="J208">
        <v>2019</v>
      </c>
      <c r="K208">
        <v>2</v>
      </c>
      <c r="L208">
        <v>1</v>
      </c>
      <c r="M208">
        <v>328239523</v>
      </c>
    </row>
    <row r="209" spans="1:13" x14ac:dyDescent="0.3">
      <c r="A209">
        <v>208</v>
      </c>
      <c r="B209" t="s">
        <v>215</v>
      </c>
      <c r="C209">
        <v>23900000</v>
      </c>
      <c r="D209">
        <v>7213499085</v>
      </c>
      <c r="E209" t="s">
        <v>994</v>
      </c>
      <c r="F209">
        <v>511</v>
      </c>
      <c r="G209" t="s">
        <v>984</v>
      </c>
      <c r="H209" t="s">
        <v>1303</v>
      </c>
      <c r="I209">
        <v>8500000</v>
      </c>
      <c r="J209">
        <v>2011</v>
      </c>
      <c r="K209">
        <v>12</v>
      </c>
      <c r="L209">
        <v>22</v>
      </c>
      <c r="M209">
        <v>328239523</v>
      </c>
    </row>
    <row r="210" spans="1:13" x14ac:dyDescent="0.3">
      <c r="A210">
        <v>209</v>
      </c>
      <c r="B210" t="s">
        <v>341</v>
      </c>
      <c r="C210">
        <v>30700000</v>
      </c>
      <c r="D210">
        <v>12355992466</v>
      </c>
      <c r="E210" t="s">
        <v>1294</v>
      </c>
      <c r="F210">
        <v>578</v>
      </c>
      <c r="G210" t="s">
        <v>984</v>
      </c>
      <c r="H210" t="s">
        <v>1303</v>
      </c>
      <c r="I210">
        <v>4900000</v>
      </c>
      <c r="J210">
        <v>2016</v>
      </c>
      <c r="K210">
        <v>11</v>
      </c>
      <c r="L210">
        <v>27</v>
      </c>
      <c r="M210">
        <v>328239523</v>
      </c>
    </row>
    <row r="211" spans="1:13" x14ac:dyDescent="0.3">
      <c r="A211">
        <v>210</v>
      </c>
      <c r="B211" t="s">
        <v>518</v>
      </c>
      <c r="C211">
        <v>12700000</v>
      </c>
      <c r="D211">
        <v>5567832210</v>
      </c>
      <c r="E211" t="s">
        <v>1294</v>
      </c>
      <c r="F211">
        <v>534</v>
      </c>
      <c r="G211" t="s">
        <v>984</v>
      </c>
      <c r="H211" t="s">
        <v>1303</v>
      </c>
      <c r="I211">
        <v>2200000</v>
      </c>
      <c r="J211">
        <v>2019</v>
      </c>
      <c r="K211">
        <v>11</v>
      </c>
      <c r="L211">
        <v>7</v>
      </c>
      <c r="M211">
        <v>328239523</v>
      </c>
    </row>
    <row r="212" spans="1:13" x14ac:dyDescent="0.3">
      <c r="A212">
        <v>211</v>
      </c>
      <c r="B212" t="s">
        <v>141</v>
      </c>
      <c r="C212">
        <v>16100000</v>
      </c>
      <c r="D212">
        <v>15812009296</v>
      </c>
      <c r="E212" t="s">
        <v>988</v>
      </c>
      <c r="F212">
        <v>4045</v>
      </c>
      <c r="G212" t="s">
        <v>984</v>
      </c>
      <c r="H212" t="s">
        <v>1303</v>
      </c>
      <c r="I212">
        <v>12800000</v>
      </c>
      <c r="J212">
        <v>2008</v>
      </c>
      <c r="K212">
        <v>4</v>
      </c>
      <c r="L212">
        <v>22</v>
      </c>
      <c r="M212">
        <v>328239523</v>
      </c>
    </row>
    <row r="213" spans="1:13" x14ac:dyDescent="0.3">
      <c r="A213">
        <v>212</v>
      </c>
      <c r="B213" t="s">
        <v>573</v>
      </c>
      <c r="C213">
        <v>12400000</v>
      </c>
      <c r="D213">
        <v>12607488647</v>
      </c>
      <c r="E213" t="s">
        <v>977</v>
      </c>
      <c r="F213">
        <v>4422</v>
      </c>
      <c r="G213" t="s">
        <v>1013</v>
      </c>
      <c r="H213" t="s">
        <v>1304</v>
      </c>
      <c r="I213">
        <v>1700000</v>
      </c>
      <c r="J213">
        <v>2007</v>
      </c>
      <c r="K213">
        <v>12</v>
      </c>
      <c r="L213">
        <v>6</v>
      </c>
      <c r="M213">
        <v>66834405</v>
      </c>
    </row>
    <row r="214" spans="1:13" x14ac:dyDescent="0.3">
      <c r="A214">
        <v>213</v>
      </c>
      <c r="B214" t="s">
        <v>1136</v>
      </c>
      <c r="C214">
        <v>21900000</v>
      </c>
      <c r="D214">
        <v>20657571751</v>
      </c>
      <c r="E214" t="s">
        <v>988</v>
      </c>
      <c r="F214">
        <v>116</v>
      </c>
      <c r="G214" t="s">
        <v>1058</v>
      </c>
      <c r="H214" t="s">
        <v>1305</v>
      </c>
      <c r="I214">
        <v>227</v>
      </c>
      <c r="J214">
        <v>2008</v>
      </c>
      <c r="K214">
        <v>4</v>
      </c>
      <c r="L214">
        <v>7</v>
      </c>
      <c r="M214">
        <v>126014024</v>
      </c>
    </row>
    <row r="215" spans="1:13" x14ac:dyDescent="0.3">
      <c r="A215">
        <v>214</v>
      </c>
      <c r="B215" t="s">
        <v>111</v>
      </c>
      <c r="C215">
        <v>32700000</v>
      </c>
      <c r="D215">
        <v>28516250629</v>
      </c>
      <c r="E215" t="s">
        <v>977</v>
      </c>
      <c r="F215">
        <v>2068</v>
      </c>
      <c r="G215" t="s">
        <v>984</v>
      </c>
      <c r="H215" t="s">
        <v>1303</v>
      </c>
      <c r="I215">
        <v>15800000</v>
      </c>
      <c r="J215">
        <v>2010</v>
      </c>
      <c r="K215">
        <v>5</v>
      </c>
      <c r="L215">
        <v>20</v>
      </c>
      <c r="M215">
        <v>328239523</v>
      </c>
    </row>
    <row r="216" spans="1:13" x14ac:dyDescent="0.3">
      <c r="A216">
        <v>215</v>
      </c>
      <c r="B216" t="s">
        <v>448</v>
      </c>
      <c r="C216">
        <v>24100000</v>
      </c>
      <c r="D216">
        <v>8425505919</v>
      </c>
      <c r="E216" t="s">
        <v>977</v>
      </c>
      <c r="F216">
        <v>252</v>
      </c>
      <c r="G216" t="s">
        <v>984</v>
      </c>
      <c r="H216" t="s">
        <v>1303</v>
      </c>
      <c r="I216">
        <v>3000000</v>
      </c>
      <c r="J216">
        <v>2008</v>
      </c>
      <c r="K216">
        <v>9</v>
      </c>
      <c r="L216">
        <v>24</v>
      </c>
      <c r="M216">
        <v>328239523</v>
      </c>
    </row>
    <row r="217" spans="1:13" x14ac:dyDescent="0.3">
      <c r="A217">
        <v>216</v>
      </c>
      <c r="B217" t="s">
        <v>1275</v>
      </c>
      <c r="C217">
        <v>13100000</v>
      </c>
      <c r="D217">
        <v>6637820731</v>
      </c>
      <c r="E217" t="s">
        <v>977</v>
      </c>
      <c r="F217">
        <v>12</v>
      </c>
      <c r="G217" t="s">
        <v>1276</v>
      </c>
      <c r="H217" t="s">
        <v>1294</v>
      </c>
      <c r="I217">
        <v>18</v>
      </c>
      <c r="J217">
        <v>2006</v>
      </c>
      <c r="K217">
        <v>5</v>
      </c>
      <c r="L217">
        <v>27</v>
      </c>
      <c r="M217">
        <v>202506</v>
      </c>
    </row>
    <row r="218" spans="1:13" x14ac:dyDescent="0.3">
      <c r="A218">
        <v>217</v>
      </c>
      <c r="B218" t="s">
        <v>591</v>
      </c>
      <c r="C218">
        <v>19400000</v>
      </c>
      <c r="D218">
        <v>2255542592</v>
      </c>
      <c r="E218" t="s">
        <v>1026</v>
      </c>
      <c r="F218">
        <v>4750</v>
      </c>
      <c r="G218" t="s">
        <v>978</v>
      </c>
      <c r="H218" t="s">
        <v>1302</v>
      </c>
      <c r="I218">
        <v>1500000</v>
      </c>
      <c r="J218">
        <v>2017</v>
      </c>
      <c r="K218">
        <v>7</v>
      </c>
      <c r="L218">
        <v>5</v>
      </c>
      <c r="M218">
        <v>1366417754</v>
      </c>
    </row>
    <row r="219" spans="1:13" x14ac:dyDescent="0.3">
      <c r="A219">
        <v>218</v>
      </c>
      <c r="B219" t="s">
        <v>259</v>
      </c>
      <c r="C219">
        <v>15700000</v>
      </c>
      <c r="D219">
        <v>5914071870</v>
      </c>
      <c r="E219" t="s">
        <v>977</v>
      </c>
      <c r="F219">
        <v>79</v>
      </c>
      <c r="G219" t="s">
        <v>978</v>
      </c>
      <c r="H219" t="s">
        <v>1302</v>
      </c>
      <c r="I219">
        <v>6800000</v>
      </c>
      <c r="J219">
        <v>2017</v>
      </c>
      <c r="K219">
        <v>7</v>
      </c>
      <c r="L219">
        <v>8</v>
      </c>
      <c r="M219">
        <v>1366417754</v>
      </c>
    </row>
    <row r="220" spans="1:13" x14ac:dyDescent="0.3">
      <c r="A220">
        <v>219</v>
      </c>
      <c r="B220" t="s">
        <v>680</v>
      </c>
      <c r="C220">
        <v>14600000</v>
      </c>
      <c r="D220">
        <v>2613197447</v>
      </c>
      <c r="E220" t="s">
        <v>988</v>
      </c>
      <c r="F220">
        <v>490</v>
      </c>
      <c r="G220" t="s">
        <v>1233</v>
      </c>
      <c r="H220" t="s">
        <v>1305</v>
      </c>
      <c r="I220">
        <v>787600</v>
      </c>
      <c r="J220">
        <v>2014</v>
      </c>
      <c r="K220">
        <v>12</v>
      </c>
      <c r="L220">
        <v>29</v>
      </c>
      <c r="M220">
        <v>17373662</v>
      </c>
    </row>
    <row r="221" spans="1:13" x14ac:dyDescent="0.3">
      <c r="A221">
        <v>220</v>
      </c>
      <c r="B221" t="s">
        <v>930</v>
      </c>
      <c r="C221">
        <v>16800000</v>
      </c>
      <c r="D221">
        <v>6518418501</v>
      </c>
      <c r="E221" t="s">
        <v>988</v>
      </c>
      <c r="F221">
        <v>0</v>
      </c>
      <c r="G221" t="s">
        <v>1294</v>
      </c>
      <c r="H221" t="s">
        <v>1294</v>
      </c>
      <c r="I221">
        <v>0</v>
      </c>
      <c r="J221">
        <v>2018</v>
      </c>
      <c r="K221">
        <v>11</v>
      </c>
      <c r="L221">
        <v>11</v>
      </c>
      <c r="M221" t="s">
        <v>1294</v>
      </c>
    </row>
    <row r="222" spans="1:13" x14ac:dyDescent="0.3">
      <c r="A222">
        <v>221</v>
      </c>
      <c r="B222" t="s">
        <v>242</v>
      </c>
      <c r="C222">
        <v>31700000</v>
      </c>
      <c r="D222">
        <v>21031745531</v>
      </c>
      <c r="E222" t="s">
        <v>988</v>
      </c>
      <c r="F222">
        <v>166</v>
      </c>
      <c r="G222" t="s">
        <v>984</v>
      </c>
      <c r="H222" t="s">
        <v>1303</v>
      </c>
      <c r="I222">
        <v>7400000</v>
      </c>
      <c r="J222">
        <v>2018</v>
      </c>
      <c r="K222">
        <v>4</v>
      </c>
      <c r="L222">
        <v>5</v>
      </c>
      <c r="M222">
        <v>328239523</v>
      </c>
    </row>
    <row r="223" spans="1:13" x14ac:dyDescent="0.3">
      <c r="A223">
        <v>222</v>
      </c>
      <c r="B223" t="s">
        <v>732</v>
      </c>
      <c r="C223">
        <v>15900000</v>
      </c>
      <c r="D223">
        <v>9962188084</v>
      </c>
      <c r="E223" t="s">
        <v>977</v>
      </c>
      <c r="F223">
        <v>2035</v>
      </c>
      <c r="G223" t="s">
        <v>984</v>
      </c>
      <c r="H223" t="s">
        <v>1303</v>
      </c>
      <c r="I223">
        <v>475900</v>
      </c>
      <c r="J223">
        <v>2016</v>
      </c>
      <c r="K223">
        <v>6</v>
      </c>
      <c r="L223">
        <v>9</v>
      </c>
      <c r="M223">
        <v>328239523</v>
      </c>
    </row>
    <row r="224" spans="1:13" x14ac:dyDescent="0.3">
      <c r="A224">
        <v>223</v>
      </c>
      <c r="B224" t="s">
        <v>1252</v>
      </c>
      <c r="C224">
        <v>14200000</v>
      </c>
      <c r="D224">
        <v>9964116817</v>
      </c>
      <c r="E224" t="s">
        <v>1128</v>
      </c>
      <c r="F224">
        <v>8</v>
      </c>
      <c r="G224" t="s">
        <v>1294</v>
      </c>
      <c r="H224" t="s">
        <v>1294</v>
      </c>
      <c r="I224">
        <v>346</v>
      </c>
      <c r="J224">
        <v>2006</v>
      </c>
      <c r="K224">
        <v>6</v>
      </c>
      <c r="L224">
        <v>14</v>
      </c>
      <c r="M224" t="s">
        <v>1294</v>
      </c>
    </row>
    <row r="225" spans="1:13" x14ac:dyDescent="0.3">
      <c r="A225">
        <v>224</v>
      </c>
      <c r="B225" t="s">
        <v>605</v>
      </c>
      <c r="C225">
        <v>20900000</v>
      </c>
      <c r="D225">
        <v>1693149479</v>
      </c>
      <c r="E225" t="s">
        <v>990</v>
      </c>
      <c r="F225">
        <v>896</v>
      </c>
      <c r="G225" t="s">
        <v>978</v>
      </c>
      <c r="H225" t="s">
        <v>1302</v>
      </c>
      <c r="I225">
        <v>1400000</v>
      </c>
      <c r="J225">
        <v>2013</v>
      </c>
      <c r="K225">
        <v>12</v>
      </c>
      <c r="L225">
        <v>6</v>
      </c>
      <c r="M225">
        <v>1366417754</v>
      </c>
    </row>
    <row r="226" spans="1:13" x14ac:dyDescent="0.3">
      <c r="A226">
        <v>225</v>
      </c>
      <c r="B226" t="s">
        <v>1110</v>
      </c>
      <c r="C226">
        <v>28100000</v>
      </c>
      <c r="D226">
        <v>15318895118</v>
      </c>
      <c r="E226" t="s">
        <v>977</v>
      </c>
      <c r="F226">
        <v>3</v>
      </c>
      <c r="G226" t="s">
        <v>1294</v>
      </c>
      <c r="H226" t="s">
        <v>1294</v>
      </c>
      <c r="I226">
        <v>1</v>
      </c>
      <c r="J226">
        <v>2005</v>
      </c>
      <c r="K226">
        <v>9</v>
      </c>
      <c r="L226">
        <v>23</v>
      </c>
      <c r="M226" t="s">
        <v>1294</v>
      </c>
    </row>
    <row r="227" spans="1:13" x14ac:dyDescent="0.3">
      <c r="A227">
        <v>226</v>
      </c>
      <c r="B227" t="s">
        <v>787</v>
      </c>
      <c r="C227">
        <v>14400000</v>
      </c>
      <c r="D227">
        <v>1629801448</v>
      </c>
      <c r="E227" t="s">
        <v>988</v>
      </c>
      <c r="F227">
        <v>399</v>
      </c>
      <c r="G227" t="s">
        <v>1241</v>
      </c>
      <c r="H227" t="s">
        <v>1305</v>
      </c>
      <c r="I227">
        <v>48100</v>
      </c>
      <c r="J227">
        <v>2014</v>
      </c>
      <c r="K227">
        <v>5</v>
      </c>
      <c r="L227">
        <v>20</v>
      </c>
      <c r="M227">
        <v>32510453</v>
      </c>
    </row>
    <row r="228" spans="1:13" x14ac:dyDescent="0.3">
      <c r="A228">
        <v>227</v>
      </c>
      <c r="B228" t="s">
        <v>626</v>
      </c>
      <c r="C228">
        <v>31700000</v>
      </c>
      <c r="D228">
        <v>2930015381</v>
      </c>
      <c r="E228" t="s">
        <v>996</v>
      </c>
      <c r="F228">
        <v>116</v>
      </c>
      <c r="G228" t="s">
        <v>984</v>
      </c>
      <c r="H228" t="s">
        <v>1303</v>
      </c>
      <c r="I228">
        <v>1300000</v>
      </c>
      <c r="J228">
        <v>2014</v>
      </c>
      <c r="K228">
        <v>2</v>
      </c>
      <c r="L228">
        <v>8</v>
      </c>
      <c r="M228">
        <v>328239523</v>
      </c>
    </row>
    <row r="229" spans="1:13" x14ac:dyDescent="0.3">
      <c r="A229">
        <v>228</v>
      </c>
      <c r="B229" t="s">
        <v>572</v>
      </c>
      <c r="C229">
        <v>23000000</v>
      </c>
      <c r="D229">
        <v>6041264489</v>
      </c>
      <c r="E229" t="s">
        <v>988</v>
      </c>
      <c r="F229">
        <v>1598</v>
      </c>
      <c r="G229" t="s">
        <v>1023</v>
      </c>
      <c r="H229" t="s">
        <v>1305</v>
      </c>
      <c r="I229">
        <v>1700000</v>
      </c>
      <c r="J229">
        <v>2006</v>
      </c>
      <c r="K229">
        <v>3</v>
      </c>
      <c r="L229">
        <v>9</v>
      </c>
      <c r="M229">
        <v>44938712</v>
      </c>
    </row>
    <row r="230" spans="1:13" x14ac:dyDescent="0.3">
      <c r="A230">
        <v>229</v>
      </c>
      <c r="B230" t="s">
        <v>291</v>
      </c>
      <c r="C230">
        <v>21800000</v>
      </c>
      <c r="D230">
        <v>11288359365</v>
      </c>
      <c r="E230" t="s">
        <v>977</v>
      </c>
      <c r="F230">
        <v>164</v>
      </c>
      <c r="G230" t="s">
        <v>1013</v>
      </c>
      <c r="H230" t="s">
        <v>1304</v>
      </c>
      <c r="I230">
        <v>6100000</v>
      </c>
      <c r="J230">
        <v>2011</v>
      </c>
      <c r="K230">
        <v>2</v>
      </c>
      <c r="L230">
        <v>5</v>
      </c>
      <c r="M230">
        <v>66834405</v>
      </c>
    </row>
    <row r="231" spans="1:13" x14ac:dyDescent="0.3">
      <c r="A231">
        <v>230</v>
      </c>
      <c r="B231" t="s">
        <v>258</v>
      </c>
      <c r="C231">
        <v>59500000</v>
      </c>
      <c r="D231">
        <v>16241549158</v>
      </c>
      <c r="E231" t="s">
        <v>1004</v>
      </c>
      <c r="F231">
        <v>389</v>
      </c>
      <c r="G231" t="s">
        <v>984</v>
      </c>
      <c r="H231" t="s">
        <v>1303</v>
      </c>
      <c r="I231">
        <v>6800000</v>
      </c>
      <c r="J231">
        <v>2009</v>
      </c>
      <c r="K231">
        <v>3</v>
      </c>
      <c r="L231">
        <v>17</v>
      </c>
      <c r="M231">
        <v>328239523</v>
      </c>
    </row>
    <row r="232" spans="1:13" x14ac:dyDescent="0.3">
      <c r="A232">
        <v>231</v>
      </c>
      <c r="B232" t="s">
        <v>191</v>
      </c>
      <c r="C232">
        <v>21600000</v>
      </c>
      <c r="D232">
        <v>9597894786</v>
      </c>
      <c r="E232" t="s">
        <v>1139</v>
      </c>
      <c r="F232">
        <v>2942</v>
      </c>
      <c r="G232" t="s">
        <v>1019</v>
      </c>
      <c r="H232" t="s">
        <v>1305</v>
      </c>
      <c r="I232">
        <v>9300000</v>
      </c>
      <c r="J232">
        <v>2013</v>
      </c>
      <c r="K232">
        <v>3</v>
      </c>
      <c r="L232">
        <v>2</v>
      </c>
      <c r="M232">
        <v>212559417</v>
      </c>
    </row>
    <row r="233" spans="1:13" x14ac:dyDescent="0.3">
      <c r="A233">
        <v>232</v>
      </c>
      <c r="B233" t="s">
        <v>477</v>
      </c>
      <c r="C233">
        <v>12800000</v>
      </c>
      <c r="D233">
        <v>6662288136</v>
      </c>
      <c r="E233" t="s">
        <v>977</v>
      </c>
      <c r="F233">
        <v>323</v>
      </c>
      <c r="G233" t="s">
        <v>1065</v>
      </c>
      <c r="H233" t="s">
        <v>1304</v>
      </c>
      <c r="I233">
        <v>2600000</v>
      </c>
      <c r="J233">
        <v>2013</v>
      </c>
      <c r="K233">
        <v>3</v>
      </c>
      <c r="L233">
        <v>26</v>
      </c>
      <c r="M233">
        <v>47076781</v>
      </c>
    </row>
    <row r="234" spans="1:13" x14ac:dyDescent="0.3">
      <c r="A234">
        <v>233</v>
      </c>
      <c r="B234" t="s">
        <v>74</v>
      </c>
      <c r="C234">
        <v>27100000</v>
      </c>
      <c r="D234">
        <v>17318452893</v>
      </c>
      <c r="E234" t="s">
        <v>988</v>
      </c>
      <c r="F234">
        <v>889</v>
      </c>
      <c r="G234" t="s">
        <v>978</v>
      </c>
      <c r="H234" t="s">
        <v>1302</v>
      </c>
      <c r="I234">
        <v>20600000</v>
      </c>
      <c r="J234">
        <v>2015</v>
      </c>
      <c r="K234">
        <v>9</v>
      </c>
      <c r="L234">
        <v>26</v>
      </c>
      <c r="M234">
        <v>1366417754</v>
      </c>
    </row>
    <row r="235" spans="1:13" x14ac:dyDescent="0.3">
      <c r="A235">
        <v>234</v>
      </c>
      <c r="B235" t="s">
        <v>734</v>
      </c>
      <c r="C235">
        <v>16100000</v>
      </c>
      <c r="D235">
        <v>1517638132</v>
      </c>
      <c r="E235" t="s">
        <v>988</v>
      </c>
      <c r="F235">
        <v>2805</v>
      </c>
      <c r="G235" t="s">
        <v>1081</v>
      </c>
      <c r="H235" t="s">
        <v>1302</v>
      </c>
      <c r="I235">
        <v>461700</v>
      </c>
      <c r="J235">
        <v>2015</v>
      </c>
      <c r="K235">
        <v>1</v>
      </c>
      <c r="L235">
        <v>28</v>
      </c>
      <c r="M235">
        <v>270203917</v>
      </c>
    </row>
    <row r="236" spans="1:13" x14ac:dyDescent="0.3">
      <c r="A236">
        <v>235</v>
      </c>
      <c r="B236" t="s">
        <v>183</v>
      </c>
      <c r="C236">
        <v>53500000</v>
      </c>
      <c r="D236">
        <v>30367676736</v>
      </c>
      <c r="E236" t="s">
        <v>977</v>
      </c>
      <c r="F236">
        <v>383</v>
      </c>
      <c r="G236" t="s">
        <v>1013</v>
      </c>
      <c r="H236" t="s">
        <v>1304</v>
      </c>
      <c r="I236">
        <v>9700000</v>
      </c>
      <c r="J236">
        <v>2006</v>
      </c>
      <c r="K236">
        <v>8</v>
      </c>
      <c r="L236">
        <v>8</v>
      </c>
      <c r="M236">
        <v>66834405</v>
      </c>
    </row>
    <row r="237" spans="1:13" x14ac:dyDescent="0.3">
      <c r="A237">
        <v>236</v>
      </c>
      <c r="B237" t="s">
        <v>362</v>
      </c>
      <c r="C237">
        <v>15100000</v>
      </c>
      <c r="D237">
        <v>6668507856</v>
      </c>
      <c r="E237" t="s">
        <v>996</v>
      </c>
      <c r="F237">
        <v>3733</v>
      </c>
      <c r="G237" t="s">
        <v>1000</v>
      </c>
      <c r="H237" t="s">
        <v>1302</v>
      </c>
      <c r="I237">
        <v>4600000</v>
      </c>
      <c r="J237">
        <v>2013</v>
      </c>
      <c r="K237">
        <v>6</v>
      </c>
      <c r="L237">
        <v>24</v>
      </c>
      <c r="M237">
        <v>144373535</v>
      </c>
    </row>
    <row r="238" spans="1:13" x14ac:dyDescent="0.3">
      <c r="A238">
        <v>237</v>
      </c>
      <c r="B238" t="s">
        <v>781</v>
      </c>
      <c r="C238">
        <v>16900000</v>
      </c>
      <c r="D238">
        <v>3827906874</v>
      </c>
      <c r="E238" t="s">
        <v>988</v>
      </c>
      <c r="F238">
        <v>366</v>
      </c>
      <c r="G238" t="s">
        <v>984</v>
      </c>
      <c r="H238" t="s">
        <v>1303</v>
      </c>
      <c r="I238">
        <v>78500</v>
      </c>
      <c r="J238">
        <v>2013</v>
      </c>
      <c r="K238">
        <v>3</v>
      </c>
      <c r="L238">
        <v>19</v>
      </c>
      <c r="M238">
        <v>328239523</v>
      </c>
    </row>
    <row r="239" spans="1:13" x14ac:dyDescent="0.3">
      <c r="A239">
        <v>238</v>
      </c>
      <c r="B239" t="s">
        <v>1271</v>
      </c>
      <c r="C239">
        <v>13200000</v>
      </c>
      <c r="D239">
        <v>3568392223</v>
      </c>
      <c r="E239" t="s">
        <v>988</v>
      </c>
      <c r="F239">
        <v>0</v>
      </c>
      <c r="G239" t="s">
        <v>1294</v>
      </c>
      <c r="H239" t="s">
        <v>1294</v>
      </c>
      <c r="I239">
        <v>0</v>
      </c>
      <c r="J239">
        <v>2007</v>
      </c>
      <c r="K239">
        <v>11</v>
      </c>
      <c r="L239">
        <v>19</v>
      </c>
      <c r="M239" t="s">
        <v>1294</v>
      </c>
    </row>
    <row r="240" spans="1:13" x14ac:dyDescent="0.3">
      <c r="A240">
        <v>239</v>
      </c>
      <c r="B240" t="s">
        <v>43</v>
      </c>
      <c r="C240">
        <v>17700000</v>
      </c>
      <c r="D240">
        <v>17247584185</v>
      </c>
      <c r="E240" t="s">
        <v>982</v>
      </c>
      <c r="F240">
        <v>1316</v>
      </c>
      <c r="G240" t="s">
        <v>1023</v>
      </c>
      <c r="H240" t="s">
        <v>1305</v>
      </c>
      <c r="I240">
        <v>30700000</v>
      </c>
      <c r="J240">
        <v>2013</v>
      </c>
      <c r="K240">
        <v>10</v>
      </c>
      <c r="L240">
        <v>18</v>
      </c>
      <c r="M240">
        <v>44938712</v>
      </c>
    </row>
    <row r="241" spans="1:13" x14ac:dyDescent="0.3">
      <c r="A241">
        <v>240</v>
      </c>
      <c r="B241" t="s">
        <v>397</v>
      </c>
      <c r="C241">
        <v>17200000</v>
      </c>
      <c r="D241">
        <v>11445492404</v>
      </c>
      <c r="E241" t="s">
        <v>990</v>
      </c>
      <c r="F241">
        <v>1007</v>
      </c>
      <c r="G241" t="s">
        <v>1023</v>
      </c>
      <c r="H241" t="s">
        <v>1305</v>
      </c>
      <c r="I241">
        <v>4000000</v>
      </c>
      <c r="J241">
        <v>2015</v>
      </c>
      <c r="K241">
        <v>3</v>
      </c>
      <c r="L241">
        <v>3</v>
      </c>
      <c r="M241">
        <v>44938712</v>
      </c>
    </row>
    <row r="242" spans="1:13" x14ac:dyDescent="0.3">
      <c r="A242">
        <v>241</v>
      </c>
      <c r="B242" t="s">
        <v>45</v>
      </c>
      <c r="C242">
        <v>58400000</v>
      </c>
      <c r="D242">
        <v>57271630846</v>
      </c>
      <c r="E242" t="s">
        <v>977</v>
      </c>
      <c r="F242">
        <v>1510</v>
      </c>
      <c r="G242" t="s">
        <v>1023</v>
      </c>
      <c r="H242" t="s">
        <v>1305</v>
      </c>
      <c r="I242">
        <v>29400000</v>
      </c>
      <c r="J242">
        <v>2011</v>
      </c>
      <c r="K242">
        <v>6</v>
      </c>
      <c r="L242">
        <v>2</v>
      </c>
      <c r="M242">
        <v>44938712</v>
      </c>
    </row>
    <row r="243" spans="1:13" x14ac:dyDescent="0.3">
      <c r="A243">
        <v>242</v>
      </c>
      <c r="B243" t="s">
        <v>302</v>
      </c>
      <c r="C243">
        <v>12500000</v>
      </c>
      <c r="D243">
        <v>7489455451</v>
      </c>
      <c r="E243" t="s">
        <v>977</v>
      </c>
      <c r="F243">
        <v>377</v>
      </c>
      <c r="G243" t="s">
        <v>1058</v>
      </c>
      <c r="H243" t="s">
        <v>1305</v>
      </c>
      <c r="I243">
        <v>5600000</v>
      </c>
      <c r="J243">
        <v>2008</v>
      </c>
      <c r="K243">
        <v>11</v>
      </c>
      <c r="L243">
        <v>27</v>
      </c>
      <c r="M243">
        <v>126014024</v>
      </c>
    </row>
    <row r="244" spans="1:13" x14ac:dyDescent="0.3">
      <c r="A244">
        <v>243</v>
      </c>
      <c r="B244" t="s">
        <v>249</v>
      </c>
      <c r="C244">
        <v>14500000</v>
      </c>
      <c r="D244">
        <v>4821183481</v>
      </c>
      <c r="E244" t="s">
        <v>1294</v>
      </c>
      <c r="F244">
        <v>605</v>
      </c>
      <c r="G244" t="s">
        <v>984</v>
      </c>
      <c r="H244" t="s">
        <v>1303</v>
      </c>
      <c r="I244">
        <v>7200000</v>
      </c>
      <c r="J244">
        <v>2018</v>
      </c>
      <c r="K244">
        <v>1</v>
      </c>
      <c r="L244">
        <v>16</v>
      </c>
      <c r="M244">
        <v>328239523</v>
      </c>
    </row>
    <row r="245" spans="1:13" x14ac:dyDescent="0.3">
      <c r="A245">
        <v>244</v>
      </c>
      <c r="B245" t="s">
        <v>561</v>
      </c>
      <c r="C245">
        <v>12600000</v>
      </c>
      <c r="D245">
        <v>6969178081</v>
      </c>
      <c r="E245" t="s">
        <v>977</v>
      </c>
      <c r="F245">
        <v>218</v>
      </c>
      <c r="G245" t="s">
        <v>1013</v>
      </c>
      <c r="H245" t="s">
        <v>1304</v>
      </c>
      <c r="I245">
        <v>1800000</v>
      </c>
      <c r="J245">
        <v>2007</v>
      </c>
      <c r="K245">
        <v>1</v>
      </c>
      <c r="L245">
        <v>29</v>
      </c>
      <c r="M245">
        <v>66834405</v>
      </c>
    </row>
    <row r="246" spans="1:13" x14ac:dyDescent="0.3">
      <c r="A246">
        <v>245</v>
      </c>
      <c r="B246" t="s">
        <v>754</v>
      </c>
      <c r="C246">
        <v>40400000</v>
      </c>
      <c r="D246">
        <v>7410536668</v>
      </c>
      <c r="E246" t="s">
        <v>996</v>
      </c>
      <c r="F246">
        <v>703</v>
      </c>
      <c r="G246" t="s">
        <v>1294</v>
      </c>
      <c r="H246" t="s">
        <v>1294</v>
      </c>
      <c r="I246">
        <v>277100</v>
      </c>
      <c r="J246">
        <v>2011</v>
      </c>
      <c r="K246">
        <v>12</v>
      </c>
      <c r="L246">
        <v>20</v>
      </c>
      <c r="M246" t="s">
        <v>1294</v>
      </c>
    </row>
    <row r="247" spans="1:13" x14ac:dyDescent="0.3">
      <c r="A247">
        <v>246</v>
      </c>
      <c r="B247" t="s">
        <v>532</v>
      </c>
      <c r="C247">
        <v>14200000</v>
      </c>
      <c r="D247">
        <v>3920559552</v>
      </c>
      <c r="E247" t="s">
        <v>996</v>
      </c>
      <c r="F247">
        <v>1300</v>
      </c>
      <c r="G247" t="s">
        <v>1058</v>
      </c>
      <c r="H247" t="s">
        <v>1305</v>
      </c>
      <c r="I247">
        <v>2100000</v>
      </c>
      <c r="J247">
        <v>2016</v>
      </c>
      <c r="K247">
        <v>1</v>
      </c>
      <c r="L247">
        <v>13</v>
      </c>
      <c r="M247">
        <v>126014024</v>
      </c>
    </row>
    <row r="248" spans="1:13" x14ac:dyDescent="0.3">
      <c r="A248">
        <v>247</v>
      </c>
      <c r="B248" t="s">
        <v>146</v>
      </c>
      <c r="C248">
        <v>56900000</v>
      </c>
      <c r="D248">
        <v>27073872856</v>
      </c>
      <c r="E248" t="s">
        <v>977</v>
      </c>
      <c r="F248">
        <v>156</v>
      </c>
      <c r="G248" t="s">
        <v>984</v>
      </c>
      <c r="H248" t="s">
        <v>1303</v>
      </c>
      <c r="I248">
        <v>12500000</v>
      </c>
      <c r="J248">
        <v>2007</v>
      </c>
      <c r="K248">
        <v>2</v>
      </c>
      <c r="L248">
        <v>9</v>
      </c>
      <c r="M248">
        <v>328239523</v>
      </c>
    </row>
    <row r="249" spans="1:13" x14ac:dyDescent="0.3">
      <c r="A249">
        <v>248</v>
      </c>
      <c r="B249" t="s">
        <v>266</v>
      </c>
      <c r="C249">
        <v>24700000</v>
      </c>
      <c r="D249">
        <v>20531704527</v>
      </c>
      <c r="E249" t="s">
        <v>977</v>
      </c>
      <c r="F249">
        <v>104</v>
      </c>
      <c r="G249" t="s">
        <v>984</v>
      </c>
      <c r="H249" t="s">
        <v>1303</v>
      </c>
      <c r="I249">
        <v>6700000</v>
      </c>
      <c r="J249">
        <v>2009</v>
      </c>
      <c r="K249">
        <v>5</v>
      </c>
      <c r="L249">
        <v>12</v>
      </c>
      <c r="M249">
        <v>328239523</v>
      </c>
    </row>
    <row r="250" spans="1:13" x14ac:dyDescent="0.3">
      <c r="A250">
        <v>249</v>
      </c>
      <c r="B250" t="s">
        <v>544</v>
      </c>
      <c r="C250">
        <v>20400000</v>
      </c>
      <c r="D250">
        <v>3579555124</v>
      </c>
      <c r="E250" t="s">
        <v>977</v>
      </c>
      <c r="F250">
        <v>239</v>
      </c>
      <c r="G250" t="s">
        <v>978</v>
      </c>
      <c r="H250" t="s">
        <v>1302</v>
      </c>
      <c r="I250">
        <v>2000000</v>
      </c>
      <c r="J250">
        <v>2013</v>
      </c>
      <c r="K250">
        <v>5</v>
      </c>
      <c r="L250">
        <v>3</v>
      </c>
      <c r="M250">
        <v>1366417754</v>
      </c>
    </row>
    <row r="251" spans="1:13" x14ac:dyDescent="0.3">
      <c r="A251">
        <v>250</v>
      </c>
      <c r="B251" t="s">
        <v>125</v>
      </c>
      <c r="C251">
        <v>29200000</v>
      </c>
      <c r="D251">
        <v>11627437847</v>
      </c>
      <c r="E251" t="s">
        <v>1044</v>
      </c>
      <c r="F251">
        <v>3654</v>
      </c>
      <c r="G251" t="s">
        <v>1019</v>
      </c>
      <c r="H251" t="s">
        <v>1305</v>
      </c>
      <c r="I251">
        <v>14500000</v>
      </c>
      <c r="J251">
        <v>2012</v>
      </c>
      <c r="K251">
        <v>11</v>
      </c>
      <c r="L251">
        <v>7</v>
      </c>
      <c r="M251">
        <v>212559417</v>
      </c>
    </row>
    <row r="252" spans="1:13" x14ac:dyDescent="0.3">
      <c r="A252">
        <v>251</v>
      </c>
      <c r="B252" t="s">
        <v>641</v>
      </c>
      <c r="C252">
        <v>26700000</v>
      </c>
      <c r="D252">
        <v>10317306313</v>
      </c>
      <c r="E252" t="s">
        <v>1044</v>
      </c>
      <c r="F252">
        <v>975</v>
      </c>
      <c r="G252" t="s">
        <v>1051</v>
      </c>
      <c r="H252" t="s">
        <v>1305</v>
      </c>
      <c r="I252">
        <v>1200000</v>
      </c>
      <c r="J252">
        <v>2011</v>
      </c>
      <c r="K252">
        <v>11</v>
      </c>
      <c r="L252">
        <v>13</v>
      </c>
      <c r="M252">
        <v>50339443</v>
      </c>
    </row>
    <row r="253" spans="1:13" x14ac:dyDescent="0.3">
      <c r="A253">
        <v>252</v>
      </c>
      <c r="B253" t="s">
        <v>1207</v>
      </c>
      <c r="C253">
        <v>16000000</v>
      </c>
      <c r="D253">
        <v>9786595271</v>
      </c>
      <c r="E253" t="s">
        <v>996</v>
      </c>
      <c r="F253">
        <v>0</v>
      </c>
      <c r="G253" t="s">
        <v>1294</v>
      </c>
      <c r="H253" t="s">
        <v>1294</v>
      </c>
      <c r="I253">
        <v>0</v>
      </c>
      <c r="J253">
        <v>2007</v>
      </c>
      <c r="K253">
        <v>3</v>
      </c>
      <c r="L253">
        <v>4</v>
      </c>
      <c r="M253" t="s">
        <v>1294</v>
      </c>
    </row>
    <row r="254" spans="1:13" x14ac:dyDescent="0.3">
      <c r="A254">
        <v>253</v>
      </c>
      <c r="B254" t="s">
        <v>295</v>
      </c>
      <c r="C254">
        <v>23800000</v>
      </c>
      <c r="D254">
        <v>17688774915</v>
      </c>
      <c r="E254" t="s">
        <v>977</v>
      </c>
      <c r="F254">
        <v>443</v>
      </c>
      <c r="G254" t="s">
        <v>984</v>
      </c>
      <c r="H254" t="s">
        <v>1303</v>
      </c>
      <c r="I254">
        <v>5900000</v>
      </c>
      <c r="J254">
        <v>2007</v>
      </c>
      <c r="K254">
        <v>4</v>
      </c>
      <c r="L254">
        <v>12</v>
      </c>
      <c r="M254">
        <v>328239523</v>
      </c>
    </row>
    <row r="255" spans="1:13" x14ac:dyDescent="0.3">
      <c r="A255">
        <v>254</v>
      </c>
      <c r="B255" t="s">
        <v>416</v>
      </c>
      <c r="C255">
        <v>12900000</v>
      </c>
      <c r="D255">
        <v>15446707595</v>
      </c>
      <c r="E255" t="s">
        <v>977</v>
      </c>
      <c r="F255">
        <v>137</v>
      </c>
      <c r="G255" t="s">
        <v>984</v>
      </c>
      <c r="H255" t="s">
        <v>1303</v>
      </c>
      <c r="I255">
        <v>3600000</v>
      </c>
      <c r="J255">
        <v>2009</v>
      </c>
      <c r="K255">
        <v>5</v>
      </c>
      <c r="L255">
        <v>12</v>
      </c>
      <c r="M255">
        <v>328239523</v>
      </c>
    </row>
    <row r="256" spans="1:13" x14ac:dyDescent="0.3">
      <c r="A256">
        <v>255</v>
      </c>
      <c r="B256" t="s">
        <v>718</v>
      </c>
      <c r="C256">
        <v>14900000</v>
      </c>
      <c r="D256">
        <v>4033400167</v>
      </c>
      <c r="E256" t="s">
        <v>988</v>
      </c>
      <c r="F256">
        <v>86</v>
      </c>
      <c r="G256" t="s">
        <v>984</v>
      </c>
      <c r="H256" t="s">
        <v>1303</v>
      </c>
      <c r="I256">
        <v>530100</v>
      </c>
      <c r="J256">
        <v>2006</v>
      </c>
      <c r="K256">
        <v>2</v>
      </c>
      <c r="L256">
        <v>8</v>
      </c>
      <c r="M256">
        <v>328239523</v>
      </c>
    </row>
    <row r="257" spans="1:13" x14ac:dyDescent="0.3">
      <c r="A257">
        <v>256</v>
      </c>
      <c r="B257" t="s">
        <v>277</v>
      </c>
      <c r="C257">
        <v>14000000</v>
      </c>
      <c r="D257">
        <v>13542939513</v>
      </c>
      <c r="E257" t="s">
        <v>994</v>
      </c>
      <c r="F257">
        <v>9652</v>
      </c>
      <c r="G257" t="s">
        <v>978</v>
      </c>
      <c r="H257" t="s">
        <v>1302</v>
      </c>
      <c r="I257">
        <v>6400000</v>
      </c>
      <c r="J257">
        <v>2015</v>
      </c>
      <c r="K257">
        <v>7</v>
      </c>
      <c r="L257">
        <v>14</v>
      </c>
      <c r="M257">
        <v>1366417754</v>
      </c>
    </row>
    <row r="258" spans="1:13" x14ac:dyDescent="0.3">
      <c r="A258">
        <v>257</v>
      </c>
      <c r="B258" t="s">
        <v>137</v>
      </c>
      <c r="C258">
        <v>19400000</v>
      </c>
      <c r="D258">
        <v>23038014291</v>
      </c>
      <c r="E258" t="s">
        <v>988</v>
      </c>
      <c r="F258">
        <v>125974</v>
      </c>
      <c r="G258" t="s">
        <v>978</v>
      </c>
      <c r="H258" t="s">
        <v>1302</v>
      </c>
      <c r="I258">
        <v>13100000</v>
      </c>
      <c r="J258">
        <v>2010</v>
      </c>
      <c r="K258">
        <v>3</v>
      </c>
      <c r="L258">
        <v>15</v>
      </c>
      <c r="M258">
        <v>1366417754</v>
      </c>
    </row>
    <row r="259" spans="1:13" x14ac:dyDescent="0.3">
      <c r="A259">
        <v>258</v>
      </c>
      <c r="B259" t="s">
        <v>443</v>
      </c>
      <c r="C259">
        <v>21600000</v>
      </c>
      <c r="D259">
        <v>9346383505</v>
      </c>
      <c r="E259" t="s">
        <v>988</v>
      </c>
      <c r="F259">
        <v>228</v>
      </c>
      <c r="G259" t="s">
        <v>984</v>
      </c>
      <c r="H259" t="s">
        <v>1303</v>
      </c>
      <c r="I259">
        <v>3100000</v>
      </c>
      <c r="J259">
        <v>2019</v>
      </c>
      <c r="K259">
        <v>5</v>
      </c>
      <c r="L259">
        <v>7</v>
      </c>
      <c r="M259">
        <v>328239523</v>
      </c>
    </row>
    <row r="260" spans="1:13" x14ac:dyDescent="0.3">
      <c r="A260">
        <v>259</v>
      </c>
      <c r="B260" t="s">
        <v>772</v>
      </c>
      <c r="C260">
        <v>13000000</v>
      </c>
      <c r="D260">
        <v>1024467771</v>
      </c>
      <c r="E260" t="s">
        <v>1044</v>
      </c>
      <c r="F260">
        <v>625</v>
      </c>
      <c r="G260" t="s">
        <v>1019</v>
      </c>
      <c r="H260" t="s">
        <v>1305</v>
      </c>
      <c r="I260">
        <v>146500</v>
      </c>
      <c r="J260">
        <v>2009</v>
      </c>
      <c r="K260">
        <v>3</v>
      </c>
      <c r="L260">
        <v>26</v>
      </c>
      <c r="M260">
        <v>212559417</v>
      </c>
    </row>
    <row r="261" spans="1:13" x14ac:dyDescent="0.3">
      <c r="A261">
        <v>260</v>
      </c>
      <c r="B261" t="s">
        <v>1202</v>
      </c>
      <c r="C261">
        <v>16200000</v>
      </c>
      <c r="D261">
        <v>4813127504</v>
      </c>
      <c r="E261" t="s">
        <v>994</v>
      </c>
      <c r="F261">
        <v>2</v>
      </c>
      <c r="G261" t="s">
        <v>1294</v>
      </c>
      <c r="H261" t="s">
        <v>1294</v>
      </c>
      <c r="I261">
        <v>24</v>
      </c>
      <c r="J261">
        <v>2015</v>
      </c>
      <c r="K261">
        <v>11</v>
      </c>
      <c r="L261">
        <v>21</v>
      </c>
      <c r="M261" t="s">
        <v>1294</v>
      </c>
    </row>
    <row r="262" spans="1:13" x14ac:dyDescent="0.3">
      <c r="A262">
        <v>261</v>
      </c>
      <c r="B262" t="s">
        <v>1255</v>
      </c>
      <c r="C262">
        <v>14100000</v>
      </c>
      <c r="D262">
        <v>3280481927</v>
      </c>
      <c r="E262" t="s">
        <v>1004</v>
      </c>
      <c r="F262">
        <v>777</v>
      </c>
      <c r="G262" t="s">
        <v>1013</v>
      </c>
      <c r="H262" t="s">
        <v>1304</v>
      </c>
      <c r="I262">
        <v>490600</v>
      </c>
      <c r="J262">
        <v>2011</v>
      </c>
      <c r="K262">
        <v>4</v>
      </c>
      <c r="L262">
        <v>9</v>
      </c>
      <c r="M262">
        <v>66834405</v>
      </c>
    </row>
    <row r="263" spans="1:13" x14ac:dyDescent="0.3">
      <c r="A263">
        <v>262</v>
      </c>
      <c r="B263" t="s">
        <v>487</v>
      </c>
      <c r="C263">
        <v>12700000</v>
      </c>
      <c r="D263">
        <v>1159290255</v>
      </c>
      <c r="E263" t="s">
        <v>1294</v>
      </c>
      <c r="F263">
        <v>782</v>
      </c>
      <c r="G263" t="s">
        <v>978</v>
      </c>
      <c r="H263" t="s">
        <v>1302</v>
      </c>
      <c r="I263">
        <v>2500000</v>
      </c>
      <c r="J263">
        <v>2020</v>
      </c>
      <c r="K263">
        <v>7</v>
      </c>
      <c r="L263">
        <v>29</v>
      </c>
      <c r="M263">
        <v>1366417754</v>
      </c>
    </row>
    <row r="264" spans="1:13" x14ac:dyDescent="0.3">
      <c r="A264">
        <v>263</v>
      </c>
      <c r="B264" t="s">
        <v>656</v>
      </c>
      <c r="C264">
        <v>17500000</v>
      </c>
      <c r="D264">
        <v>2238134438</v>
      </c>
      <c r="E264" t="s">
        <v>988</v>
      </c>
      <c r="F264">
        <v>709</v>
      </c>
      <c r="G264" t="s">
        <v>978</v>
      </c>
      <c r="H264" t="s">
        <v>1302</v>
      </c>
      <c r="I264">
        <v>1000000</v>
      </c>
      <c r="J264">
        <v>2016</v>
      </c>
      <c r="K264">
        <v>7</v>
      </c>
      <c r="L264">
        <v>24</v>
      </c>
      <c r="M264">
        <v>1366417754</v>
      </c>
    </row>
    <row r="265" spans="1:13" x14ac:dyDescent="0.3">
      <c r="A265">
        <v>264</v>
      </c>
      <c r="B265" t="s">
        <v>312</v>
      </c>
      <c r="C265">
        <v>16500000</v>
      </c>
      <c r="D265">
        <v>3037260680</v>
      </c>
      <c r="E265" t="s">
        <v>1044</v>
      </c>
      <c r="F265">
        <v>438</v>
      </c>
      <c r="G265" t="s">
        <v>984</v>
      </c>
      <c r="H265" t="s">
        <v>1303</v>
      </c>
      <c r="I265">
        <v>5400000</v>
      </c>
      <c r="J265">
        <v>2011</v>
      </c>
      <c r="K265">
        <v>7</v>
      </c>
      <c r="L265">
        <v>5</v>
      </c>
      <c r="M265">
        <v>328239523</v>
      </c>
    </row>
    <row r="266" spans="1:13" x14ac:dyDescent="0.3">
      <c r="A266">
        <v>265</v>
      </c>
      <c r="B266" t="s">
        <v>158</v>
      </c>
      <c r="C266">
        <v>12500000</v>
      </c>
      <c r="D266">
        <v>10384848759</v>
      </c>
      <c r="E266" t="s">
        <v>988</v>
      </c>
      <c r="F266">
        <v>1699</v>
      </c>
      <c r="G266" t="s">
        <v>978</v>
      </c>
      <c r="H266" t="s">
        <v>1302</v>
      </c>
      <c r="I266">
        <v>11300000</v>
      </c>
      <c r="J266">
        <v>2017</v>
      </c>
      <c r="K266">
        <v>1</v>
      </c>
      <c r="L266">
        <v>18</v>
      </c>
      <c r="M266">
        <v>1366417754</v>
      </c>
    </row>
    <row r="267" spans="1:13" x14ac:dyDescent="0.3">
      <c r="A267">
        <v>266</v>
      </c>
      <c r="B267" t="s">
        <v>1154</v>
      </c>
      <c r="C267">
        <v>20200000</v>
      </c>
      <c r="D267">
        <v>7066711323</v>
      </c>
      <c r="E267" t="s">
        <v>988</v>
      </c>
      <c r="F267">
        <v>0</v>
      </c>
      <c r="G267" t="s">
        <v>1294</v>
      </c>
      <c r="H267" t="s">
        <v>1294</v>
      </c>
      <c r="I267">
        <v>0</v>
      </c>
      <c r="J267">
        <v>2012</v>
      </c>
      <c r="K267">
        <v>12</v>
      </c>
      <c r="L267">
        <v>29</v>
      </c>
      <c r="M267" t="s">
        <v>1294</v>
      </c>
    </row>
    <row r="268" spans="1:13" x14ac:dyDescent="0.3">
      <c r="A268">
        <v>267</v>
      </c>
      <c r="B268" t="s">
        <v>570</v>
      </c>
      <c r="C268">
        <v>13700000</v>
      </c>
      <c r="D268">
        <v>5457203710</v>
      </c>
      <c r="E268" t="s">
        <v>1044</v>
      </c>
      <c r="F268">
        <v>863</v>
      </c>
      <c r="G268" t="s">
        <v>1176</v>
      </c>
      <c r="H268" t="s">
        <v>1302</v>
      </c>
      <c r="I268">
        <v>1700000</v>
      </c>
      <c r="J268">
        <v>2014</v>
      </c>
      <c r="K268">
        <v>2</v>
      </c>
      <c r="L268">
        <v>26</v>
      </c>
      <c r="M268">
        <v>96462106</v>
      </c>
    </row>
    <row r="269" spans="1:13" x14ac:dyDescent="0.3">
      <c r="A269">
        <v>268</v>
      </c>
      <c r="B269" t="s">
        <v>356</v>
      </c>
      <c r="C269">
        <v>18800000</v>
      </c>
      <c r="D269">
        <v>9573641299</v>
      </c>
      <c r="E269" t="s">
        <v>977</v>
      </c>
      <c r="F269">
        <v>217</v>
      </c>
      <c r="G269" t="s">
        <v>984</v>
      </c>
      <c r="H269" t="s">
        <v>1303</v>
      </c>
      <c r="I269">
        <v>4700000</v>
      </c>
      <c r="J269">
        <v>2009</v>
      </c>
      <c r="K269">
        <v>10</v>
      </c>
      <c r="L269">
        <v>30</v>
      </c>
      <c r="M269">
        <v>328239523</v>
      </c>
    </row>
    <row r="270" spans="1:13" x14ac:dyDescent="0.3">
      <c r="A270">
        <v>269</v>
      </c>
      <c r="B270" t="s">
        <v>488</v>
      </c>
      <c r="C270">
        <v>20900000</v>
      </c>
      <c r="D270">
        <v>3828000587</v>
      </c>
      <c r="E270" t="s">
        <v>988</v>
      </c>
      <c r="F270">
        <v>6262</v>
      </c>
      <c r="G270" t="s">
        <v>1019</v>
      </c>
      <c r="H270" t="s">
        <v>1305</v>
      </c>
      <c r="I270">
        <v>2500000</v>
      </c>
      <c r="J270">
        <v>2013</v>
      </c>
      <c r="K270">
        <v>9</v>
      </c>
      <c r="L270">
        <v>26</v>
      </c>
      <c r="M270">
        <v>212559417</v>
      </c>
    </row>
    <row r="271" spans="1:13" x14ac:dyDescent="0.3">
      <c r="A271">
        <v>270</v>
      </c>
      <c r="B271" t="s">
        <v>1127</v>
      </c>
      <c r="C271">
        <v>23700000</v>
      </c>
      <c r="D271">
        <v>7451792132</v>
      </c>
      <c r="E271" t="s">
        <v>996</v>
      </c>
      <c r="F271">
        <v>0</v>
      </c>
      <c r="G271" t="s">
        <v>1017</v>
      </c>
      <c r="H271" t="s">
        <v>1303</v>
      </c>
      <c r="I271">
        <v>0</v>
      </c>
      <c r="J271">
        <v>2012</v>
      </c>
      <c r="K271">
        <v>11</v>
      </c>
      <c r="L271">
        <v>30</v>
      </c>
      <c r="M271">
        <v>36991981</v>
      </c>
    </row>
    <row r="272" spans="1:13" x14ac:dyDescent="0.3">
      <c r="A272">
        <v>271</v>
      </c>
      <c r="B272" t="s">
        <v>392</v>
      </c>
      <c r="C272">
        <v>15300000</v>
      </c>
      <c r="D272">
        <v>2656528205</v>
      </c>
      <c r="E272" t="s">
        <v>1004</v>
      </c>
      <c r="F272">
        <v>10988</v>
      </c>
      <c r="G272" t="s">
        <v>1065</v>
      </c>
      <c r="H272" t="s">
        <v>1304</v>
      </c>
      <c r="I272">
        <v>4100000</v>
      </c>
      <c r="J272">
        <v>2006</v>
      </c>
      <c r="K272">
        <v>2</v>
      </c>
      <c r="L272">
        <v>6</v>
      </c>
      <c r="M272">
        <v>47076781</v>
      </c>
    </row>
    <row r="273" spans="1:13" x14ac:dyDescent="0.3">
      <c r="A273">
        <v>272</v>
      </c>
      <c r="B273" t="s">
        <v>923</v>
      </c>
      <c r="C273">
        <v>25600000</v>
      </c>
      <c r="D273">
        <v>7962725960</v>
      </c>
      <c r="E273" t="s">
        <v>1011</v>
      </c>
      <c r="F273">
        <v>0</v>
      </c>
      <c r="G273" t="s">
        <v>1294</v>
      </c>
      <c r="H273" t="s">
        <v>1294</v>
      </c>
      <c r="I273">
        <v>0</v>
      </c>
      <c r="J273">
        <v>2019</v>
      </c>
      <c r="K273">
        <v>8</v>
      </c>
      <c r="L273">
        <v>1</v>
      </c>
      <c r="M273" t="s">
        <v>1294</v>
      </c>
    </row>
    <row r="274" spans="1:13" x14ac:dyDescent="0.3">
      <c r="A274">
        <v>273</v>
      </c>
      <c r="B274" t="s">
        <v>282</v>
      </c>
      <c r="C274">
        <v>45200000</v>
      </c>
      <c r="D274">
        <v>16602198273</v>
      </c>
      <c r="E274" t="s">
        <v>988</v>
      </c>
      <c r="F274">
        <v>4331</v>
      </c>
      <c r="G274" t="s">
        <v>1019</v>
      </c>
      <c r="H274" t="s">
        <v>1305</v>
      </c>
      <c r="I274">
        <v>6300000</v>
      </c>
      <c r="J274">
        <v>2006</v>
      </c>
      <c r="K274">
        <v>5</v>
      </c>
      <c r="L274">
        <v>16</v>
      </c>
      <c r="M274">
        <v>212559417</v>
      </c>
    </row>
    <row r="275" spans="1:13" x14ac:dyDescent="0.3">
      <c r="A275">
        <v>274</v>
      </c>
      <c r="B275" t="s">
        <v>580</v>
      </c>
      <c r="C275">
        <v>46100000</v>
      </c>
      <c r="D275">
        <v>10323391593</v>
      </c>
      <c r="E275" t="s">
        <v>996</v>
      </c>
      <c r="F275">
        <v>543</v>
      </c>
      <c r="G275" t="s">
        <v>1039</v>
      </c>
      <c r="H275" t="s">
        <v>1303</v>
      </c>
      <c r="I275">
        <v>1600000</v>
      </c>
      <c r="J275">
        <v>2011</v>
      </c>
      <c r="K275">
        <v>5</v>
      </c>
      <c r="L275">
        <v>2</v>
      </c>
      <c r="M275">
        <v>6453553</v>
      </c>
    </row>
    <row r="276" spans="1:13" x14ac:dyDescent="0.3">
      <c r="A276">
        <v>275</v>
      </c>
      <c r="B276" t="s">
        <v>407</v>
      </c>
      <c r="C276">
        <v>15400000</v>
      </c>
      <c r="D276">
        <v>11513738907</v>
      </c>
      <c r="E276" t="s">
        <v>996</v>
      </c>
      <c r="F276">
        <v>379</v>
      </c>
      <c r="G276" t="s">
        <v>1062</v>
      </c>
      <c r="H276" t="s">
        <v>1302</v>
      </c>
      <c r="I276">
        <v>3800000</v>
      </c>
      <c r="J276">
        <v>2018</v>
      </c>
      <c r="K276">
        <v>7</v>
      </c>
      <c r="L276">
        <v>18</v>
      </c>
      <c r="M276">
        <v>9770529</v>
      </c>
    </row>
    <row r="277" spans="1:13" x14ac:dyDescent="0.3">
      <c r="A277">
        <v>276</v>
      </c>
      <c r="B277" t="s">
        <v>283</v>
      </c>
      <c r="C277">
        <v>22300000</v>
      </c>
      <c r="D277">
        <v>24059336857</v>
      </c>
      <c r="E277" t="s">
        <v>996</v>
      </c>
      <c r="F277">
        <v>1724</v>
      </c>
      <c r="G277" t="s">
        <v>984</v>
      </c>
      <c r="H277" t="s">
        <v>1303</v>
      </c>
      <c r="I277">
        <v>6300000</v>
      </c>
      <c r="J277">
        <v>2013</v>
      </c>
      <c r="K277">
        <v>5</v>
      </c>
      <c r="L277">
        <v>24</v>
      </c>
      <c r="M277">
        <v>328239523</v>
      </c>
    </row>
    <row r="278" spans="1:13" x14ac:dyDescent="0.3">
      <c r="A278">
        <v>277</v>
      </c>
      <c r="B278" t="s">
        <v>461</v>
      </c>
      <c r="C278">
        <v>19400000</v>
      </c>
      <c r="D278">
        <v>5529131886</v>
      </c>
      <c r="E278" t="s">
        <v>1004</v>
      </c>
      <c r="F278">
        <v>10728</v>
      </c>
      <c r="G278" t="s">
        <v>1163</v>
      </c>
      <c r="H278" t="s">
        <v>1304</v>
      </c>
      <c r="I278">
        <v>2800000</v>
      </c>
      <c r="J278">
        <v>2006</v>
      </c>
      <c r="K278">
        <v>9</v>
      </c>
      <c r="L278">
        <v>6</v>
      </c>
      <c r="M278">
        <v>8574832</v>
      </c>
    </row>
    <row r="279" spans="1:13" x14ac:dyDescent="0.3">
      <c r="A279">
        <v>278</v>
      </c>
      <c r="B279" t="s">
        <v>559</v>
      </c>
      <c r="C279">
        <v>14600000</v>
      </c>
      <c r="D279">
        <v>7952268926</v>
      </c>
      <c r="E279" t="s">
        <v>977</v>
      </c>
      <c r="F279">
        <v>67</v>
      </c>
      <c r="G279" t="s">
        <v>984</v>
      </c>
      <c r="H279" t="s">
        <v>1303</v>
      </c>
      <c r="I279">
        <v>1800000</v>
      </c>
      <c r="J279">
        <v>2013</v>
      </c>
      <c r="K279">
        <v>2</v>
      </c>
      <c r="L279">
        <v>21</v>
      </c>
      <c r="M279">
        <v>328239523</v>
      </c>
    </row>
    <row r="280" spans="1:13" x14ac:dyDescent="0.3">
      <c r="A280">
        <v>279</v>
      </c>
      <c r="B280" t="s">
        <v>17</v>
      </c>
      <c r="C280">
        <v>14800000</v>
      </c>
      <c r="D280">
        <v>15788208522</v>
      </c>
      <c r="E280" t="s">
        <v>1294</v>
      </c>
      <c r="F280">
        <v>2222</v>
      </c>
      <c r="G280" t="s">
        <v>984</v>
      </c>
      <c r="H280" t="s">
        <v>1303</v>
      </c>
      <c r="I280">
        <v>57800000</v>
      </c>
      <c r="J280">
        <v>2021</v>
      </c>
      <c r="K280">
        <v>3</v>
      </c>
      <c r="L280">
        <v>24</v>
      </c>
      <c r="M280">
        <v>328239523</v>
      </c>
    </row>
    <row r="281" spans="1:13" x14ac:dyDescent="0.3">
      <c r="A281">
        <v>280</v>
      </c>
      <c r="B281" t="s">
        <v>320</v>
      </c>
      <c r="C281">
        <v>12500000</v>
      </c>
      <c r="D281">
        <v>2983799729</v>
      </c>
      <c r="E281" t="s">
        <v>1011</v>
      </c>
      <c r="F281">
        <v>1076</v>
      </c>
      <c r="G281" t="s">
        <v>984</v>
      </c>
      <c r="H281" t="s">
        <v>1303</v>
      </c>
      <c r="I281">
        <v>5300000</v>
      </c>
      <c r="J281">
        <v>2014</v>
      </c>
      <c r="K281">
        <v>2</v>
      </c>
      <c r="L281">
        <v>28</v>
      </c>
      <c r="M281">
        <v>328239523</v>
      </c>
    </row>
    <row r="282" spans="1:13" x14ac:dyDescent="0.3">
      <c r="A282">
        <v>281</v>
      </c>
      <c r="B282" t="s">
        <v>1204</v>
      </c>
      <c r="C282">
        <v>16100000</v>
      </c>
      <c r="D282">
        <v>7126210721</v>
      </c>
      <c r="E282" t="s">
        <v>977</v>
      </c>
      <c r="F282">
        <v>41</v>
      </c>
      <c r="G282" t="s">
        <v>1134</v>
      </c>
      <c r="H282" t="s">
        <v>1304</v>
      </c>
      <c r="I282">
        <v>37</v>
      </c>
      <c r="J282">
        <v>2006</v>
      </c>
      <c r="K282">
        <v>11</v>
      </c>
      <c r="L282">
        <v>20</v>
      </c>
      <c r="M282">
        <v>67059887</v>
      </c>
    </row>
    <row r="283" spans="1:13" x14ac:dyDescent="0.3">
      <c r="A283">
        <v>282</v>
      </c>
      <c r="B283" t="s">
        <v>210</v>
      </c>
      <c r="C283">
        <v>12500000</v>
      </c>
      <c r="D283">
        <v>11691081301</v>
      </c>
      <c r="E283" t="s">
        <v>988</v>
      </c>
      <c r="F283">
        <v>11907</v>
      </c>
      <c r="G283" t="s">
        <v>978</v>
      </c>
      <c r="H283" t="s">
        <v>1302</v>
      </c>
      <c r="I283">
        <v>8600000</v>
      </c>
      <c r="J283">
        <v>2015</v>
      </c>
      <c r="K283">
        <v>8</v>
      </c>
      <c r="L283">
        <v>19</v>
      </c>
      <c r="M283">
        <v>1366417754</v>
      </c>
    </row>
    <row r="284" spans="1:13" x14ac:dyDescent="0.3">
      <c r="A284">
        <v>283</v>
      </c>
      <c r="B284" t="s">
        <v>411</v>
      </c>
      <c r="C284">
        <v>12700000</v>
      </c>
      <c r="D284">
        <v>4266957149</v>
      </c>
      <c r="E284" t="s">
        <v>1044</v>
      </c>
      <c r="F284">
        <v>2483</v>
      </c>
      <c r="G284" t="s">
        <v>1058</v>
      </c>
      <c r="H284" t="s">
        <v>1305</v>
      </c>
      <c r="I284">
        <v>3700000</v>
      </c>
      <c r="J284">
        <v>2007</v>
      </c>
      <c r="K284">
        <v>10</v>
      </c>
      <c r="L284">
        <v>19</v>
      </c>
      <c r="M284">
        <v>126014024</v>
      </c>
    </row>
    <row r="285" spans="1:13" x14ac:dyDescent="0.3">
      <c r="A285">
        <v>284</v>
      </c>
      <c r="B285" t="s">
        <v>442</v>
      </c>
      <c r="C285">
        <v>12300000</v>
      </c>
      <c r="D285">
        <v>1674409945</v>
      </c>
      <c r="E285" t="s">
        <v>994</v>
      </c>
      <c r="F285">
        <v>1500</v>
      </c>
      <c r="G285" t="s">
        <v>978</v>
      </c>
      <c r="H285" t="s">
        <v>1302</v>
      </c>
      <c r="I285">
        <v>3100000</v>
      </c>
      <c r="J285">
        <v>2018</v>
      </c>
      <c r="K285">
        <v>9</v>
      </c>
      <c r="L285">
        <v>14</v>
      </c>
      <c r="M285">
        <v>1366417754</v>
      </c>
    </row>
    <row r="286" spans="1:13" x14ac:dyDescent="0.3">
      <c r="A286">
        <v>285</v>
      </c>
      <c r="B286" t="s">
        <v>1100</v>
      </c>
      <c r="C286">
        <v>30100000</v>
      </c>
      <c r="D286">
        <v>7277493940</v>
      </c>
      <c r="E286" t="s">
        <v>996</v>
      </c>
      <c r="F286">
        <v>0</v>
      </c>
      <c r="G286" t="s">
        <v>1294</v>
      </c>
      <c r="H286" t="s">
        <v>1294</v>
      </c>
      <c r="I286">
        <v>0</v>
      </c>
      <c r="J286">
        <v>2006</v>
      </c>
      <c r="K286">
        <v>8</v>
      </c>
      <c r="L286">
        <v>10</v>
      </c>
      <c r="M286" t="s">
        <v>1294</v>
      </c>
    </row>
    <row r="287" spans="1:13" x14ac:dyDescent="0.3">
      <c r="A287">
        <v>286</v>
      </c>
      <c r="B287" t="s">
        <v>453</v>
      </c>
      <c r="C287">
        <v>14800000</v>
      </c>
      <c r="D287">
        <v>13356517783</v>
      </c>
      <c r="E287" t="s">
        <v>977</v>
      </c>
      <c r="F287">
        <v>1210</v>
      </c>
      <c r="G287" t="s">
        <v>984</v>
      </c>
      <c r="H287" t="s">
        <v>1303</v>
      </c>
      <c r="I287">
        <v>2900000</v>
      </c>
      <c r="J287">
        <v>2006</v>
      </c>
      <c r="K287">
        <v>6</v>
      </c>
      <c r="L287">
        <v>9</v>
      </c>
      <c r="M287">
        <v>328239523</v>
      </c>
    </row>
    <row r="288" spans="1:13" x14ac:dyDescent="0.3">
      <c r="A288">
        <v>287</v>
      </c>
      <c r="B288" t="s">
        <v>321</v>
      </c>
      <c r="C288">
        <v>17500000</v>
      </c>
      <c r="D288">
        <v>7612385622</v>
      </c>
      <c r="E288" t="s">
        <v>988</v>
      </c>
      <c r="F288">
        <v>149</v>
      </c>
      <c r="G288" t="s">
        <v>978</v>
      </c>
      <c r="H288" t="s">
        <v>1302</v>
      </c>
      <c r="I288">
        <v>5300000</v>
      </c>
      <c r="J288">
        <v>2017</v>
      </c>
      <c r="K288">
        <v>9</v>
      </c>
      <c r="L288">
        <v>27</v>
      </c>
      <c r="M288">
        <v>1366417754</v>
      </c>
    </row>
    <row r="289" spans="1:13" x14ac:dyDescent="0.3">
      <c r="A289">
        <v>288</v>
      </c>
      <c r="B289" t="s">
        <v>640</v>
      </c>
      <c r="C289">
        <v>16500000</v>
      </c>
      <c r="D289">
        <v>7406207930</v>
      </c>
      <c r="E289" t="s">
        <v>988</v>
      </c>
      <c r="F289">
        <v>735</v>
      </c>
      <c r="G289" t="s">
        <v>984</v>
      </c>
      <c r="H289" t="s">
        <v>1303</v>
      </c>
      <c r="I289">
        <v>1200000</v>
      </c>
      <c r="J289">
        <v>2016</v>
      </c>
      <c r="K289">
        <v>5</v>
      </c>
      <c r="L289">
        <v>31</v>
      </c>
      <c r="M289">
        <v>328239523</v>
      </c>
    </row>
    <row r="290" spans="1:13" x14ac:dyDescent="0.3">
      <c r="A290">
        <v>289</v>
      </c>
      <c r="B290" t="s">
        <v>1282</v>
      </c>
      <c r="C290">
        <v>12700000</v>
      </c>
      <c r="D290">
        <v>9927699419</v>
      </c>
      <c r="E290" t="s">
        <v>977</v>
      </c>
      <c r="F290">
        <v>119</v>
      </c>
      <c r="G290" t="s">
        <v>984</v>
      </c>
      <c r="H290" t="s">
        <v>1303</v>
      </c>
      <c r="I290">
        <v>22700</v>
      </c>
      <c r="J290">
        <v>2020</v>
      </c>
      <c r="K290">
        <v>11</v>
      </c>
      <c r="L290">
        <v>7</v>
      </c>
      <c r="M290">
        <v>328239523</v>
      </c>
    </row>
    <row r="291" spans="1:13" x14ac:dyDescent="0.3">
      <c r="A291">
        <v>290</v>
      </c>
      <c r="B291" t="s">
        <v>1193</v>
      </c>
      <c r="C291">
        <v>17000000</v>
      </c>
      <c r="D291">
        <v>8229883114</v>
      </c>
      <c r="E291" t="s">
        <v>988</v>
      </c>
      <c r="F291">
        <v>1</v>
      </c>
      <c r="G291" t="s">
        <v>1294</v>
      </c>
      <c r="H291" t="s">
        <v>1294</v>
      </c>
      <c r="I291">
        <v>0</v>
      </c>
      <c r="J291">
        <v>2008</v>
      </c>
      <c r="K291">
        <v>8</v>
      </c>
      <c r="L291">
        <v>21</v>
      </c>
      <c r="M291" t="s">
        <v>1294</v>
      </c>
    </row>
    <row r="292" spans="1:13" x14ac:dyDescent="0.3">
      <c r="A292">
        <v>291</v>
      </c>
      <c r="B292" t="s">
        <v>81</v>
      </c>
      <c r="C292">
        <v>33800000</v>
      </c>
      <c r="D292">
        <v>27274550757</v>
      </c>
      <c r="E292" t="s">
        <v>982</v>
      </c>
      <c r="F292">
        <v>66</v>
      </c>
      <c r="G292" t="s">
        <v>1019</v>
      </c>
      <c r="H292" t="s">
        <v>1305</v>
      </c>
      <c r="I292">
        <v>19400000</v>
      </c>
      <c r="J292">
        <v>2006</v>
      </c>
      <c r="K292">
        <v>8</v>
      </c>
      <c r="L292">
        <v>30</v>
      </c>
      <c r="M292">
        <v>212559417</v>
      </c>
    </row>
    <row r="293" spans="1:13" x14ac:dyDescent="0.3">
      <c r="A293">
        <v>292</v>
      </c>
      <c r="B293" t="s">
        <v>424</v>
      </c>
      <c r="C293">
        <v>14000000</v>
      </c>
      <c r="D293">
        <v>9660950823</v>
      </c>
      <c r="E293" t="s">
        <v>977</v>
      </c>
      <c r="F293">
        <v>62</v>
      </c>
      <c r="G293" t="s">
        <v>1058</v>
      </c>
      <c r="H293" t="s">
        <v>1305</v>
      </c>
      <c r="I293">
        <v>3400000</v>
      </c>
      <c r="J293">
        <v>2011</v>
      </c>
      <c r="K293">
        <v>8</v>
      </c>
      <c r="L293">
        <v>2</v>
      </c>
      <c r="M293">
        <v>126014024</v>
      </c>
    </row>
    <row r="294" spans="1:13" x14ac:dyDescent="0.3">
      <c r="A294">
        <v>293</v>
      </c>
      <c r="B294" t="s">
        <v>996</v>
      </c>
      <c r="C294">
        <v>93600000</v>
      </c>
      <c r="D294">
        <v>0</v>
      </c>
      <c r="E294" t="s">
        <v>1294</v>
      </c>
      <c r="F294">
        <v>0</v>
      </c>
      <c r="G294" t="s">
        <v>1294</v>
      </c>
      <c r="H294" t="s">
        <v>1294</v>
      </c>
      <c r="I294">
        <v>0</v>
      </c>
      <c r="J294">
        <v>2013</v>
      </c>
      <c r="K294">
        <v>12</v>
      </c>
      <c r="L294">
        <v>15</v>
      </c>
      <c r="M294" t="s">
        <v>1294</v>
      </c>
    </row>
    <row r="295" spans="1:13" x14ac:dyDescent="0.3">
      <c r="A295">
        <v>294</v>
      </c>
      <c r="B295" t="s">
        <v>534</v>
      </c>
      <c r="C295">
        <v>16800000</v>
      </c>
      <c r="D295">
        <v>3693798804</v>
      </c>
      <c r="E295" t="s">
        <v>982</v>
      </c>
      <c r="F295">
        <v>1491</v>
      </c>
      <c r="G295" t="s">
        <v>1019</v>
      </c>
      <c r="H295" t="s">
        <v>1305</v>
      </c>
      <c r="I295">
        <v>2100000</v>
      </c>
      <c r="J295">
        <v>2013</v>
      </c>
      <c r="K295">
        <v>4</v>
      </c>
      <c r="L295">
        <v>2</v>
      </c>
      <c r="M295">
        <v>212559417</v>
      </c>
    </row>
    <row r="296" spans="1:13" x14ac:dyDescent="0.3">
      <c r="A296">
        <v>295</v>
      </c>
      <c r="B296" t="s">
        <v>338</v>
      </c>
      <c r="C296">
        <v>34300000</v>
      </c>
      <c r="D296">
        <v>12746535822</v>
      </c>
      <c r="E296" t="s">
        <v>977</v>
      </c>
      <c r="F296">
        <v>679</v>
      </c>
      <c r="G296" t="s">
        <v>978</v>
      </c>
      <c r="H296" t="s">
        <v>1302</v>
      </c>
      <c r="I296">
        <v>4900000</v>
      </c>
      <c r="J296">
        <v>2016</v>
      </c>
      <c r="K296">
        <v>10</v>
      </c>
      <c r="L296">
        <v>22</v>
      </c>
      <c r="M296">
        <v>1366417754</v>
      </c>
    </row>
    <row r="297" spans="1:13" x14ac:dyDescent="0.3">
      <c r="A297">
        <v>296</v>
      </c>
      <c r="B297" t="s">
        <v>625</v>
      </c>
      <c r="C297">
        <v>18100000</v>
      </c>
      <c r="D297">
        <v>3306242674</v>
      </c>
      <c r="E297" t="s">
        <v>988</v>
      </c>
      <c r="F297">
        <v>1037</v>
      </c>
      <c r="G297" t="s">
        <v>1081</v>
      </c>
      <c r="H297" t="s">
        <v>1302</v>
      </c>
      <c r="I297">
        <v>1300000</v>
      </c>
      <c r="J297">
        <v>2015</v>
      </c>
      <c r="K297">
        <v>3</v>
      </c>
      <c r="L297">
        <v>4</v>
      </c>
      <c r="M297">
        <v>270203917</v>
      </c>
    </row>
    <row r="298" spans="1:13" x14ac:dyDescent="0.3">
      <c r="A298">
        <v>297</v>
      </c>
      <c r="B298" t="s">
        <v>1078</v>
      </c>
      <c r="C298">
        <v>34900000</v>
      </c>
      <c r="D298">
        <v>25607397308</v>
      </c>
      <c r="E298" t="s">
        <v>990</v>
      </c>
      <c r="F298">
        <v>617</v>
      </c>
      <c r="G298" t="s">
        <v>984</v>
      </c>
      <c r="H298" t="s">
        <v>1303</v>
      </c>
      <c r="I298">
        <v>16100000</v>
      </c>
      <c r="J298">
        <v>2016</v>
      </c>
      <c r="K298">
        <v>1</v>
      </c>
      <c r="L298">
        <v>6</v>
      </c>
      <c r="M298">
        <v>328239523</v>
      </c>
    </row>
    <row r="299" spans="1:13" x14ac:dyDescent="0.3">
      <c r="A299">
        <v>298</v>
      </c>
      <c r="B299" t="s">
        <v>592</v>
      </c>
      <c r="C299">
        <v>31800000</v>
      </c>
      <c r="D299">
        <v>6762424690</v>
      </c>
      <c r="E299" t="s">
        <v>1011</v>
      </c>
      <c r="F299">
        <v>6734</v>
      </c>
      <c r="G299" t="s">
        <v>1058</v>
      </c>
      <c r="H299" t="s">
        <v>1305</v>
      </c>
      <c r="I299">
        <v>1500000</v>
      </c>
      <c r="J299">
        <v>2017</v>
      </c>
      <c r="K299">
        <v>6</v>
      </c>
      <c r="L299">
        <v>1</v>
      </c>
      <c r="M299">
        <v>126014024</v>
      </c>
    </row>
    <row r="300" spans="1:13" x14ac:dyDescent="0.3">
      <c r="A300">
        <v>299</v>
      </c>
      <c r="B300" t="s">
        <v>396</v>
      </c>
      <c r="C300">
        <v>15400000</v>
      </c>
      <c r="D300">
        <v>14564170905</v>
      </c>
      <c r="E300" t="s">
        <v>977</v>
      </c>
      <c r="F300">
        <v>1725</v>
      </c>
      <c r="G300" t="s">
        <v>1048</v>
      </c>
      <c r="H300" t="s">
        <v>1302</v>
      </c>
      <c r="I300">
        <v>4000000</v>
      </c>
      <c r="J300">
        <v>2008</v>
      </c>
      <c r="K300">
        <v>3</v>
      </c>
      <c r="L300">
        <v>9</v>
      </c>
      <c r="M300">
        <v>69625582</v>
      </c>
    </row>
    <row r="301" spans="1:13" x14ac:dyDescent="0.3">
      <c r="A301">
        <v>300</v>
      </c>
      <c r="B301" t="s">
        <v>345</v>
      </c>
      <c r="C301">
        <v>13800000</v>
      </c>
      <c r="D301">
        <v>5727888539</v>
      </c>
      <c r="E301" t="s">
        <v>1026</v>
      </c>
      <c r="F301">
        <v>190093</v>
      </c>
      <c r="G301" t="s">
        <v>1041</v>
      </c>
      <c r="H301" t="s">
        <v>1302</v>
      </c>
      <c r="I301">
        <v>4800000</v>
      </c>
      <c r="J301">
        <v>2007</v>
      </c>
      <c r="K301">
        <v>1</v>
      </c>
      <c r="L301">
        <v>10</v>
      </c>
      <c r="M301">
        <v>216565318</v>
      </c>
    </row>
    <row r="302" spans="1:13" x14ac:dyDescent="0.3">
      <c r="A302">
        <v>301</v>
      </c>
      <c r="B302" t="s">
        <v>122</v>
      </c>
      <c r="C302">
        <v>47500000</v>
      </c>
      <c r="D302">
        <v>30788679536</v>
      </c>
      <c r="E302" t="s">
        <v>988</v>
      </c>
      <c r="F302">
        <v>3322</v>
      </c>
      <c r="G302" t="s">
        <v>1000</v>
      </c>
      <c r="H302" t="s">
        <v>1302</v>
      </c>
      <c r="I302">
        <v>14700000</v>
      </c>
      <c r="J302">
        <v>2006</v>
      </c>
      <c r="K302">
        <v>12</v>
      </c>
      <c r="L302">
        <v>16</v>
      </c>
      <c r="M302">
        <v>144373535</v>
      </c>
    </row>
    <row r="303" spans="1:13" x14ac:dyDescent="0.3">
      <c r="A303">
        <v>302</v>
      </c>
      <c r="B303" t="s">
        <v>21</v>
      </c>
      <c r="C303">
        <v>13000000</v>
      </c>
      <c r="D303">
        <v>8739174649</v>
      </c>
      <c r="E303" t="s">
        <v>996</v>
      </c>
      <c r="F303">
        <v>510</v>
      </c>
      <c r="G303" t="s">
        <v>1006</v>
      </c>
      <c r="H303" t="s">
        <v>1302</v>
      </c>
      <c r="I303">
        <v>51900000</v>
      </c>
      <c r="J303">
        <v>2020</v>
      </c>
      <c r="K303">
        <v>7</v>
      </c>
      <c r="L303">
        <v>7</v>
      </c>
      <c r="M303">
        <v>51709098</v>
      </c>
    </row>
    <row r="304" spans="1:13" x14ac:dyDescent="0.3">
      <c r="A304">
        <v>303</v>
      </c>
      <c r="B304" t="s">
        <v>727</v>
      </c>
      <c r="C304">
        <v>12400000</v>
      </c>
      <c r="D304">
        <v>2862685032</v>
      </c>
      <c r="E304" t="s">
        <v>994</v>
      </c>
      <c r="F304">
        <v>226</v>
      </c>
      <c r="G304" t="s">
        <v>1058</v>
      </c>
      <c r="H304" t="s">
        <v>1305</v>
      </c>
      <c r="I304">
        <v>493300</v>
      </c>
      <c r="J304">
        <v>2014</v>
      </c>
      <c r="K304">
        <v>8</v>
      </c>
      <c r="L304">
        <v>30</v>
      </c>
      <c r="M304">
        <v>126014024</v>
      </c>
    </row>
    <row r="305" spans="1:13" x14ac:dyDescent="0.3">
      <c r="A305">
        <v>304</v>
      </c>
      <c r="B305" t="s">
        <v>31</v>
      </c>
      <c r="C305">
        <v>31900000</v>
      </c>
      <c r="D305">
        <v>19428308461</v>
      </c>
      <c r="E305" t="s">
        <v>988</v>
      </c>
      <c r="F305">
        <v>93311</v>
      </c>
      <c r="G305" t="s">
        <v>1045</v>
      </c>
      <c r="H305" t="s">
        <v>1302</v>
      </c>
      <c r="I305">
        <v>38300000</v>
      </c>
      <c r="J305">
        <v>2006</v>
      </c>
      <c r="K305">
        <v>11</v>
      </c>
      <c r="L305">
        <v>20</v>
      </c>
      <c r="M305">
        <v>108116615</v>
      </c>
    </row>
    <row r="306" spans="1:13" x14ac:dyDescent="0.3">
      <c r="A306">
        <v>305</v>
      </c>
      <c r="B306" t="s">
        <v>304</v>
      </c>
      <c r="C306">
        <v>13400000</v>
      </c>
      <c r="D306">
        <v>9569814790</v>
      </c>
      <c r="E306" t="s">
        <v>1026</v>
      </c>
      <c r="F306">
        <v>296272</v>
      </c>
      <c r="G306" t="s">
        <v>1045</v>
      </c>
      <c r="H306" t="s">
        <v>1302</v>
      </c>
      <c r="I306">
        <v>5500000</v>
      </c>
      <c r="J306">
        <v>2007</v>
      </c>
      <c r="K306">
        <v>10</v>
      </c>
      <c r="L306">
        <v>29</v>
      </c>
      <c r="M306">
        <v>108116615</v>
      </c>
    </row>
    <row r="307" spans="1:13" x14ac:dyDescent="0.3">
      <c r="A307">
        <v>306</v>
      </c>
      <c r="B307" t="s">
        <v>257</v>
      </c>
      <c r="C307">
        <v>21200000</v>
      </c>
      <c r="D307">
        <v>11364908616</v>
      </c>
      <c r="E307" t="s">
        <v>988</v>
      </c>
      <c r="F307">
        <v>31989</v>
      </c>
      <c r="G307" t="s">
        <v>1045</v>
      </c>
      <c r="H307" t="s">
        <v>1302</v>
      </c>
      <c r="I307">
        <v>6800000</v>
      </c>
      <c r="J307">
        <v>2009</v>
      </c>
      <c r="K307">
        <v>8</v>
      </c>
      <c r="L307">
        <v>8</v>
      </c>
      <c r="M307">
        <v>108116615</v>
      </c>
    </row>
    <row r="308" spans="1:13" x14ac:dyDescent="0.3">
      <c r="A308">
        <v>307</v>
      </c>
      <c r="B308" t="s">
        <v>280</v>
      </c>
      <c r="C308">
        <v>23100000</v>
      </c>
      <c r="D308">
        <v>25579831081</v>
      </c>
      <c r="E308" t="s">
        <v>977</v>
      </c>
      <c r="F308">
        <v>15462</v>
      </c>
      <c r="G308" t="s">
        <v>1048</v>
      </c>
      <c r="H308" t="s">
        <v>1302</v>
      </c>
      <c r="I308">
        <v>6300000</v>
      </c>
      <c r="J308">
        <v>2010</v>
      </c>
      <c r="K308">
        <v>11</v>
      </c>
      <c r="L308">
        <v>8</v>
      </c>
      <c r="M308">
        <v>69625582</v>
      </c>
    </row>
    <row r="309" spans="1:13" x14ac:dyDescent="0.3">
      <c r="A309">
        <v>308</v>
      </c>
      <c r="B309" t="s">
        <v>517</v>
      </c>
      <c r="C309">
        <v>14500000</v>
      </c>
      <c r="D309">
        <v>9383692066</v>
      </c>
      <c r="E309" t="s">
        <v>988</v>
      </c>
      <c r="F309">
        <v>68606</v>
      </c>
      <c r="G309" t="s">
        <v>1048</v>
      </c>
      <c r="H309" t="s">
        <v>1302</v>
      </c>
      <c r="I309">
        <v>2200000</v>
      </c>
      <c r="J309">
        <v>2011</v>
      </c>
      <c r="K309">
        <v>6</v>
      </c>
      <c r="L309">
        <v>8</v>
      </c>
      <c r="M309">
        <v>69625582</v>
      </c>
    </row>
    <row r="310" spans="1:13" x14ac:dyDescent="0.3">
      <c r="A310">
        <v>309</v>
      </c>
      <c r="B310" t="s">
        <v>206</v>
      </c>
      <c r="C310">
        <v>16400000</v>
      </c>
      <c r="D310">
        <v>12844432341</v>
      </c>
      <c r="E310" t="s">
        <v>988</v>
      </c>
      <c r="F310">
        <v>23952</v>
      </c>
      <c r="G310" t="s">
        <v>1048</v>
      </c>
      <c r="H310" t="s">
        <v>1302</v>
      </c>
      <c r="I310">
        <v>8700000</v>
      </c>
      <c r="J310">
        <v>2010</v>
      </c>
      <c r="K310">
        <v>9</v>
      </c>
      <c r="L310">
        <v>13</v>
      </c>
      <c r="M310">
        <v>69625582</v>
      </c>
    </row>
    <row r="311" spans="1:13" x14ac:dyDescent="0.3">
      <c r="A311">
        <v>310</v>
      </c>
      <c r="B311" t="s">
        <v>112</v>
      </c>
      <c r="C311">
        <v>12700000</v>
      </c>
      <c r="D311">
        <v>1714955279</v>
      </c>
      <c r="E311" t="s">
        <v>994</v>
      </c>
      <c r="F311">
        <v>252</v>
      </c>
      <c r="G311" t="s">
        <v>1051</v>
      </c>
      <c r="H311" t="s">
        <v>1305</v>
      </c>
      <c r="I311">
        <v>15700000</v>
      </c>
      <c r="J311">
        <v>2015</v>
      </c>
      <c r="K311">
        <v>12</v>
      </c>
      <c r="L311">
        <v>3</v>
      </c>
      <c r="M311">
        <v>50339443</v>
      </c>
    </row>
    <row r="312" spans="1:13" x14ac:dyDescent="0.3">
      <c r="A312">
        <v>311</v>
      </c>
      <c r="B312" t="s">
        <v>1009</v>
      </c>
      <c r="C312">
        <v>86900000</v>
      </c>
      <c r="D312">
        <v>24118230580</v>
      </c>
      <c r="E312" t="s">
        <v>982</v>
      </c>
      <c r="F312">
        <v>1</v>
      </c>
      <c r="G312" t="s">
        <v>1294</v>
      </c>
      <c r="H312" t="s">
        <v>1294</v>
      </c>
      <c r="I312">
        <v>0.86</v>
      </c>
      <c r="J312">
        <v>2006</v>
      </c>
      <c r="K312">
        <v>8</v>
      </c>
      <c r="L312">
        <v>15</v>
      </c>
      <c r="M312" t="s">
        <v>1294</v>
      </c>
    </row>
    <row r="313" spans="1:13" x14ac:dyDescent="0.3">
      <c r="A313">
        <v>312</v>
      </c>
      <c r="B313" t="s">
        <v>344</v>
      </c>
      <c r="C313">
        <v>26400000</v>
      </c>
      <c r="D313">
        <v>8595760553</v>
      </c>
      <c r="E313" t="s">
        <v>982</v>
      </c>
      <c r="F313">
        <v>3622</v>
      </c>
      <c r="G313" t="s">
        <v>978</v>
      </c>
      <c r="H313" t="s">
        <v>1302</v>
      </c>
      <c r="I313">
        <v>4800000</v>
      </c>
      <c r="J313">
        <v>2015</v>
      </c>
      <c r="K313">
        <v>7</v>
      </c>
      <c r="L313">
        <v>22</v>
      </c>
      <c r="M313">
        <v>1366417754</v>
      </c>
    </row>
    <row r="314" spans="1:13" x14ac:dyDescent="0.3">
      <c r="A314">
        <v>313</v>
      </c>
      <c r="B314" t="s">
        <v>506</v>
      </c>
      <c r="C314">
        <v>22500000</v>
      </c>
      <c r="D314">
        <v>2431154438</v>
      </c>
      <c r="E314" t="s">
        <v>982</v>
      </c>
      <c r="F314">
        <v>3377</v>
      </c>
      <c r="G314" t="s">
        <v>978</v>
      </c>
      <c r="H314" t="s">
        <v>1302</v>
      </c>
      <c r="I314">
        <v>2300000</v>
      </c>
      <c r="J314">
        <v>2015</v>
      </c>
      <c r="K314">
        <v>9</v>
      </c>
      <c r="L314">
        <v>12</v>
      </c>
      <c r="M314">
        <v>1366417754</v>
      </c>
    </row>
    <row r="315" spans="1:13" x14ac:dyDescent="0.3">
      <c r="A315">
        <v>314</v>
      </c>
      <c r="B315" t="s">
        <v>286</v>
      </c>
      <c r="C315">
        <v>28000000</v>
      </c>
      <c r="D315">
        <v>8603468420</v>
      </c>
      <c r="E315" t="s">
        <v>982</v>
      </c>
      <c r="F315">
        <v>3878</v>
      </c>
      <c r="G315" t="s">
        <v>1294</v>
      </c>
      <c r="H315" t="s">
        <v>1294</v>
      </c>
      <c r="I315">
        <v>6200000</v>
      </c>
      <c r="J315">
        <v>2016</v>
      </c>
      <c r="K315">
        <v>11</v>
      </c>
      <c r="L315">
        <v>26</v>
      </c>
      <c r="M315" t="s">
        <v>1294</v>
      </c>
    </row>
    <row r="316" spans="1:13" x14ac:dyDescent="0.3">
      <c r="A316">
        <v>315</v>
      </c>
      <c r="B316" t="s">
        <v>29</v>
      </c>
      <c r="C316">
        <v>38300000</v>
      </c>
      <c r="D316">
        <v>16718192386</v>
      </c>
      <c r="E316" t="s">
        <v>977</v>
      </c>
      <c r="F316">
        <v>3532</v>
      </c>
      <c r="G316" t="s">
        <v>978</v>
      </c>
      <c r="H316" t="s">
        <v>1302</v>
      </c>
      <c r="I316">
        <v>39100000</v>
      </c>
      <c r="J316">
        <v>2015</v>
      </c>
      <c r="K316">
        <v>8</v>
      </c>
      <c r="L316">
        <v>24</v>
      </c>
      <c r="M316">
        <v>1366417754</v>
      </c>
    </row>
    <row r="317" spans="1:13" x14ac:dyDescent="0.3">
      <c r="A317">
        <v>316</v>
      </c>
      <c r="B317" t="s">
        <v>434</v>
      </c>
      <c r="C317">
        <v>19100000</v>
      </c>
      <c r="D317">
        <v>5194942269</v>
      </c>
      <c r="E317" t="s">
        <v>982</v>
      </c>
      <c r="F317">
        <v>2948</v>
      </c>
      <c r="G317" t="s">
        <v>1294</v>
      </c>
      <c r="H317" t="s">
        <v>1294</v>
      </c>
      <c r="I317">
        <v>3200000</v>
      </c>
      <c r="J317">
        <v>2016</v>
      </c>
      <c r="K317">
        <v>8</v>
      </c>
      <c r="L317">
        <v>29</v>
      </c>
      <c r="M317" t="s">
        <v>1294</v>
      </c>
    </row>
    <row r="318" spans="1:13" x14ac:dyDescent="0.3">
      <c r="A318">
        <v>317</v>
      </c>
      <c r="B318" t="s">
        <v>560</v>
      </c>
      <c r="C318">
        <v>13700000</v>
      </c>
      <c r="D318">
        <v>1973638757</v>
      </c>
      <c r="E318" t="s">
        <v>988</v>
      </c>
      <c r="F318">
        <v>975</v>
      </c>
      <c r="G318" t="s">
        <v>978</v>
      </c>
      <c r="H318" t="s">
        <v>1302</v>
      </c>
      <c r="I318">
        <v>1800000</v>
      </c>
      <c r="J318">
        <v>2013</v>
      </c>
      <c r="K318">
        <v>10</v>
      </c>
      <c r="L318">
        <v>12</v>
      </c>
      <c r="M318">
        <v>1366417754</v>
      </c>
    </row>
    <row r="319" spans="1:13" x14ac:dyDescent="0.3">
      <c r="A319">
        <v>318</v>
      </c>
      <c r="B319" t="s">
        <v>552</v>
      </c>
      <c r="C319">
        <v>20000000</v>
      </c>
      <c r="D319">
        <v>3875172235</v>
      </c>
      <c r="E319" t="s">
        <v>988</v>
      </c>
      <c r="F319">
        <v>1527</v>
      </c>
      <c r="G319" t="s">
        <v>1013</v>
      </c>
      <c r="H319" t="s">
        <v>1304</v>
      </c>
      <c r="I319">
        <v>1900000</v>
      </c>
      <c r="J319">
        <v>2006</v>
      </c>
      <c r="K319">
        <v>4</v>
      </c>
      <c r="L319">
        <v>29</v>
      </c>
      <c r="M319">
        <v>66834405</v>
      </c>
    </row>
    <row r="320" spans="1:13" x14ac:dyDescent="0.3">
      <c r="A320">
        <v>319</v>
      </c>
      <c r="B320" t="s">
        <v>388</v>
      </c>
      <c r="C320">
        <v>20300000</v>
      </c>
      <c r="D320">
        <v>2441288701</v>
      </c>
      <c r="E320" t="s">
        <v>988</v>
      </c>
      <c r="F320">
        <v>1245</v>
      </c>
      <c r="G320" t="s">
        <v>1013</v>
      </c>
      <c r="H320" t="s">
        <v>1304</v>
      </c>
      <c r="I320">
        <v>4100000</v>
      </c>
      <c r="J320">
        <v>2013</v>
      </c>
      <c r="K320">
        <v>1</v>
      </c>
      <c r="L320">
        <v>31</v>
      </c>
      <c r="M320">
        <v>66834405</v>
      </c>
    </row>
    <row r="321" spans="1:13" x14ac:dyDescent="0.3">
      <c r="A321">
        <v>320</v>
      </c>
      <c r="B321" t="s">
        <v>8</v>
      </c>
      <c r="C321">
        <v>38900000</v>
      </c>
      <c r="D321">
        <v>25154232306</v>
      </c>
      <c r="E321" t="s">
        <v>977</v>
      </c>
      <c r="F321">
        <v>3043</v>
      </c>
      <c r="G321" t="s">
        <v>1019</v>
      </c>
      <c r="H321" t="s">
        <v>1305</v>
      </c>
      <c r="I321">
        <v>78500000</v>
      </c>
      <c r="J321">
        <v>2014</v>
      </c>
      <c r="K321">
        <v>8</v>
      </c>
      <c r="L321">
        <v>5</v>
      </c>
      <c r="M321">
        <v>212559417</v>
      </c>
    </row>
    <row r="322" spans="1:13" x14ac:dyDescent="0.3">
      <c r="A322">
        <v>321</v>
      </c>
      <c r="B322" t="s">
        <v>224</v>
      </c>
      <c r="C322">
        <v>18600000</v>
      </c>
      <c r="D322">
        <v>20196704276</v>
      </c>
      <c r="E322" t="s">
        <v>977</v>
      </c>
      <c r="F322">
        <v>6287</v>
      </c>
      <c r="G322" t="s">
        <v>1048</v>
      </c>
      <c r="H322" t="s">
        <v>1302</v>
      </c>
      <c r="I322">
        <v>8100000</v>
      </c>
      <c r="J322">
        <v>2014</v>
      </c>
      <c r="K322">
        <v>1</v>
      </c>
      <c r="L322">
        <v>15</v>
      </c>
      <c r="M322">
        <v>69625582</v>
      </c>
    </row>
    <row r="323" spans="1:13" x14ac:dyDescent="0.3">
      <c r="A323">
        <v>322</v>
      </c>
      <c r="B323" t="s">
        <v>901</v>
      </c>
      <c r="C323">
        <v>20000000</v>
      </c>
      <c r="D323">
        <v>9715291883</v>
      </c>
      <c r="E323" t="s">
        <v>982</v>
      </c>
      <c r="F323">
        <v>1476</v>
      </c>
      <c r="G323" t="s">
        <v>978</v>
      </c>
      <c r="H323" t="s">
        <v>1302</v>
      </c>
      <c r="I323">
        <v>0</v>
      </c>
      <c r="J323">
        <v>2011</v>
      </c>
      <c r="K323">
        <v>7</v>
      </c>
      <c r="L323">
        <v>1</v>
      </c>
      <c r="M323">
        <v>1366417754</v>
      </c>
    </row>
    <row r="324" spans="1:13" x14ac:dyDescent="0.3">
      <c r="A324">
        <v>323</v>
      </c>
      <c r="B324" t="s">
        <v>720</v>
      </c>
      <c r="C324">
        <v>16900000</v>
      </c>
      <c r="D324">
        <v>9111000228</v>
      </c>
      <c r="E324" t="s">
        <v>996</v>
      </c>
      <c r="F324">
        <v>1910</v>
      </c>
      <c r="G324" t="s">
        <v>984</v>
      </c>
      <c r="H324" t="s">
        <v>1303</v>
      </c>
      <c r="I324">
        <v>522600</v>
      </c>
      <c r="J324">
        <v>2006</v>
      </c>
      <c r="K324">
        <v>7</v>
      </c>
      <c r="L324">
        <v>18</v>
      </c>
      <c r="M324">
        <v>328239523</v>
      </c>
    </row>
    <row r="325" spans="1:13" x14ac:dyDescent="0.3">
      <c r="A325">
        <v>324</v>
      </c>
      <c r="B325" t="s">
        <v>58</v>
      </c>
      <c r="C325">
        <v>27100000</v>
      </c>
      <c r="D325">
        <v>12732444881</v>
      </c>
      <c r="E325" t="s">
        <v>1011</v>
      </c>
      <c r="F325">
        <v>545</v>
      </c>
      <c r="G325" t="s">
        <v>1294</v>
      </c>
      <c r="H325" t="s">
        <v>1294</v>
      </c>
      <c r="I325">
        <v>24100000</v>
      </c>
      <c r="J325">
        <v>2018</v>
      </c>
      <c r="K325">
        <v>4</v>
      </c>
      <c r="L325">
        <v>9</v>
      </c>
      <c r="M325" t="s">
        <v>1294</v>
      </c>
    </row>
    <row r="326" spans="1:13" x14ac:dyDescent="0.3">
      <c r="A326">
        <v>325</v>
      </c>
      <c r="B326" t="s">
        <v>1289</v>
      </c>
      <c r="C326">
        <v>12400000</v>
      </c>
      <c r="D326">
        <v>2602614088</v>
      </c>
      <c r="E326" t="s">
        <v>1044</v>
      </c>
      <c r="F326">
        <v>9</v>
      </c>
      <c r="G326" t="s">
        <v>1019</v>
      </c>
      <c r="H326" t="s">
        <v>1305</v>
      </c>
      <c r="I326">
        <v>0</v>
      </c>
      <c r="J326">
        <v>2010</v>
      </c>
      <c r="K326">
        <v>8</v>
      </c>
      <c r="L326">
        <v>24</v>
      </c>
      <c r="M326">
        <v>212559417</v>
      </c>
    </row>
    <row r="327" spans="1:13" x14ac:dyDescent="0.3">
      <c r="A327">
        <v>326</v>
      </c>
      <c r="B327" t="s">
        <v>176</v>
      </c>
      <c r="C327">
        <v>19900000</v>
      </c>
      <c r="D327">
        <v>13917423958</v>
      </c>
      <c r="E327" t="s">
        <v>977</v>
      </c>
      <c r="F327">
        <v>416</v>
      </c>
      <c r="G327" t="s">
        <v>1019</v>
      </c>
      <c r="H327" t="s">
        <v>1305</v>
      </c>
      <c r="I327">
        <v>10300000</v>
      </c>
      <c r="J327">
        <v>2010</v>
      </c>
      <c r="K327">
        <v>11</v>
      </c>
      <c r="L327">
        <v>9</v>
      </c>
      <c r="M327">
        <v>212559417</v>
      </c>
    </row>
    <row r="328" spans="1:13" x14ac:dyDescent="0.3">
      <c r="A328">
        <v>327</v>
      </c>
      <c r="B328" t="s">
        <v>698</v>
      </c>
      <c r="C328">
        <v>14400000</v>
      </c>
      <c r="D328">
        <v>2224121890</v>
      </c>
      <c r="E328" t="s">
        <v>996</v>
      </c>
      <c r="F328">
        <v>3086</v>
      </c>
      <c r="G328" t="s">
        <v>978</v>
      </c>
      <c r="H328" t="s">
        <v>1302</v>
      </c>
      <c r="I328">
        <v>666800</v>
      </c>
      <c r="J328">
        <v>2017</v>
      </c>
      <c r="K328">
        <v>9</v>
      </c>
      <c r="L328">
        <v>1</v>
      </c>
      <c r="M328">
        <v>1366417754</v>
      </c>
    </row>
    <row r="329" spans="1:13" x14ac:dyDescent="0.3">
      <c r="A329">
        <v>328</v>
      </c>
      <c r="B329" t="s">
        <v>1223</v>
      </c>
      <c r="C329">
        <v>15000000</v>
      </c>
      <c r="D329">
        <v>7536093065</v>
      </c>
      <c r="E329" t="s">
        <v>1026</v>
      </c>
      <c r="F329">
        <v>206</v>
      </c>
      <c r="G329" t="s">
        <v>978</v>
      </c>
      <c r="H329" t="s">
        <v>1302</v>
      </c>
      <c r="I329">
        <v>48</v>
      </c>
      <c r="J329">
        <v>2018</v>
      </c>
      <c r="K329">
        <v>8</v>
      </c>
      <c r="L329">
        <v>16</v>
      </c>
      <c r="M329">
        <v>1366417754</v>
      </c>
    </row>
    <row r="330" spans="1:13" x14ac:dyDescent="0.3">
      <c r="A330">
        <v>329</v>
      </c>
      <c r="B330" t="s">
        <v>712</v>
      </c>
      <c r="C330">
        <v>12900000</v>
      </c>
      <c r="D330">
        <v>2509752944</v>
      </c>
      <c r="E330" t="s">
        <v>1004</v>
      </c>
      <c r="F330">
        <v>1572</v>
      </c>
      <c r="G330" t="s">
        <v>1065</v>
      </c>
      <c r="H330" t="s">
        <v>1304</v>
      </c>
      <c r="I330">
        <v>575700</v>
      </c>
      <c r="J330">
        <v>2010</v>
      </c>
      <c r="K330">
        <v>11</v>
      </c>
      <c r="L330">
        <v>1</v>
      </c>
      <c r="M330">
        <v>47076781</v>
      </c>
    </row>
    <row r="331" spans="1:13" x14ac:dyDescent="0.3">
      <c r="A331">
        <v>330</v>
      </c>
      <c r="B331" t="s">
        <v>678</v>
      </c>
      <c r="C331">
        <v>13400000</v>
      </c>
      <c r="D331">
        <v>4356686216</v>
      </c>
      <c r="E331" t="s">
        <v>996</v>
      </c>
      <c r="F331">
        <v>3727</v>
      </c>
      <c r="G331" t="s">
        <v>984</v>
      </c>
      <c r="H331" t="s">
        <v>1303</v>
      </c>
      <c r="I331">
        <v>805700</v>
      </c>
      <c r="J331">
        <v>2007</v>
      </c>
      <c r="K331">
        <v>5</v>
      </c>
      <c r="L331">
        <v>24</v>
      </c>
      <c r="M331">
        <v>328239523</v>
      </c>
    </row>
    <row r="332" spans="1:13" x14ac:dyDescent="0.3">
      <c r="A332">
        <v>331</v>
      </c>
      <c r="B332" t="s">
        <v>394</v>
      </c>
      <c r="C332">
        <v>13800000</v>
      </c>
      <c r="D332">
        <v>1820559912</v>
      </c>
      <c r="E332" t="s">
        <v>1088</v>
      </c>
      <c r="F332">
        <v>887</v>
      </c>
      <c r="G332" t="s">
        <v>1017</v>
      </c>
      <c r="H332" t="s">
        <v>1303</v>
      </c>
      <c r="I332">
        <v>4000000</v>
      </c>
      <c r="J332">
        <v>2006</v>
      </c>
      <c r="K332">
        <v>4</v>
      </c>
      <c r="L332">
        <v>20</v>
      </c>
      <c r="M332">
        <v>36991981</v>
      </c>
    </row>
    <row r="333" spans="1:13" x14ac:dyDescent="0.3">
      <c r="A333">
        <v>332</v>
      </c>
      <c r="B333" t="s">
        <v>755</v>
      </c>
      <c r="C333">
        <v>19800000</v>
      </c>
      <c r="D333">
        <v>3234880084</v>
      </c>
      <c r="E333" t="s">
        <v>1088</v>
      </c>
      <c r="F333">
        <v>1411</v>
      </c>
      <c r="G333" t="s">
        <v>1130</v>
      </c>
      <c r="H333" t="s">
        <v>1304</v>
      </c>
      <c r="I333">
        <v>271200</v>
      </c>
      <c r="J333">
        <v>2011</v>
      </c>
      <c r="K333">
        <v>9</v>
      </c>
      <c r="L333">
        <v>6</v>
      </c>
      <c r="M333">
        <v>83132799</v>
      </c>
    </row>
    <row r="334" spans="1:13" x14ac:dyDescent="0.3">
      <c r="A334">
        <v>333</v>
      </c>
      <c r="B334" t="s">
        <v>909</v>
      </c>
      <c r="C334">
        <v>23200000</v>
      </c>
      <c r="D334">
        <v>2634</v>
      </c>
      <c r="E334" t="s">
        <v>1088</v>
      </c>
      <c r="F334">
        <v>1</v>
      </c>
      <c r="G334" t="s">
        <v>984</v>
      </c>
      <c r="H334" t="s">
        <v>1303</v>
      </c>
      <c r="I334">
        <v>0</v>
      </c>
      <c r="J334">
        <v>2016</v>
      </c>
      <c r="K334">
        <v>3</v>
      </c>
      <c r="L334">
        <v>15</v>
      </c>
      <c r="M334">
        <v>328239523</v>
      </c>
    </row>
    <row r="335" spans="1:13" x14ac:dyDescent="0.3">
      <c r="A335">
        <v>334</v>
      </c>
      <c r="B335" t="s">
        <v>14</v>
      </c>
      <c r="C335">
        <v>44600000</v>
      </c>
      <c r="D335">
        <v>41139050371</v>
      </c>
      <c r="E335" t="s">
        <v>988</v>
      </c>
      <c r="F335">
        <v>100755</v>
      </c>
      <c r="G335" t="s">
        <v>1041</v>
      </c>
      <c r="H335" t="s">
        <v>1302</v>
      </c>
      <c r="I335">
        <v>64200000</v>
      </c>
      <c r="J335">
        <v>2008</v>
      </c>
      <c r="K335">
        <v>1</v>
      </c>
      <c r="L335">
        <v>2</v>
      </c>
      <c r="M335">
        <v>216565318</v>
      </c>
    </row>
    <row r="336" spans="1:13" x14ac:dyDescent="0.3">
      <c r="A336">
        <v>335</v>
      </c>
      <c r="B336" t="s">
        <v>619</v>
      </c>
      <c r="C336">
        <v>15400000</v>
      </c>
      <c r="D336">
        <v>1781226000</v>
      </c>
      <c r="E336" t="s">
        <v>1044</v>
      </c>
      <c r="F336">
        <v>165</v>
      </c>
      <c r="G336" t="s">
        <v>978</v>
      </c>
      <c r="H336" t="s">
        <v>1302</v>
      </c>
      <c r="I336">
        <v>1300000</v>
      </c>
      <c r="J336">
        <v>2015</v>
      </c>
      <c r="K336">
        <v>5</v>
      </c>
      <c r="L336">
        <v>6</v>
      </c>
      <c r="M336">
        <v>1366417754</v>
      </c>
    </row>
    <row r="337" spans="1:13" x14ac:dyDescent="0.3">
      <c r="A337">
        <v>336</v>
      </c>
      <c r="B337" t="s">
        <v>783</v>
      </c>
      <c r="C337">
        <v>12500000</v>
      </c>
      <c r="D337">
        <v>1002219689</v>
      </c>
      <c r="E337" t="s">
        <v>1011</v>
      </c>
      <c r="F337">
        <v>1810</v>
      </c>
      <c r="G337" t="s">
        <v>978</v>
      </c>
      <c r="H337" t="s">
        <v>1302</v>
      </c>
      <c r="I337">
        <v>66900</v>
      </c>
      <c r="J337">
        <v>2016</v>
      </c>
      <c r="K337">
        <v>9</v>
      </c>
      <c r="L337">
        <v>25</v>
      </c>
      <c r="M337">
        <v>1366417754</v>
      </c>
    </row>
    <row r="338" spans="1:13" x14ac:dyDescent="0.3">
      <c r="A338">
        <v>337</v>
      </c>
      <c r="B338" t="s">
        <v>503</v>
      </c>
      <c r="C338">
        <v>14500000</v>
      </c>
      <c r="D338">
        <v>9201428420</v>
      </c>
      <c r="E338" t="s">
        <v>977</v>
      </c>
      <c r="F338">
        <v>39</v>
      </c>
      <c r="G338" t="s">
        <v>1294</v>
      </c>
      <c r="H338" t="s">
        <v>1294</v>
      </c>
      <c r="I338">
        <v>2300000</v>
      </c>
      <c r="J338">
        <v>2016</v>
      </c>
      <c r="K338">
        <v>2</v>
      </c>
      <c r="L338">
        <v>13</v>
      </c>
      <c r="M338" t="s">
        <v>1294</v>
      </c>
    </row>
    <row r="339" spans="1:13" x14ac:dyDescent="0.3">
      <c r="A339">
        <v>338</v>
      </c>
      <c r="B339" t="s">
        <v>735</v>
      </c>
      <c r="C339">
        <v>12400000</v>
      </c>
      <c r="D339">
        <v>4021409291</v>
      </c>
      <c r="E339" t="s">
        <v>988</v>
      </c>
      <c r="F339">
        <v>813</v>
      </c>
      <c r="G339" t="s">
        <v>1017</v>
      </c>
      <c r="H339" t="s">
        <v>1303</v>
      </c>
      <c r="I339">
        <v>460600</v>
      </c>
      <c r="J339">
        <v>2015</v>
      </c>
      <c r="K339">
        <v>11</v>
      </c>
      <c r="L339">
        <v>24</v>
      </c>
      <c r="M339">
        <v>36991981</v>
      </c>
    </row>
    <row r="340" spans="1:13" x14ac:dyDescent="0.3">
      <c r="A340">
        <v>339</v>
      </c>
      <c r="B340" t="s">
        <v>683</v>
      </c>
      <c r="C340">
        <v>12700000</v>
      </c>
      <c r="D340">
        <v>6001189018</v>
      </c>
      <c r="E340" t="s">
        <v>1294</v>
      </c>
      <c r="F340">
        <v>600</v>
      </c>
      <c r="G340" t="s">
        <v>984</v>
      </c>
      <c r="H340" t="s">
        <v>1303</v>
      </c>
      <c r="I340">
        <v>773600</v>
      </c>
      <c r="J340">
        <v>2019</v>
      </c>
      <c r="K340">
        <v>12</v>
      </c>
      <c r="L340">
        <v>2</v>
      </c>
      <c r="M340">
        <v>328239523</v>
      </c>
    </row>
    <row r="341" spans="1:13" x14ac:dyDescent="0.3">
      <c r="A341">
        <v>340</v>
      </c>
      <c r="B341" t="s">
        <v>228</v>
      </c>
      <c r="C341">
        <v>15500000</v>
      </c>
      <c r="D341">
        <v>14619523361</v>
      </c>
      <c r="E341" t="s">
        <v>977</v>
      </c>
      <c r="F341">
        <v>325</v>
      </c>
      <c r="G341" t="s">
        <v>1019</v>
      </c>
      <c r="H341" t="s">
        <v>1305</v>
      </c>
      <c r="I341">
        <v>7900000</v>
      </c>
      <c r="J341">
        <v>2009</v>
      </c>
      <c r="K341">
        <v>6</v>
      </c>
      <c r="L341">
        <v>27</v>
      </c>
      <c r="M341">
        <v>212559417</v>
      </c>
    </row>
    <row r="342" spans="1:13" x14ac:dyDescent="0.3">
      <c r="A342">
        <v>341</v>
      </c>
      <c r="B342" t="s">
        <v>654</v>
      </c>
      <c r="C342">
        <v>12400000</v>
      </c>
      <c r="D342">
        <v>1689090619</v>
      </c>
      <c r="E342" t="s">
        <v>994</v>
      </c>
      <c r="F342">
        <v>689</v>
      </c>
      <c r="G342" t="s">
        <v>1294</v>
      </c>
      <c r="H342" t="s">
        <v>1294</v>
      </c>
      <c r="I342">
        <v>1000000</v>
      </c>
      <c r="J342">
        <v>2017</v>
      </c>
      <c r="K342">
        <v>2</v>
      </c>
      <c r="L342">
        <v>22</v>
      </c>
      <c r="M342" t="s">
        <v>1294</v>
      </c>
    </row>
    <row r="343" spans="1:13" x14ac:dyDescent="0.3">
      <c r="A343">
        <v>342</v>
      </c>
      <c r="B343" t="s">
        <v>84</v>
      </c>
      <c r="C343">
        <v>22600000</v>
      </c>
      <c r="D343">
        <v>9223534599</v>
      </c>
      <c r="E343" t="s">
        <v>1044</v>
      </c>
      <c r="F343">
        <v>495</v>
      </c>
      <c r="G343" t="s">
        <v>978</v>
      </c>
      <c r="H343" t="s">
        <v>1302</v>
      </c>
      <c r="I343">
        <v>19200000</v>
      </c>
      <c r="J343">
        <v>2020</v>
      </c>
      <c r="K343">
        <v>6</v>
      </c>
      <c r="L343">
        <v>29</v>
      </c>
      <c r="M343">
        <v>1366417754</v>
      </c>
    </row>
    <row r="344" spans="1:13" x14ac:dyDescent="0.3">
      <c r="A344">
        <v>343</v>
      </c>
      <c r="B344" t="s">
        <v>638</v>
      </c>
      <c r="C344">
        <v>18900000</v>
      </c>
      <c r="D344">
        <v>2855519150</v>
      </c>
      <c r="E344" t="s">
        <v>994</v>
      </c>
      <c r="F344">
        <v>375</v>
      </c>
      <c r="G344" t="s">
        <v>1000</v>
      </c>
      <c r="H344" t="s">
        <v>1302</v>
      </c>
      <c r="I344">
        <v>1200000</v>
      </c>
      <c r="J344">
        <v>2014</v>
      </c>
      <c r="K344">
        <v>10</v>
      </c>
      <c r="L344">
        <v>16</v>
      </c>
      <c r="M344">
        <v>144373535</v>
      </c>
    </row>
    <row r="345" spans="1:13" x14ac:dyDescent="0.3">
      <c r="A345">
        <v>344</v>
      </c>
      <c r="B345" t="s">
        <v>1050</v>
      </c>
      <c r="C345">
        <v>43600000</v>
      </c>
      <c r="D345">
        <v>4831311245</v>
      </c>
      <c r="E345" t="s">
        <v>988</v>
      </c>
      <c r="F345">
        <v>6</v>
      </c>
      <c r="G345" t="s">
        <v>1294</v>
      </c>
      <c r="H345" t="s">
        <v>1294</v>
      </c>
      <c r="I345">
        <v>0.19</v>
      </c>
      <c r="J345">
        <v>2016</v>
      </c>
      <c r="K345">
        <v>5</v>
      </c>
      <c r="L345">
        <v>27</v>
      </c>
      <c r="M345" t="s">
        <v>1294</v>
      </c>
    </row>
    <row r="346" spans="1:13" x14ac:dyDescent="0.3">
      <c r="A346">
        <v>345</v>
      </c>
      <c r="B346" t="s">
        <v>1157</v>
      </c>
      <c r="C346">
        <v>20100000</v>
      </c>
      <c r="D346">
        <v>10366850490</v>
      </c>
      <c r="E346" t="s">
        <v>988</v>
      </c>
      <c r="F346">
        <v>0</v>
      </c>
      <c r="G346" t="s">
        <v>1294</v>
      </c>
      <c r="H346" t="s">
        <v>1294</v>
      </c>
      <c r="I346">
        <v>0</v>
      </c>
      <c r="J346">
        <v>2013</v>
      </c>
      <c r="K346">
        <v>3</v>
      </c>
      <c r="L346">
        <v>16</v>
      </c>
      <c r="M346" t="s">
        <v>1294</v>
      </c>
    </row>
    <row r="347" spans="1:13" x14ac:dyDescent="0.3">
      <c r="A347">
        <v>346</v>
      </c>
      <c r="B347" t="s">
        <v>1220</v>
      </c>
      <c r="C347">
        <v>15100000</v>
      </c>
      <c r="D347">
        <v>4967784343</v>
      </c>
      <c r="E347" t="s">
        <v>994</v>
      </c>
      <c r="F347">
        <v>1</v>
      </c>
      <c r="G347" t="s">
        <v>1294</v>
      </c>
      <c r="H347" t="s">
        <v>1294</v>
      </c>
      <c r="I347">
        <v>0</v>
      </c>
      <c r="J347">
        <v>2021</v>
      </c>
      <c r="K347">
        <v>3</v>
      </c>
      <c r="L347">
        <v>16</v>
      </c>
      <c r="M347" t="s">
        <v>1294</v>
      </c>
    </row>
    <row r="348" spans="1:13" x14ac:dyDescent="0.3">
      <c r="A348">
        <v>347</v>
      </c>
      <c r="B348" t="s">
        <v>89</v>
      </c>
      <c r="C348">
        <v>18000000</v>
      </c>
      <c r="D348">
        <v>9601137077</v>
      </c>
      <c r="E348" t="s">
        <v>1004</v>
      </c>
      <c r="F348">
        <v>650</v>
      </c>
      <c r="G348" t="s">
        <v>1114</v>
      </c>
      <c r="H348" t="s">
        <v>1114</v>
      </c>
      <c r="I348">
        <v>18800000</v>
      </c>
      <c r="J348">
        <v>2009</v>
      </c>
      <c r="K348">
        <v>9</v>
      </c>
      <c r="L348">
        <v>9</v>
      </c>
      <c r="M348">
        <v>25766605</v>
      </c>
    </row>
    <row r="349" spans="1:13" x14ac:dyDescent="0.3">
      <c r="A349">
        <v>348</v>
      </c>
      <c r="B349" t="s">
        <v>687</v>
      </c>
      <c r="C349">
        <v>17300000</v>
      </c>
      <c r="D349">
        <v>3684816159</v>
      </c>
      <c r="E349" t="s">
        <v>1011</v>
      </c>
      <c r="F349">
        <v>582</v>
      </c>
      <c r="G349" t="s">
        <v>1114</v>
      </c>
      <c r="H349" t="s">
        <v>1114</v>
      </c>
      <c r="I349">
        <v>745200</v>
      </c>
      <c r="J349">
        <v>2011</v>
      </c>
      <c r="K349">
        <v>12</v>
      </c>
      <c r="L349">
        <v>8</v>
      </c>
      <c r="M349">
        <v>25766605</v>
      </c>
    </row>
    <row r="350" spans="1:13" x14ac:dyDescent="0.3">
      <c r="A350">
        <v>349</v>
      </c>
      <c r="B350" t="s">
        <v>117</v>
      </c>
      <c r="C350">
        <v>13200000</v>
      </c>
      <c r="D350">
        <v>9884886099</v>
      </c>
      <c r="E350" t="s">
        <v>988</v>
      </c>
      <c r="F350">
        <v>538</v>
      </c>
      <c r="G350" t="s">
        <v>984</v>
      </c>
      <c r="H350" t="s">
        <v>1303</v>
      </c>
      <c r="I350">
        <v>15300000</v>
      </c>
      <c r="J350">
        <v>2021</v>
      </c>
      <c r="K350">
        <v>2</v>
      </c>
      <c r="L350">
        <v>20</v>
      </c>
      <c r="M350">
        <v>328239523</v>
      </c>
    </row>
    <row r="351" spans="1:13" x14ac:dyDescent="0.3">
      <c r="A351">
        <v>350</v>
      </c>
      <c r="B351" t="s">
        <v>41</v>
      </c>
      <c r="C351">
        <v>28300000</v>
      </c>
      <c r="D351">
        <v>23844936965</v>
      </c>
      <c r="E351" t="s">
        <v>988</v>
      </c>
      <c r="F351">
        <v>106983</v>
      </c>
      <c r="G351" t="s">
        <v>1041</v>
      </c>
      <c r="H351" t="s">
        <v>1302</v>
      </c>
      <c r="I351">
        <v>32900000</v>
      </c>
      <c r="J351">
        <v>2011</v>
      </c>
      <c r="K351">
        <v>5</v>
      </c>
      <c r="L351">
        <v>25</v>
      </c>
      <c r="M351">
        <v>216565318</v>
      </c>
    </row>
    <row r="352" spans="1:13" x14ac:dyDescent="0.3">
      <c r="A352">
        <v>351</v>
      </c>
      <c r="B352" t="s">
        <v>501</v>
      </c>
      <c r="C352">
        <v>13100000</v>
      </c>
      <c r="D352">
        <v>4608751851</v>
      </c>
      <c r="E352" t="s">
        <v>977</v>
      </c>
      <c r="F352">
        <v>73</v>
      </c>
      <c r="G352" t="s">
        <v>1019</v>
      </c>
      <c r="H352" t="s">
        <v>1305</v>
      </c>
      <c r="I352">
        <v>2300000</v>
      </c>
      <c r="J352">
        <v>2013</v>
      </c>
      <c r="K352">
        <v>4</v>
      </c>
      <c r="L352">
        <v>13</v>
      </c>
      <c r="M352">
        <v>212559417</v>
      </c>
    </row>
    <row r="353" spans="1:13" x14ac:dyDescent="0.3">
      <c r="A353">
        <v>352</v>
      </c>
      <c r="B353" t="s">
        <v>47</v>
      </c>
      <c r="C353">
        <v>71300000</v>
      </c>
      <c r="D353">
        <v>28634566938</v>
      </c>
      <c r="E353" t="s">
        <v>977</v>
      </c>
      <c r="F353">
        <v>1337</v>
      </c>
      <c r="G353" t="s">
        <v>1006</v>
      </c>
      <c r="H353" t="s">
        <v>1302</v>
      </c>
      <c r="I353">
        <v>28700000</v>
      </c>
      <c r="J353">
        <v>2008</v>
      </c>
      <c r="K353">
        <v>6</v>
      </c>
      <c r="L353">
        <v>4</v>
      </c>
      <c r="M353">
        <v>51709098</v>
      </c>
    </row>
    <row r="354" spans="1:13" x14ac:dyDescent="0.3">
      <c r="A354">
        <v>353</v>
      </c>
      <c r="B354" t="s">
        <v>1293</v>
      </c>
      <c r="C354">
        <v>12300000</v>
      </c>
      <c r="D354">
        <v>2214684303</v>
      </c>
      <c r="E354" t="s">
        <v>1294</v>
      </c>
      <c r="F354">
        <v>2452</v>
      </c>
      <c r="G354" t="s">
        <v>1013</v>
      </c>
      <c r="H354" t="s">
        <v>1304</v>
      </c>
      <c r="I354">
        <v>3200</v>
      </c>
      <c r="J354">
        <v>2006</v>
      </c>
      <c r="K354">
        <v>9</v>
      </c>
      <c r="L354">
        <v>11</v>
      </c>
      <c r="M354">
        <v>66834405</v>
      </c>
    </row>
    <row r="355" spans="1:13" x14ac:dyDescent="0.3">
      <c r="A355">
        <v>354</v>
      </c>
      <c r="B355" t="s">
        <v>110</v>
      </c>
      <c r="C355">
        <v>13100000</v>
      </c>
      <c r="D355">
        <v>9110348202</v>
      </c>
      <c r="E355" t="s">
        <v>988</v>
      </c>
      <c r="F355">
        <v>1327</v>
      </c>
      <c r="G355" t="s">
        <v>1294</v>
      </c>
      <c r="H355" t="s">
        <v>1294</v>
      </c>
      <c r="I355">
        <v>15800000</v>
      </c>
      <c r="J355">
        <v>2010</v>
      </c>
      <c r="K355">
        <v>3</v>
      </c>
      <c r="L355">
        <v>25</v>
      </c>
      <c r="M355" t="s">
        <v>1294</v>
      </c>
    </row>
    <row r="356" spans="1:13" x14ac:dyDescent="0.3">
      <c r="A356">
        <v>355</v>
      </c>
      <c r="B356" t="s">
        <v>913</v>
      </c>
      <c r="C356">
        <v>12700000</v>
      </c>
      <c r="D356">
        <v>1450874545</v>
      </c>
      <c r="E356" t="s">
        <v>988</v>
      </c>
      <c r="F356">
        <v>50</v>
      </c>
      <c r="G356" t="s">
        <v>1294</v>
      </c>
      <c r="H356" t="s">
        <v>1294</v>
      </c>
      <c r="I356">
        <v>0</v>
      </c>
      <c r="J356">
        <v>2016</v>
      </c>
      <c r="K356">
        <v>4</v>
      </c>
      <c r="L356">
        <v>16</v>
      </c>
      <c r="M356" t="s">
        <v>1294</v>
      </c>
    </row>
    <row r="357" spans="1:13" x14ac:dyDescent="0.3">
      <c r="A357">
        <v>356</v>
      </c>
      <c r="B357" t="s">
        <v>1197</v>
      </c>
      <c r="C357">
        <v>16600000</v>
      </c>
      <c r="D357">
        <v>3696973456</v>
      </c>
      <c r="E357" t="s">
        <v>1011</v>
      </c>
      <c r="F357">
        <v>216</v>
      </c>
      <c r="G357" t="s">
        <v>1065</v>
      </c>
      <c r="H357" t="s">
        <v>1304</v>
      </c>
      <c r="I357">
        <v>3100</v>
      </c>
      <c r="J357">
        <v>2017</v>
      </c>
      <c r="K357">
        <v>4</v>
      </c>
      <c r="L357">
        <v>2</v>
      </c>
      <c r="M357">
        <v>47076781</v>
      </c>
    </row>
    <row r="358" spans="1:13" x14ac:dyDescent="0.3">
      <c r="A358">
        <v>357</v>
      </c>
      <c r="B358" t="s">
        <v>773</v>
      </c>
      <c r="C358">
        <v>14500000</v>
      </c>
      <c r="D358">
        <v>3551889957</v>
      </c>
      <c r="E358" t="s">
        <v>1011</v>
      </c>
      <c r="F358">
        <v>5430</v>
      </c>
      <c r="G358" t="s">
        <v>1019</v>
      </c>
      <c r="H358" t="s">
        <v>1305</v>
      </c>
      <c r="I358">
        <v>136200</v>
      </c>
      <c r="J358">
        <v>2017</v>
      </c>
      <c r="K358">
        <v>10</v>
      </c>
      <c r="L358">
        <v>30</v>
      </c>
      <c r="M358">
        <v>212559417</v>
      </c>
    </row>
    <row r="359" spans="1:13" x14ac:dyDescent="0.3">
      <c r="A359">
        <v>358</v>
      </c>
      <c r="B359" t="s">
        <v>354</v>
      </c>
      <c r="C359">
        <v>17500000</v>
      </c>
      <c r="D359">
        <v>16107116549</v>
      </c>
      <c r="E359" t="s">
        <v>996</v>
      </c>
      <c r="F359">
        <v>156215</v>
      </c>
      <c r="G359" t="s">
        <v>984</v>
      </c>
      <c r="H359" t="s">
        <v>1303</v>
      </c>
      <c r="I359">
        <v>4700000</v>
      </c>
      <c r="J359">
        <v>2006</v>
      </c>
      <c r="K359">
        <v>9</v>
      </c>
      <c r="L359">
        <v>19</v>
      </c>
      <c r="M359">
        <v>328239523</v>
      </c>
    </row>
    <row r="360" spans="1:13" x14ac:dyDescent="0.3">
      <c r="A360">
        <v>359</v>
      </c>
      <c r="B360" t="s">
        <v>64</v>
      </c>
      <c r="C360">
        <v>15300000</v>
      </c>
      <c r="D360">
        <v>9938811455</v>
      </c>
      <c r="E360" t="s">
        <v>994</v>
      </c>
      <c r="F360">
        <v>2175</v>
      </c>
      <c r="G360" t="s">
        <v>1000</v>
      </c>
      <c r="H360" t="s">
        <v>1302</v>
      </c>
      <c r="I360">
        <v>22800000</v>
      </c>
      <c r="J360">
        <v>2021</v>
      </c>
      <c r="K360">
        <v>4</v>
      </c>
      <c r="L360">
        <v>1</v>
      </c>
      <c r="M360">
        <v>144373535</v>
      </c>
    </row>
    <row r="361" spans="1:13" x14ac:dyDescent="0.3">
      <c r="A361">
        <v>360</v>
      </c>
      <c r="B361" t="s">
        <v>194</v>
      </c>
      <c r="C361">
        <v>30700000</v>
      </c>
      <c r="D361">
        <v>16793072362</v>
      </c>
      <c r="E361" t="s">
        <v>977</v>
      </c>
      <c r="F361">
        <v>92</v>
      </c>
      <c r="G361" t="s">
        <v>984</v>
      </c>
      <c r="H361" t="s">
        <v>1303</v>
      </c>
      <c r="I361">
        <v>9100000</v>
      </c>
      <c r="J361">
        <v>2009</v>
      </c>
      <c r="K361">
        <v>8</v>
      </c>
      <c r="L361">
        <v>3</v>
      </c>
      <c r="M361">
        <v>328239523</v>
      </c>
    </row>
    <row r="362" spans="1:13" x14ac:dyDescent="0.3">
      <c r="A362">
        <v>361</v>
      </c>
      <c r="B362" t="s">
        <v>668</v>
      </c>
      <c r="C362">
        <v>18200000</v>
      </c>
      <c r="D362">
        <v>3213324455</v>
      </c>
      <c r="E362" t="s">
        <v>994</v>
      </c>
      <c r="F362">
        <v>6903</v>
      </c>
      <c r="G362" t="s">
        <v>1019</v>
      </c>
      <c r="H362" t="s">
        <v>1305</v>
      </c>
      <c r="I362">
        <v>866200</v>
      </c>
      <c r="J362">
        <v>2017</v>
      </c>
      <c r="K362">
        <v>6</v>
      </c>
      <c r="L362">
        <v>20</v>
      </c>
      <c r="M362">
        <v>212559417</v>
      </c>
    </row>
    <row r="363" spans="1:13" x14ac:dyDescent="0.3">
      <c r="A363">
        <v>362</v>
      </c>
      <c r="B363" t="s">
        <v>126</v>
      </c>
      <c r="C363">
        <v>35500000</v>
      </c>
      <c r="D363">
        <v>16105023749</v>
      </c>
      <c r="E363" t="s">
        <v>1026</v>
      </c>
      <c r="F363">
        <v>273255</v>
      </c>
      <c r="G363" t="s">
        <v>978</v>
      </c>
      <c r="H363" t="s">
        <v>1302</v>
      </c>
      <c r="I363">
        <v>14000000</v>
      </c>
      <c r="J363">
        <v>2006</v>
      </c>
      <c r="K363">
        <v>8</v>
      </c>
      <c r="L363">
        <v>26</v>
      </c>
      <c r="M363">
        <v>1366417754</v>
      </c>
    </row>
    <row r="364" spans="1:13" x14ac:dyDescent="0.3">
      <c r="A364">
        <v>363</v>
      </c>
      <c r="B364" t="s">
        <v>423</v>
      </c>
      <c r="C364">
        <v>14400000</v>
      </c>
      <c r="D364">
        <v>4156427797</v>
      </c>
      <c r="E364" t="s">
        <v>994</v>
      </c>
      <c r="F364">
        <v>1838</v>
      </c>
      <c r="G364" t="s">
        <v>978</v>
      </c>
      <c r="H364" t="s">
        <v>1302</v>
      </c>
      <c r="I364">
        <v>3400000</v>
      </c>
      <c r="J364">
        <v>2014</v>
      </c>
      <c r="K364">
        <v>4</v>
      </c>
      <c r="L364">
        <v>19</v>
      </c>
      <c r="M364">
        <v>1366417754</v>
      </c>
    </row>
    <row r="365" spans="1:13" x14ac:dyDescent="0.3">
      <c r="A365">
        <v>364</v>
      </c>
      <c r="B365" t="s">
        <v>167</v>
      </c>
      <c r="C365">
        <v>25900000</v>
      </c>
      <c r="D365">
        <v>11372071889</v>
      </c>
      <c r="E365" t="s">
        <v>977</v>
      </c>
      <c r="F365">
        <v>65286</v>
      </c>
      <c r="G365" t="s">
        <v>1081</v>
      </c>
      <c r="H365" t="s">
        <v>1302</v>
      </c>
      <c r="I365">
        <v>11000000</v>
      </c>
      <c r="J365">
        <v>2013</v>
      </c>
      <c r="K365">
        <v>9</v>
      </c>
      <c r="L365">
        <v>23</v>
      </c>
      <c r="M365">
        <v>270203917</v>
      </c>
    </row>
    <row r="366" spans="1:13" x14ac:dyDescent="0.3">
      <c r="A366">
        <v>365</v>
      </c>
      <c r="B366" t="s">
        <v>429</v>
      </c>
      <c r="C366">
        <v>21300000</v>
      </c>
      <c r="D366">
        <v>5141834668</v>
      </c>
      <c r="E366" t="s">
        <v>988</v>
      </c>
      <c r="F366">
        <v>1608</v>
      </c>
      <c r="G366" t="s">
        <v>984</v>
      </c>
      <c r="H366" t="s">
        <v>1303</v>
      </c>
      <c r="I366">
        <v>3300000</v>
      </c>
      <c r="J366">
        <v>2014</v>
      </c>
      <c r="K366">
        <v>8</v>
      </c>
      <c r="L366">
        <v>21</v>
      </c>
      <c r="M366">
        <v>328239523</v>
      </c>
    </row>
    <row r="367" spans="1:13" x14ac:dyDescent="0.3">
      <c r="A367">
        <v>366</v>
      </c>
      <c r="B367" t="s">
        <v>646</v>
      </c>
      <c r="C367">
        <v>13700000</v>
      </c>
      <c r="D367">
        <v>5178142148</v>
      </c>
      <c r="E367" t="s">
        <v>990</v>
      </c>
      <c r="F367">
        <v>495</v>
      </c>
      <c r="G367" t="s">
        <v>978</v>
      </c>
      <c r="H367" t="s">
        <v>1302</v>
      </c>
      <c r="I367">
        <v>1100000</v>
      </c>
      <c r="J367">
        <v>2011</v>
      </c>
      <c r="K367">
        <v>10</v>
      </c>
      <c r="L367">
        <v>20</v>
      </c>
      <c r="M367">
        <v>1366417754</v>
      </c>
    </row>
    <row r="368" spans="1:13" x14ac:dyDescent="0.3">
      <c r="A368">
        <v>367</v>
      </c>
      <c r="B368" t="s">
        <v>27</v>
      </c>
      <c r="C368">
        <v>53300000</v>
      </c>
      <c r="D368">
        <v>30516172739</v>
      </c>
      <c r="E368" t="s">
        <v>990</v>
      </c>
      <c r="F368">
        <v>577</v>
      </c>
      <c r="G368" t="s">
        <v>978</v>
      </c>
      <c r="H368" t="s">
        <v>1302</v>
      </c>
      <c r="I368">
        <v>39200000</v>
      </c>
      <c r="J368">
        <v>2014</v>
      </c>
      <c r="K368">
        <v>6</v>
      </c>
      <c r="L368">
        <v>6</v>
      </c>
      <c r="M368">
        <v>1366417754</v>
      </c>
    </row>
    <row r="369" spans="1:13" x14ac:dyDescent="0.3">
      <c r="A369">
        <v>368</v>
      </c>
      <c r="B369" t="s">
        <v>256</v>
      </c>
      <c r="C369">
        <v>14200000</v>
      </c>
      <c r="D369">
        <v>6554000320</v>
      </c>
      <c r="E369" t="s">
        <v>990</v>
      </c>
      <c r="F369">
        <v>433</v>
      </c>
      <c r="G369" t="s">
        <v>978</v>
      </c>
      <c r="H369" t="s">
        <v>1302</v>
      </c>
      <c r="I369">
        <v>6800000</v>
      </c>
      <c r="J369">
        <v>2014</v>
      </c>
      <c r="K369">
        <v>3</v>
      </c>
      <c r="L369">
        <v>13</v>
      </c>
      <c r="M369">
        <v>1366417754</v>
      </c>
    </row>
    <row r="370" spans="1:13" x14ac:dyDescent="0.3">
      <c r="A370">
        <v>369</v>
      </c>
      <c r="B370" t="s">
        <v>319</v>
      </c>
      <c r="C370">
        <v>28900000</v>
      </c>
      <c r="D370">
        <v>17930570614</v>
      </c>
      <c r="E370" t="s">
        <v>990</v>
      </c>
      <c r="F370">
        <v>555</v>
      </c>
      <c r="G370" t="s">
        <v>978</v>
      </c>
      <c r="H370" t="s">
        <v>1302</v>
      </c>
      <c r="I370">
        <v>5300000</v>
      </c>
      <c r="J370">
        <v>2014</v>
      </c>
      <c r="K370">
        <v>3</v>
      </c>
      <c r="L370">
        <v>13</v>
      </c>
      <c r="M370">
        <v>1366417754</v>
      </c>
    </row>
    <row r="371" spans="1:13" x14ac:dyDescent="0.3">
      <c r="A371">
        <v>370</v>
      </c>
      <c r="B371" t="s">
        <v>127</v>
      </c>
      <c r="C371">
        <v>28300000</v>
      </c>
      <c r="D371">
        <v>14814192034</v>
      </c>
      <c r="E371" t="s">
        <v>990</v>
      </c>
      <c r="F371">
        <v>505</v>
      </c>
      <c r="G371" t="s">
        <v>978</v>
      </c>
      <c r="H371" t="s">
        <v>1302</v>
      </c>
      <c r="I371">
        <v>13800000</v>
      </c>
      <c r="J371">
        <v>2014</v>
      </c>
      <c r="K371">
        <v>3</v>
      </c>
      <c r="L371">
        <v>13</v>
      </c>
      <c r="M371">
        <v>1366417754</v>
      </c>
    </row>
    <row r="372" spans="1:13" x14ac:dyDescent="0.3">
      <c r="A372">
        <v>371</v>
      </c>
      <c r="B372" t="s">
        <v>222</v>
      </c>
      <c r="C372">
        <v>15500000</v>
      </c>
      <c r="D372">
        <v>7776706184</v>
      </c>
      <c r="E372" t="s">
        <v>990</v>
      </c>
      <c r="F372">
        <v>359</v>
      </c>
      <c r="G372" t="s">
        <v>978</v>
      </c>
      <c r="H372" t="s">
        <v>1302</v>
      </c>
      <c r="I372">
        <v>8100000</v>
      </c>
      <c r="J372">
        <v>2016</v>
      </c>
      <c r="K372">
        <v>6</v>
      </c>
      <c r="L372">
        <v>13</v>
      </c>
      <c r="M372">
        <v>1366417754</v>
      </c>
    </row>
    <row r="373" spans="1:13" x14ac:dyDescent="0.3">
      <c r="A373">
        <v>372</v>
      </c>
      <c r="B373" t="s">
        <v>663</v>
      </c>
      <c r="C373">
        <v>14200000</v>
      </c>
      <c r="D373">
        <v>4040297006</v>
      </c>
      <c r="E373" t="s">
        <v>982</v>
      </c>
      <c r="F373">
        <v>1281</v>
      </c>
      <c r="G373" t="s">
        <v>1019</v>
      </c>
      <c r="H373" t="s">
        <v>1305</v>
      </c>
      <c r="I373">
        <v>913400</v>
      </c>
      <c r="J373">
        <v>2014</v>
      </c>
      <c r="K373">
        <v>10</v>
      </c>
      <c r="L373">
        <v>18</v>
      </c>
      <c r="M373">
        <v>212559417</v>
      </c>
    </row>
    <row r="374" spans="1:13" x14ac:dyDescent="0.3">
      <c r="A374">
        <v>373</v>
      </c>
      <c r="B374" t="s">
        <v>1142</v>
      </c>
      <c r="C374">
        <v>21500000</v>
      </c>
      <c r="D374">
        <v>8409641722</v>
      </c>
      <c r="E374" t="s">
        <v>996</v>
      </c>
      <c r="F374">
        <v>17</v>
      </c>
      <c r="G374" t="s">
        <v>1031</v>
      </c>
      <c r="H374" t="s">
        <v>1305</v>
      </c>
      <c r="I374">
        <v>2</v>
      </c>
      <c r="J374">
        <v>2016</v>
      </c>
      <c r="K374">
        <v>7</v>
      </c>
      <c r="L374">
        <v>26</v>
      </c>
      <c r="M374">
        <v>18952038</v>
      </c>
    </row>
    <row r="375" spans="1:13" x14ac:dyDescent="0.3">
      <c r="A375">
        <v>374</v>
      </c>
      <c r="B375" t="s">
        <v>35</v>
      </c>
      <c r="C375">
        <v>21300000</v>
      </c>
      <c r="D375">
        <v>12761253839</v>
      </c>
      <c r="E375" t="s">
        <v>994</v>
      </c>
      <c r="F375">
        <v>951</v>
      </c>
      <c r="G375" t="s">
        <v>978</v>
      </c>
      <c r="H375" t="s">
        <v>1302</v>
      </c>
      <c r="I375">
        <v>35000000</v>
      </c>
      <c r="J375">
        <v>2016</v>
      </c>
      <c r="K375">
        <v>7</v>
      </c>
      <c r="L375">
        <v>27</v>
      </c>
      <c r="M375">
        <v>1366417754</v>
      </c>
    </row>
    <row r="376" spans="1:13" x14ac:dyDescent="0.3">
      <c r="A376">
        <v>375</v>
      </c>
      <c r="B376" t="s">
        <v>265</v>
      </c>
      <c r="C376">
        <v>18300000</v>
      </c>
      <c r="D376">
        <v>1556003039</v>
      </c>
      <c r="E376" t="s">
        <v>996</v>
      </c>
      <c r="F376">
        <v>1324</v>
      </c>
      <c r="G376" t="s">
        <v>984</v>
      </c>
      <c r="H376" t="s">
        <v>1303</v>
      </c>
      <c r="I376">
        <v>6700000</v>
      </c>
      <c r="J376">
        <v>2016</v>
      </c>
      <c r="K376">
        <v>3</v>
      </c>
      <c r="L376">
        <v>21</v>
      </c>
      <c r="M376">
        <v>328239523</v>
      </c>
    </row>
    <row r="377" spans="1:13" x14ac:dyDescent="0.3">
      <c r="A377">
        <v>376</v>
      </c>
      <c r="B377" t="s">
        <v>204</v>
      </c>
      <c r="C377">
        <v>41400000</v>
      </c>
      <c r="D377">
        <v>17608931161</v>
      </c>
      <c r="E377" t="s">
        <v>1057</v>
      </c>
      <c r="F377">
        <v>4510</v>
      </c>
      <c r="G377" t="s">
        <v>978</v>
      </c>
      <c r="H377" t="s">
        <v>1302</v>
      </c>
      <c r="I377">
        <v>8700000</v>
      </c>
      <c r="J377">
        <v>2005</v>
      </c>
      <c r="K377">
        <v>9</v>
      </c>
      <c r="L377">
        <v>22</v>
      </c>
      <c r="M377">
        <v>1366417754</v>
      </c>
    </row>
    <row r="378" spans="1:13" x14ac:dyDescent="0.3">
      <c r="A378">
        <v>377</v>
      </c>
      <c r="B378" t="s">
        <v>128</v>
      </c>
      <c r="C378">
        <v>15000000</v>
      </c>
      <c r="D378">
        <v>13562853889</v>
      </c>
      <c r="E378" t="s">
        <v>1044</v>
      </c>
      <c r="F378">
        <v>1788</v>
      </c>
      <c r="G378" t="s">
        <v>997</v>
      </c>
      <c r="H378" t="s">
        <v>1302</v>
      </c>
      <c r="I378">
        <v>13600000</v>
      </c>
      <c r="J378">
        <v>2014</v>
      </c>
      <c r="K378">
        <v>7</v>
      </c>
      <c r="L378">
        <v>23</v>
      </c>
      <c r="M378">
        <v>126226568</v>
      </c>
    </row>
    <row r="379" spans="1:13" x14ac:dyDescent="0.3">
      <c r="A379">
        <v>378</v>
      </c>
      <c r="B379" t="s">
        <v>699</v>
      </c>
      <c r="C379">
        <v>14900000</v>
      </c>
      <c r="D379">
        <v>4977284539</v>
      </c>
      <c r="E379" t="s">
        <v>988</v>
      </c>
      <c r="F379">
        <v>8420</v>
      </c>
      <c r="G379" t="s">
        <v>1065</v>
      </c>
      <c r="H379" t="s">
        <v>1304</v>
      </c>
      <c r="I379">
        <v>665200</v>
      </c>
      <c r="J379">
        <v>2012</v>
      </c>
      <c r="K379">
        <v>2</v>
      </c>
      <c r="L379">
        <v>15</v>
      </c>
      <c r="M379">
        <v>47076781</v>
      </c>
    </row>
    <row r="380" spans="1:13" x14ac:dyDescent="0.3">
      <c r="A380">
        <v>379</v>
      </c>
      <c r="B380" t="s">
        <v>684</v>
      </c>
      <c r="C380">
        <v>15100000</v>
      </c>
      <c r="D380">
        <v>1777072487</v>
      </c>
      <c r="E380" t="s">
        <v>994</v>
      </c>
      <c r="F380">
        <v>210</v>
      </c>
      <c r="G380" t="s">
        <v>984</v>
      </c>
      <c r="H380" t="s">
        <v>1303</v>
      </c>
      <c r="I380">
        <v>767200</v>
      </c>
      <c r="J380">
        <v>2017</v>
      </c>
      <c r="K380">
        <v>2</v>
      </c>
      <c r="L380">
        <v>1</v>
      </c>
      <c r="M380">
        <v>328239523</v>
      </c>
    </row>
    <row r="381" spans="1:13" x14ac:dyDescent="0.3">
      <c r="A381">
        <v>380</v>
      </c>
      <c r="B381" t="s">
        <v>692</v>
      </c>
      <c r="C381">
        <v>16600000</v>
      </c>
      <c r="D381">
        <v>1318442641</v>
      </c>
      <c r="E381" t="s">
        <v>1294</v>
      </c>
      <c r="F381">
        <v>180</v>
      </c>
      <c r="G381" t="s">
        <v>1045</v>
      </c>
      <c r="H381" t="s">
        <v>1302</v>
      </c>
      <c r="I381">
        <v>723800</v>
      </c>
      <c r="J381">
        <v>2018</v>
      </c>
      <c r="K381">
        <v>6</v>
      </c>
      <c r="L381">
        <v>1</v>
      </c>
      <c r="M381">
        <v>108116615</v>
      </c>
    </row>
    <row r="382" spans="1:13" x14ac:dyDescent="0.3">
      <c r="A382">
        <v>381</v>
      </c>
      <c r="B382" t="s">
        <v>284</v>
      </c>
      <c r="C382">
        <v>34100000</v>
      </c>
      <c r="D382">
        <v>23005313609</v>
      </c>
      <c r="E382" t="s">
        <v>977</v>
      </c>
      <c r="F382">
        <v>141</v>
      </c>
      <c r="G382" t="s">
        <v>1051</v>
      </c>
      <c r="H382" t="s">
        <v>1305</v>
      </c>
      <c r="I382">
        <v>6200000</v>
      </c>
      <c r="J382">
        <v>2011</v>
      </c>
      <c r="K382">
        <v>2</v>
      </c>
      <c r="L382">
        <v>18</v>
      </c>
      <c r="M382">
        <v>50339443</v>
      </c>
    </row>
    <row r="383" spans="1:13" x14ac:dyDescent="0.3">
      <c r="A383">
        <v>382</v>
      </c>
      <c r="B383" t="s">
        <v>103</v>
      </c>
      <c r="C383">
        <v>17700000</v>
      </c>
      <c r="D383">
        <v>7912733203</v>
      </c>
      <c r="E383" t="s">
        <v>994</v>
      </c>
      <c r="F383">
        <v>512</v>
      </c>
      <c r="G383" t="s">
        <v>978</v>
      </c>
      <c r="H383" t="s">
        <v>1302</v>
      </c>
      <c r="I383">
        <v>16600000</v>
      </c>
      <c r="J383">
        <v>2018</v>
      </c>
      <c r="K383">
        <v>7</v>
      </c>
      <c r="L383">
        <v>18</v>
      </c>
      <c r="M383">
        <v>1366417754</v>
      </c>
    </row>
    <row r="384" spans="1:13" x14ac:dyDescent="0.3">
      <c r="A384">
        <v>383</v>
      </c>
      <c r="B384" t="s">
        <v>550</v>
      </c>
      <c r="C384">
        <v>30100000</v>
      </c>
      <c r="D384">
        <v>16246625836</v>
      </c>
      <c r="E384" t="s">
        <v>996</v>
      </c>
      <c r="F384">
        <v>5114</v>
      </c>
      <c r="G384" t="s">
        <v>1294</v>
      </c>
      <c r="H384" t="s">
        <v>1294</v>
      </c>
      <c r="I384">
        <v>1900000</v>
      </c>
      <c r="J384">
        <v>2007</v>
      </c>
      <c r="K384">
        <v>2</v>
      </c>
      <c r="L384">
        <v>24</v>
      </c>
      <c r="M384" t="s">
        <v>1294</v>
      </c>
    </row>
    <row r="385" spans="1:13" x14ac:dyDescent="0.3">
      <c r="A385">
        <v>384</v>
      </c>
      <c r="B385" t="s">
        <v>59</v>
      </c>
      <c r="C385">
        <v>18100000</v>
      </c>
      <c r="D385">
        <v>13378360425</v>
      </c>
      <c r="E385" t="s">
        <v>988</v>
      </c>
      <c r="F385">
        <v>420</v>
      </c>
      <c r="G385" t="s">
        <v>984</v>
      </c>
      <c r="H385" t="s">
        <v>1303</v>
      </c>
      <c r="I385">
        <v>23900000</v>
      </c>
      <c r="J385">
        <v>2012</v>
      </c>
      <c r="K385">
        <v>10</v>
      </c>
      <c r="L385">
        <v>13</v>
      </c>
      <c r="M385">
        <v>328239523</v>
      </c>
    </row>
    <row r="386" spans="1:13" x14ac:dyDescent="0.3">
      <c r="A386">
        <v>385</v>
      </c>
      <c r="B386" t="s">
        <v>694</v>
      </c>
      <c r="C386">
        <v>20400000</v>
      </c>
      <c r="D386">
        <v>7311322368</v>
      </c>
      <c r="E386" t="s">
        <v>994</v>
      </c>
      <c r="F386">
        <v>1006</v>
      </c>
      <c r="G386" t="s">
        <v>984</v>
      </c>
      <c r="H386" t="s">
        <v>1303</v>
      </c>
      <c r="I386">
        <v>703000</v>
      </c>
      <c r="J386">
        <v>2013</v>
      </c>
      <c r="K386">
        <v>9</v>
      </c>
      <c r="L386">
        <v>19</v>
      </c>
      <c r="M386">
        <v>328239523</v>
      </c>
    </row>
    <row r="387" spans="1:13" x14ac:dyDescent="0.3">
      <c r="A387">
        <v>386</v>
      </c>
      <c r="B387" t="s">
        <v>460</v>
      </c>
      <c r="C387">
        <v>23900000</v>
      </c>
      <c r="D387">
        <v>4067878931</v>
      </c>
      <c r="E387" t="s">
        <v>988</v>
      </c>
      <c r="F387">
        <v>505</v>
      </c>
      <c r="G387" t="s">
        <v>984</v>
      </c>
      <c r="H387" t="s">
        <v>1303</v>
      </c>
      <c r="I387">
        <v>2800000</v>
      </c>
      <c r="J387">
        <v>2015</v>
      </c>
      <c r="K387">
        <v>12</v>
      </c>
      <c r="L387">
        <v>1</v>
      </c>
      <c r="M387">
        <v>328239523</v>
      </c>
    </row>
    <row r="388" spans="1:13" x14ac:dyDescent="0.3">
      <c r="A388">
        <v>387</v>
      </c>
      <c r="B388" t="s">
        <v>1284</v>
      </c>
      <c r="C388">
        <v>12500000</v>
      </c>
      <c r="D388">
        <v>1302818088</v>
      </c>
      <c r="E388" t="s">
        <v>994</v>
      </c>
      <c r="F388">
        <v>0</v>
      </c>
      <c r="G388" t="s">
        <v>1294</v>
      </c>
      <c r="H388" t="s">
        <v>1294</v>
      </c>
      <c r="I388">
        <v>0</v>
      </c>
      <c r="J388">
        <v>2006</v>
      </c>
      <c r="K388">
        <v>2</v>
      </c>
      <c r="L388">
        <v>22</v>
      </c>
      <c r="M388" t="s">
        <v>1294</v>
      </c>
    </row>
    <row r="389" spans="1:13" x14ac:dyDescent="0.3">
      <c r="A389">
        <v>388</v>
      </c>
      <c r="B389" t="s">
        <v>1258</v>
      </c>
      <c r="C389">
        <v>13900000</v>
      </c>
      <c r="D389">
        <v>12129583055</v>
      </c>
      <c r="E389" t="s">
        <v>1026</v>
      </c>
      <c r="F389">
        <v>6</v>
      </c>
      <c r="G389" t="s">
        <v>1259</v>
      </c>
      <c r="H389" t="s">
        <v>1302</v>
      </c>
      <c r="I389">
        <v>0.05</v>
      </c>
      <c r="J389">
        <v>2021</v>
      </c>
      <c r="K389">
        <v>2</v>
      </c>
      <c r="L389">
        <v>10</v>
      </c>
      <c r="M389">
        <v>167310838</v>
      </c>
    </row>
    <row r="390" spans="1:13" x14ac:dyDescent="0.3">
      <c r="A390">
        <v>389</v>
      </c>
      <c r="B390" t="s">
        <v>918</v>
      </c>
      <c r="C390">
        <v>17700000</v>
      </c>
      <c r="D390">
        <v>7387621644</v>
      </c>
      <c r="E390" t="s">
        <v>1294</v>
      </c>
      <c r="F390">
        <v>1888</v>
      </c>
      <c r="G390" t="s">
        <v>1006</v>
      </c>
      <c r="H390" t="s">
        <v>1302</v>
      </c>
      <c r="I390">
        <v>0</v>
      </c>
      <c r="J390">
        <v>2012</v>
      </c>
      <c r="K390">
        <v>11</v>
      </c>
      <c r="L390">
        <v>17</v>
      </c>
      <c r="M390">
        <v>51709098</v>
      </c>
    </row>
    <row r="391" spans="1:13" x14ac:dyDescent="0.3">
      <c r="A391">
        <v>390</v>
      </c>
      <c r="B391" t="s">
        <v>71</v>
      </c>
      <c r="C391">
        <v>17900000</v>
      </c>
      <c r="D391">
        <v>9887116267</v>
      </c>
      <c r="E391" t="s">
        <v>977</v>
      </c>
      <c r="F391">
        <v>830</v>
      </c>
      <c r="G391" t="s">
        <v>984</v>
      </c>
      <c r="H391" t="s">
        <v>1303</v>
      </c>
      <c r="I391">
        <v>21500000</v>
      </c>
      <c r="J391">
        <v>2008</v>
      </c>
      <c r="K391">
        <v>7</v>
      </c>
      <c r="L391">
        <v>21</v>
      </c>
      <c r="M391">
        <v>328239523</v>
      </c>
    </row>
    <row r="392" spans="1:13" x14ac:dyDescent="0.3">
      <c r="A392">
        <v>391</v>
      </c>
      <c r="B392" t="s">
        <v>1192</v>
      </c>
      <c r="C392">
        <v>17200000</v>
      </c>
      <c r="D392">
        <v>8903647480</v>
      </c>
      <c r="E392" t="s">
        <v>990</v>
      </c>
      <c r="F392">
        <v>83</v>
      </c>
      <c r="G392" t="s">
        <v>1114</v>
      </c>
      <c r="H392" t="s">
        <v>1114</v>
      </c>
      <c r="I392">
        <v>1</v>
      </c>
      <c r="J392">
        <v>2014</v>
      </c>
      <c r="K392">
        <v>9</v>
      </c>
      <c r="L392">
        <v>11</v>
      </c>
      <c r="M392">
        <v>25766605</v>
      </c>
    </row>
    <row r="393" spans="1:13" x14ac:dyDescent="0.3">
      <c r="A393">
        <v>392</v>
      </c>
      <c r="B393" t="s">
        <v>1281</v>
      </c>
      <c r="C393">
        <v>12700000</v>
      </c>
      <c r="D393">
        <v>5958994201</v>
      </c>
      <c r="E393" t="s">
        <v>977</v>
      </c>
      <c r="F393">
        <v>1</v>
      </c>
      <c r="G393" t="s">
        <v>1294</v>
      </c>
      <c r="H393" t="s">
        <v>1294</v>
      </c>
      <c r="I393">
        <v>0.05</v>
      </c>
      <c r="J393">
        <v>2012</v>
      </c>
      <c r="K393">
        <v>2</v>
      </c>
      <c r="L393">
        <v>10</v>
      </c>
      <c r="M393" t="s">
        <v>1294</v>
      </c>
    </row>
    <row r="394" spans="1:13" x14ac:dyDescent="0.3">
      <c r="A394">
        <v>393</v>
      </c>
      <c r="B394" t="s">
        <v>328</v>
      </c>
      <c r="C394">
        <v>13900000</v>
      </c>
      <c r="D394">
        <v>5673347763</v>
      </c>
      <c r="E394" t="s">
        <v>996</v>
      </c>
      <c r="F394">
        <v>5494</v>
      </c>
      <c r="G394" t="s">
        <v>1019</v>
      </c>
      <c r="H394" t="s">
        <v>1305</v>
      </c>
      <c r="I394">
        <v>5100000</v>
      </c>
      <c r="J394">
        <v>2012</v>
      </c>
      <c r="K394">
        <v>8</v>
      </c>
      <c r="L394">
        <v>30</v>
      </c>
      <c r="M394">
        <v>212559417</v>
      </c>
    </row>
    <row r="395" spans="1:13" x14ac:dyDescent="0.3">
      <c r="A395">
        <v>394</v>
      </c>
      <c r="B395" t="s">
        <v>389</v>
      </c>
      <c r="C395">
        <v>13200000</v>
      </c>
      <c r="D395">
        <v>20743586601</v>
      </c>
      <c r="E395" t="s">
        <v>977</v>
      </c>
      <c r="F395">
        <v>237</v>
      </c>
      <c r="G395" t="s">
        <v>1051</v>
      </c>
      <c r="H395" t="s">
        <v>1305</v>
      </c>
      <c r="I395">
        <v>4100000</v>
      </c>
      <c r="J395">
        <v>2010</v>
      </c>
      <c r="K395">
        <v>9</v>
      </c>
      <c r="L395">
        <v>30</v>
      </c>
      <c r="M395">
        <v>50339443</v>
      </c>
    </row>
    <row r="396" spans="1:13" x14ac:dyDescent="0.3">
      <c r="A396">
        <v>395</v>
      </c>
      <c r="B396" t="s">
        <v>702</v>
      </c>
      <c r="C396">
        <v>13800000</v>
      </c>
      <c r="D396">
        <v>1493776391</v>
      </c>
      <c r="E396" t="s">
        <v>994</v>
      </c>
      <c r="F396">
        <v>16</v>
      </c>
      <c r="G396" t="s">
        <v>1294</v>
      </c>
      <c r="H396" t="s">
        <v>1294</v>
      </c>
      <c r="I396">
        <v>649600</v>
      </c>
      <c r="J396">
        <v>2017</v>
      </c>
      <c r="K396">
        <v>6</v>
      </c>
      <c r="L396">
        <v>5</v>
      </c>
      <c r="M396" t="s">
        <v>1294</v>
      </c>
    </row>
    <row r="397" spans="1:13" x14ac:dyDescent="0.3">
      <c r="A397">
        <v>396</v>
      </c>
      <c r="B397" t="s">
        <v>778</v>
      </c>
      <c r="C397">
        <v>15900000</v>
      </c>
      <c r="D397">
        <v>2609358468</v>
      </c>
      <c r="E397" t="s">
        <v>1011</v>
      </c>
      <c r="F397">
        <v>433</v>
      </c>
      <c r="G397" t="s">
        <v>984</v>
      </c>
      <c r="H397" t="s">
        <v>1303</v>
      </c>
      <c r="I397">
        <v>96300</v>
      </c>
      <c r="J397">
        <v>2006</v>
      </c>
      <c r="K397">
        <v>2</v>
      </c>
      <c r="L397">
        <v>14</v>
      </c>
      <c r="M397">
        <v>328239523</v>
      </c>
    </row>
    <row r="398" spans="1:13" x14ac:dyDescent="0.3">
      <c r="A398">
        <v>397</v>
      </c>
      <c r="B398" t="s">
        <v>538</v>
      </c>
      <c r="C398">
        <v>23500000</v>
      </c>
      <c r="D398">
        <v>14777034543</v>
      </c>
      <c r="E398" t="s">
        <v>996</v>
      </c>
      <c r="F398">
        <v>6066</v>
      </c>
      <c r="G398" t="s">
        <v>1013</v>
      </c>
      <c r="H398" t="s">
        <v>1304</v>
      </c>
      <c r="I398">
        <v>2000000</v>
      </c>
      <c r="J398">
        <v>2014</v>
      </c>
      <c r="K398">
        <v>5</v>
      </c>
      <c r="L398">
        <v>27</v>
      </c>
      <c r="M398">
        <v>66834405</v>
      </c>
    </row>
    <row r="399" spans="1:13" x14ac:dyDescent="0.3">
      <c r="A399">
        <v>398</v>
      </c>
      <c r="B399" t="s">
        <v>768</v>
      </c>
      <c r="C399">
        <v>19700000</v>
      </c>
      <c r="D399">
        <v>1803249241</v>
      </c>
      <c r="E399" t="s">
        <v>1044</v>
      </c>
      <c r="F399">
        <v>250</v>
      </c>
      <c r="G399" t="s">
        <v>984</v>
      </c>
      <c r="H399" t="s">
        <v>1303</v>
      </c>
      <c r="I399">
        <v>180900</v>
      </c>
      <c r="J399">
        <v>2010</v>
      </c>
      <c r="K399">
        <v>2</v>
      </c>
      <c r="L399">
        <v>16</v>
      </c>
      <c r="M399">
        <v>328239523</v>
      </c>
    </row>
    <row r="400" spans="1:13" x14ac:dyDescent="0.3">
      <c r="A400">
        <v>399</v>
      </c>
      <c r="B400" t="s">
        <v>447</v>
      </c>
      <c r="C400">
        <v>16200000</v>
      </c>
      <c r="D400">
        <v>10227242833</v>
      </c>
      <c r="E400" t="s">
        <v>977</v>
      </c>
      <c r="F400">
        <v>258</v>
      </c>
      <c r="G400" t="s">
        <v>984</v>
      </c>
      <c r="H400" t="s">
        <v>1303</v>
      </c>
      <c r="I400">
        <v>3000000</v>
      </c>
      <c r="J400">
        <v>2005</v>
      </c>
      <c r="K400">
        <v>11</v>
      </c>
      <c r="L400">
        <v>18</v>
      </c>
      <c r="M400">
        <v>328239523</v>
      </c>
    </row>
    <row r="401" spans="1:13" x14ac:dyDescent="0.3">
      <c r="A401">
        <v>400</v>
      </c>
      <c r="B401" t="s">
        <v>53</v>
      </c>
      <c r="C401">
        <v>34000000</v>
      </c>
      <c r="D401">
        <v>3963007415</v>
      </c>
      <c r="E401" t="s">
        <v>988</v>
      </c>
      <c r="F401">
        <v>2284</v>
      </c>
      <c r="G401" t="s">
        <v>1081</v>
      </c>
      <c r="H401" t="s">
        <v>1302</v>
      </c>
      <c r="I401">
        <v>26300000</v>
      </c>
      <c r="J401">
        <v>2017</v>
      </c>
      <c r="K401">
        <v>9</v>
      </c>
      <c r="L401">
        <v>7</v>
      </c>
      <c r="M401">
        <v>270203917</v>
      </c>
    </row>
    <row r="402" spans="1:13" x14ac:dyDescent="0.3">
      <c r="A402">
        <v>401</v>
      </c>
      <c r="B402" t="s">
        <v>537</v>
      </c>
      <c r="C402">
        <v>13000000</v>
      </c>
      <c r="D402">
        <v>9999238237</v>
      </c>
      <c r="E402" t="s">
        <v>988</v>
      </c>
      <c r="F402">
        <v>716</v>
      </c>
      <c r="G402" t="s">
        <v>984</v>
      </c>
      <c r="H402" t="s">
        <v>1303</v>
      </c>
      <c r="I402">
        <v>2000000</v>
      </c>
      <c r="J402">
        <v>2007</v>
      </c>
      <c r="K402">
        <v>4</v>
      </c>
      <c r="L402">
        <v>29</v>
      </c>
      <c r="M402">
        <v>328239523</v>
      </c>
    </row>
    <row r="403" spans="1:13" x14ac:dyDescent="0.3">
      <c r="A403">
        <v>402</v>
      </c>
      <c r="B403" t="s">
        <v>367</v>
      </c>
      <c r="C403">
        <v>14600000</v>
      </c>
      <c r="D403">
        <v>3603556207</v>
      </c>
      <c r="E403" t="s">
        <v>996</v>
      </c>
      <c r="F403">
        <v>1244</v>
      </c>
      <c r="G403" t="s">
        <v>984</v>
      </c>
      <c r="H403" t="s">
        <v>1303</v>
      </c>
      <c r="I403">
        <v>4400000</v>
      </c>
      <c r="J403">
        <v>2012</v>
      </c>
      <c r="K403">
        <v>7</v>
      </c>
      <c r="L403">
        <v>9</v>
      </c>
      <c r="M403">
        <v>328239523</v>
      </c>
    </row>
    <row r="404" spans="1:13" x14ac:dyDescent="0.3">
      <c r="A404">
        <v>403</v>
      </c>
      <c r="B404" t="s">
        <v>716</v>
      </c>
      <c r="C404">
        <v>17600000</v>
      </c>
      <c r="D404">
        <v>3802280098</v>
      </c>
      <c r="E404" t="s">
        <v>977</v>
      </c>
      <c r="F404">
        <v>326</v>
      </c>
      <c r="G404" t="s">
        <v>1006</v>
      </c>
      <c r="H404" t="s">
        <v>1302</v>
      </c>
      <c r="I404">
        <v>532700</v>
      </c>
      <c r="J404">
        <v>2011</v>
      </c>
      <c r="K404">
        <v>8</v>
      </c>
      <c r="L404">
        <v>22</v>
      </c>
      <c r="M404">
        <v>51709098</v>
      </c>
    </row>
    <row r="405" spans="1:13" x14ac:dyDescent="0.3">
      <c r="A405">
        <v>404</v>
      </c>
      <c r="B405" t="s">
        <v>675</v>
      </c>
      <c r="C405">
        <v>19100000</v>
      </c>
      <c r="D405">
        <v>13124645973</v>
      </c>
      <c r="E405" t="s">
        <v>988</v>
      </c>
      <c r="F405">
        <v>6526</v>
      </c>
      <c r="G405" t="s">
        <v>984</v>
      </c>
      <c r="H405" t="s">
        <v>1303</v>
      </c>
      <c r="I405">
        <v>827600</v>
      </c>
      <c r="J405">
        <v>2006</v>
      </c>
      <c r="K405">
        <v>9</v>
      </c>
      <c r="L405">
        <v>20</v>
      </c>
      <c r="M405">
        <v>328239523</v>
      </c>
    </row>
    <row r="406" spans="1:13" x14ac:dyDescent="0.3">
      <c r="A406">
        <v>405</v>
      </c>
      <c r="B406" t="s">
        <v>209</v>
      </c>
      <c r="C406">
        <v>34000000</v>
      </c>
      <c r="D406">
        <v>11351015824</v>
      </c>
      <c r="E406" t="s">
        <v>982</v>
      </c>
      <c r="F406">
        <v>240</v>
      </c>
      <c r="G406" t="s">
        <v>978</v>
      </c>
      <c r="H406" t="s">
        <v>1302</v>
      </c>
      <c r="I406">
        <v>8600000</v>
      </c>
      <c r="J406">
        <v>2013</v>
      </c>
      <c r="K406">
        <v>1</v>
      </c>
      <c r="L406">
        <v>24</v>
      </c>
      <c r="M406">
        <v>1366417754</v>
      </c>
    </row>
    <row r="407" spans="1:13" x14ac:dyDescent="0.3">
      <c r="A407">
        <v>406</v>
      </c>
      <c r="B407" t="s">
        <v>621</v>
      </c>
      <c r="C407">
        <v>16200000</v>
      </c>
      <c r="D407">
        <v>4076692623</v>
      </c>
      <c r="E407" t="s">
        <v>996</v>
      </c>
      <c r="F407">
        <v>1294</v>
      </c>
      <c r="G407" t="s">
        <v>1013</v>
      </c>
      <c r="H407" t="s">
        <v>1304</v>
      </c>
      <c r="I407">
        <v>1300000</v>
      </c>
      <c r="J407">
        <v>2011</v>
      </c>
      <c r="K407">
        <v>1</v>
      </c>
      <c r="L407">
        <v>26</v>
      </c>
      <c r="M407">
        <v>66834405</v>
      </c>
    </row>
    <row r="408" spans="1:13" x14ac:dyDescent="0.3">
      <c r="A408">
        <v>407</v>
      </c>
      <c r="B408" t="s">
        <v>492</v>
      </c>
      <c r="C408">
        <v>37200000</v>
      </c>
      <c r="D408">
        <v>16402066717</v>
      </c>
      <c r="E408" t="s">
        <v>1044</v>
      </c>
      <c r="F408">
        <v>220</v>
      </c>
      <c r="G408" t="s">
        <v>978</v>
      </c>
      <c r="H408" t="s">
        <v>1302</v>
      </c>
      <c r="I408">
        <v>2400000</v>
      </c>
      <c r="J408">
        <v>2017</v>
      </c>
      <c r="K408">
        <v>3</v>
      </c>
      <c r="L408">
        <v>20</v>
      </c>
      <c r="M408">
        <v>1366417754</v>
      </c>
    </row>
    <row r="409" spans="1:13" x14ac:dyDescent="0.3">
      <c r="A409">
        <v>408</v>
      </c>
      <c r="B409" t="s">
        <v>725</v>
      </c>
      <c r="C409">
        <v>13600000</v>
      </c>
      <c r="D409">
        <v>5141201173</v>
      </c>
      <c r="E409" t="s">
        <v>990</v>
      </c>
      <c r="F409">
        <v>1097</v>
      </c>
      <c r="G409" t="s">
        <v>978</v>
      </c>
      <c r="H409" t="s">
        <v>1302</v>
      </c>
      <c r="I409">
        <v>516700</v>
      </c>
      <c r="J409">
        <v>2016</v>
      </c>
      <c r="K409">
        <v>12</v>
      </c>
      <c r="L409">
        <v>25</v>
      </c>
      <c r="M409">
        <v>1366417754</v>
      </c>
    </row>
    <row r="410" spans="1:13" x14ac:dyDescent="0.3">
      <c r="A410">
        <v>409</v>
      </c>
      <c r="B410" t="s">
        <v>184</v>
      </c>
      <c r="C410">
        <v>16600000</v>
      </c>
      <c r="D410">
        <v>5819508534</v>
      </c>
      <c r="E410" t="s">
        <v>988</v>
      </c>
      <c r="F410">
        <v>413</v>
      </c>
      <c r="G410" t="s">
        <v>984</v>
      </c>
      <c r="H410" t="s">
        <v>1303</v>
      </c>
      <c r="I410">
        <v>9600000</v>
      </c>
      <c r="J410">
        <v>2006</v>
      </c>
      <c r="K410">
        <v>12</v>
      </c>
      <c r="L410">
        <v>21</v>
      </c>
      <c r="M410">
        <v>328239523</v>
      </c>
    </row>
    <row r="411" spans="1:13" x14ac:dyDescent="0.3">
      <c r="A411">
        <v>410</v>
      </c>
      <c r="B411" t="s">
        <v>1217</v>
      </c>
      <c r="C411">
        <v>15100000</v>
      </c>
      <c r="D411">
        <v>2400037562</v>
      </c>
      <c r="E411" t="s">
        <v>1011</v>
      </c>
      <c r="F411">
        <v>159</v>
      </c>
      <c r="G411" t="s">
        <v>1218</v>
      </c>
      <c r="H411" t="s">
        <v>1304</v>
      </c>
      <c r="I411">
        <v>4</v>
      </c>
      <c r="J411">
        <v>2006</v>
      </c>
      <c r="K411">
        <v>3</v>
      </c>
      <c r="L411">
        <v>12</v>
      </c>
      <c r="M411" t="s">
        <v>1294</v>
      </c>
    </row>
    <row r="412" spans="1:13" x14ac:dyDescent="0.3">
      <c r="A412">
        <v>411</v>
      </c>
      <c r="B412" t="s">
        <v>384</v>
      </c>
      <c r="C412">
        <v>14800000</v>
      </c>
      <c r="D412">
        <v>9076642765</v>
      </c>
      <c r="E412" t="s">
        <v>977</v>
      </c>
      <c r="F412">
        <v>318</v>
      </c>
      <c r="G412" t="s">
        <v>1019</v>
      </c>
      <c r="H412" t="s">
        <v>1305</v>
      </c>
      <c r="I412">
        <v>4200000</v>
      </c>
      <c r="J412">
        <v>2008</v>
      </c>
      <c r="K412">
        <v>7</v>
      </c>
      <c r="L412">
        <v>29</v>
      </c>
      <c r="M412">
        <v>212559417</v>
      </c>
    </row>
    <row r="413" spans="1:13" x14ac:dyDescent="0.3">
      <c r="A413">
        <v>412</v>
      </c>
      <c r="B413" t="s">
        <v>515</v>
      </c>
      <c r="C413">
        <v>23600000</v>
      </c>
      <c r="D413">
        <v>2135644776</v>
      </c>
      <c r="E413" t="s">
        <v>988</v>
      </c>
      <c r="F413">
        <v>226</v>
      </c>
      <c r="G413" t="s">
        <v>1058</v>
      </c>
      <c r="H413" t="s">
        <v>1305</v>
      </c>
      <c r="I413">
        <v>2200000</v>
      </c>
      <c r="J413">
        <v>2014</v>
      </c>
      <c r="K413">
        <v>6</v>
      </c>
      <c r="L413">
        <v>9</v>
      </c>
      <c r="M413">
        <v>126014024</v>
      </c>
    </row>
    <row r="414" spans="1:13" x14ac:dyDescent="0.3">
      <c r="A414">
        <v>413</v>
      </c>
      <c r="B414" t="s">
        <v>431</v>
      </c>
      <c r="C414">
        <v>48100000</v>
      </c>
      <c r="D414">
        <v>14631710289</v>
      </c>
      <c r="E414" t="s">
        <v>996</v>
      </c>
      <c r="F414">
        <v>2052</v>
      </c>
      <c r="G414" t="s">
        <v>1031</v>
      </c>
      <c r="H414" t="s">
        <v>1305</v>
      </c>
      <c r="I414">
        <v>3200000</v>
      </c>
      <c r="J414">
        <v>2013</v>
      </c>
      <c r="K414">
        <v>5</v>
      </c>
      <c r="L414">
        <v>19</v>
      </c>
      <c r="M414">
        <v>18952038</v>
      </c>
    </row>
    <row r="415" spans="1:13" x14ac:dyDescent="0.3">
      <c r="A415">
        <v>414</v>
      </c>
      <c r="B415" t="s">
        <v>777</v>
      </c>
      <c r="C415">
        <v>19400000</v>
      </c>
      <c r="D415">
        <v>1577859332</v>
      </c>
      <c r="E415" t="s">
        <v>994</v>
      </c>
      <c r="F415">
        <v>85</v>
      </c>
      <c r="G415" t="s">
        <v>1058</v>
      </c>
      <c r="H415" t="s">
        <v>1305</v>
      </c>
      <c r="I415">
        <v>114300</v>
      </c>
      <c r="J415">
        <v>2017</v>
      </c>
      <c r="K415">
        <v>9</v>
      </c>
      <c r="L415">
        <v>15</v>
      </c>
      <c r="M415">
        <v>126014024</v>
      </c>
    </row>
    <row r="416" spans="1:13" x14ac:dyDescent="0.3">
      <c r="A416">
        <v>415</v>
      </c>
      <c r="B416" t="s">
        <v>1265</v>
      </c>
      <c r="C416">
        <v>13500000</v>
      </c>
      <c r="D416">
        <v>5380132790</v>
      </c>
      <c r="E416" t="s">
        <v>988</v>
      </c>
      <c r="F416">
        <v>19</v>
      </c>
      <c r="G416" t="s">
        <v>1013</v>
      </c>
      <c r="H416" t="s">
        <v>1304</v>
      </c>
      <c r="I416">
        <v>78</v>
      </c>
      <c r="J416">
        <v>2015</v>
      </c>
      <c r="K416">
        <v>3</v>
      </c>
      <c r="L416">
        <v>24</v>
      </c>
      <c r="M416">
        <v>66834405</v>
      </c>
    </row>
    <row r="417" spans="1:13" x14ac:dyDescent="0.3">
      <c r="A417">
        <v>416</v>
      </c>
      <c r="B417" t="s">
        <v>467</v>
      </c>
      <c r="C417">
        <v>15600000</v>
      </c>
      <c r="D417">
        <v>3869457097</v>
      </c>
      <c r="E417" t="s">
        <v>988</v>
      </c>
      <c r="F417">
        <v>2019</v>
      </c>
      <c r="G417" t="s">
        <v>1019</v>
      </c>
      <c r="H417" t="s">
        <v>1305</v>
      </c>
      <c r="I417">
        <v>2700000</v>
      </c>
      <c r="J417">
        <v>2010</v>
      </c>
      <c r="K417">
        <v>5</v>
      </c>
      <c r="L417">
        <v>9</v>
      </c>
      <c r="M417">
        <v>212559417</v>
      </c>
    </row>
    <row r="418" spans="1:13" x14ac:dyDescent="0.3">
      <c r="A418">
        <v>417</v>
      </c>
      <c r="B418" t="s">
        <v>36</v>
      </c>
      <c r="C418">
        <v>26200000</v>
      </c>
      <c r="D418">
        <v>16097531087</v>
      </c>
      <c r="E418" t="s">
        <v>988</v>
      </c>
      <c r="F418">
        <v>5985</v>
      </c>
      <c r="G418" t="s">
        <v>997</v>
      </c>
      <c r="H418" t="s">
        <v>1302</v>
      </c>
      <c r="I418">
        <v>34600000</v>
      </c>
      <c r="J418">
        <v>2020</v>
      </c>
      <c r="K418">
        <v>9</v>
      </c>
      <c r="L418">
        <v>14</v>
      </c>
      <c r="M418">
        <v>126226568</v>
      </c>
    </row>
    <row r="419" spans="1:13" x14ac:dyDescent="0.3">
      <c r="A419">
        <v>418</v>
      </c>
      <c r="B419" t="s">
        <v>672</v>
      </c>
      <c r="C419">
        <v>13300000</v>
      </c>
      <c r="D419">
        <v>7406628736</v>
      </c>
      <c r="E419" t="s">
        <v>1044</v>
      </c>
      <c r="F419">
        <v>6916</v>
      </c>
      <c r="G419" t="s">
        <v>984</v>
      </c>
      <c r="H419" t="s">
        <v>1303</v>
      </c>
      <c r="I419">
        <v>838500</v>
      </c>
      <c r="J419">
        <v>2007</v>
      </c>
      <c r="K419">
        <v>1</v>
      </c>
      <c r="L419">
        <v>14</v>
      </c>
      <c r="M419">
        <v>328239523</v>
      </c>
    </row>
    <row r="420" spans="1:13" x14ac:dyDescent="0.3">
      <c r="A420">
        <v>419</v>
      </c>
      <c r="B420" t="s">
        <v>212</v>
      </c>
      <c r="C420">
        <v>71600000</v>
      </c>
      <c r="D420">
        <v>30608119724</v>
      </c>
      <c r="E420" t="s">
        <v>977</v>
      </c>
      <c r="F420">
        <v>249</v>
      </c>
      <c r="G420" t="s">
        <v>1017</v>
      </c>
      <c r="H420" t="s">
        <v>1303</v>
      </c>
      <c r="I420">
        <v>8500000</v>
      </c>
      <c r="J420">
        <v>2007</v>
      </c>
      <c r="K420">
        <v>1</v>
      </c>
      <c r="L420">
        <v>15</v>
      </c>
      <c r="M420">
        <v>36991981</v>
      </c>
    </row>
    <row r="421" spans="1:13" x14ac:dyDescent="0.3">
      <c r="A421">
        <v>420</v>
      </c>
      <c r="B421" t="s">
        <v>331</v>
      </c>
      <c r="C421">
        <v>31600000</v>
      </c>
      <c r="D421">
        <v>26583873105</v>
      </c>
      <c r="E421" t="s">
        <v>977</v>
      </c>
      <c r="F421">
        <v>204</v>
      </c>
      <c r="G421" t="s">
        <v>984</v>
      </c>
      <c r="H421" t="s">
        <v>1303</v>
      </c>
      <c r="I421">
        <v>5000000</v>
      </c>
      <c r="J421">
        <v>2009</v>
      </c>
      <c r="K421">
        <v>9</v>
      </c>
      <c r="L421">
        <v>26</v>
      </c>
      <c r="M421">
        <v>328239523</v>
      </c>
    </row>
    <row r="422" spans="1:13" x14ac:dyDescent="0.3">
      <c r="A422">
        <v>421</v>
      </c>
      <c r="B422" t="s">
        <v>121</v>
      </c>
      <c r="C422">
        <v>27400000</v>
      </c>
      <c r="D422">
        <v>19883150017</v>
      </c>
      <c r="E422" t="s">
        <v>977</v>
      </c>
      <c r="F422">
        <v>1753</v>
      </c>
      <c r="G422" t="s">
        <v>1006</v>
      </c>
      <c r="H422" t="s">
        <v>1302</v>
      </c>
      <c r="I422">
        <v>14800000</v>
      </c>
      <c r="J422">
        <v>2008</v>
      </c>
      <c r="K422">
        <v>1</v>
      </c>
      <c r="L422">
        <v>25</v>
      </c>
      <c r="M422">
        <v>51709098</v>
      </c>
    </row>
    <row r="423" spans="1:13" x14ac:dyDescent="0.3">
      <c r="A423">
        <v>422</v>
      </c>
      <c r="B423" t="s">
        <v>528</v>
      </c>
      <c r="C423">
        <v>13300000</v>
      </c>
      <c r="D423">
        <v>2831275503</v>
      </c>
      <c r="E423" t="s">
        <v>1011</v>
      </c>
      <c r="F423">
        <v>1489</v>
      </c>
      <c r="G423" t="s">
        <v>978</v>
      </c>
      <c r="H423" t="s">
        <v>1302</v>
      </c>
      <c r="I423">
        <v>2100000</v>
      </c>
      <c r="J423">
        <v>2014</v>
      </c>
      <c r="K423">
        <v>10</v>
      </c>
      <c r="L423">
        <v>7</v>
      </c>
      <c r="M423">
        <v>1366417754</v>
      </c>
    </row>
    <row r="424" spans="1:13" x14ac:dyDescent="0.3">
      <c r="A424">
        <v>423</v>
      </c>
      <c r="B424" t="s">
        <v>383</v>
      </c>
      <c r="C424">
        <v>13900000</v>
      </c>
      <c r="D424">
        <v>9106781518</v>
      </c>
      <c r="E424" t="s">
        <v>988</v>
      </c>
      <c r="F424">
        <v>2254</v>
      </c>
      <c r="G424" t="s">
        <v>1098</v>
      </c>
      <c r="H424" t="s">
        <v>1302</v>
      </c>
      <c r="I424">
        <v>4200000</v>
      </c>
      <c r="J424">
        <v>2012</v>
      </c>
      <c r="K424">
        <v>1</v>
      </c>
      <c r="L424">
        <v>18</v>
      </c>
      <c r="M424">
        <v>10101694</v>
      </c>
    </row>
    <row r="425" spans="1:13" x14ac:dyDescent="0.3">
      <c r="A425">
        <v>424</v>
      </c>
      <c r="B425" t="s">
        <v>67</v>
      </c>
      <c r="C425">
        <v>32100000</v>
      </c>
      <c r="D425">
        <v>18699145555</v>
      </c>
      <c r="E425" t="s">
        <v>977</v>
      </c>
      <c r="F425">
        <v>134</v>
      </c>
      <c r="G425" t="s">
        <v>1051</v>
      </c>
      <c r="H425" t="s">
        <v>1305</v>
      </c>
      <c r="I425">
        <v>22400000</v>
      </c>
      <c r="J425">
        <v>2013</v>
      </c>
      <c r="K425">
        <v>3</v>
      </c>
      <c r="L425">
        <v>14</v>
      </c>
      <c r="M425">
        <v>50339443</v>
      </c>
    </row>
    <row r="426" spans="1:13" x14ac:dyDescent="0.3">
      <c r="A426">
        <v>425</v>
      </c>
      <c r="B426" t="s">
        <v>262</v>
      </c>
      <c r="C426">
        <v>15500000</v>
      </c>
      <c r="D426">
        <v>12714141740</v>
      </c>
      <c r="E426" t="s">
        <v>988</v>
      </c>
      <c r="F426">
        <v>1525</v>
      </c>
      <c r="G426" t="s">
        <v>978</v>
      </c>
      <c r="H426" t="s">
        <v>1302</v>
      </c>
      <c r="I426">
        <v>6700000</v>
      </c>
      <c r="J426">
        <v>2017</v>
      </c>
      <c r="K426">
        <v>4</v>
      </c>
      <c r="L426">
        <v>9</v>
      </c>
      <c r="M426">
        <v>1366417754</v>
      </c>
    </row>
    <row r="427" spans="1:13" x14ac:dyDescent="0.3">
      <c r="A427">
        <v>426</v>
      </c>
      <c r="B427" t="s">
        <v>368</v>
      </c>
      <c r="C427">
        <v>15500000</v>
      </c>
      <c r="D427">
        <v>6386271870</v>
      </c>
      <c r="E427" t="s">
        <v>977</v>
      </c>
      <c r="F427">
        <v>220</v>
      </c>
      <c r="G427" t="s">
        <v>1071</v>
      </c>
      <c r="H427" t="s">
        <v>1302</v>
      </c>
      <c r="I427">
        <v>4400000</v>
      </c>
      <c r="J427">
        <v>2010</v>
      </c>
      <c r="K427">
        <v>7</v>
      </c>
      <c r="L427">
        <v>26</v>
      </c>
      <c r="M427">
        <v>34268528</v>
      </c>
    </row>
    <row r="428" spans="1:13" x14ac:dyDescent="0.3">
      <c r="A428">
        <v>427</v>
      </c>
      <c r="B428" t="s">
        <v>486</v>
      </c>
      <c r="C428">
        <v>17900000</v>
      </c>
      <c r="D428">
        <v>3841205465</v>
      </c>
      <c r="E428" t="s">
        <v>994</v>
      </c>
      <c r="F428">
        <v>982</v>
      </c>
      <c r="G428" t="s">
        <v>984</v>
      </c>
      <c r="H428" t="s">
        <v>1303</v>
      </c>
      <c r="I428">
        <v>2500000</v>
      </c>
      <c r="J428">
        <v>2015</v>
      </c>
      <c r="K428">
        <v>5</v>
      </c>
      <c r="L428">
        <v>19</v>
      </c>
      <c r="M428">
        <v>328239523</v>
      </c>
    </row>
    <row r="429" spans="1:13" x14ac:dyDescent="0.3">
      <c r="A429">
        <v>428</v>
      </c>
      <c r="B429" t="s">
        <v>276</v>
      </c>
      <c r="C429">
        <v>44200000</v>
      </c>
      <c r="D429">
        <v>25458952022</v>
      </c>
      <c r="E429" t="s">
        <v>977</v>
      </c>
      <c r="F429">
        <v>128</v>
      </c>
      <c r="G429" t="s">
        <v>984</v>
      </c>
      <c r="H429" t="s">
        <v>1303</v>
      </c>
      <c r="I429">
        <v>6400000</v>
      </c>
      <c r="J429">
        <v>2008</v>
      </c>
      <c r="K429">
        <v>6</v>
      </c>
      <c r="L429">
        <v>1</v>
      </c>
      <c r="M429">
        <v>328239523</v>
      </c>
    </row>
    <row r="430" spans="1:13" x14ac:dyDescent="0.3">
      <c r="A430">
        <v>429</v>
      </c>
      <c r="B430" t="s">
        <v>374</v>
      </c>
      <c r="C430">
        <v>24600000</v>
      </c>
      <c r="D430">
        <v>23755792542</v>
      </c>
      <c r="E430" t="s">
        <v>977</v>
      </c>
      <c r="F430">
        <v>175</v>
      </c>
      <c r="G430" t="s">
        <v>984</v>
      </c>
      <c r="H430" t="s">
        <v>1303</v>
      </c>
      <c r="I430">
        <v>4300000</v>
      </c>
      <c r="J430">
        <v>2009</v>
      </c>
      <c r="K430">
        <v>12</v>
      </c>
      <c r="L430">
        <v>13</v>
      </c>
      <c r="M430">
        <v>328239523</v>
      </c>
    </row>
    <row r="431" spans="1:13" x14ac:dyDescent="0.3">
      <c r="A431">
        <v>430</v>
      </c>
      <c r="B431" t="s">
        <v>736</v>
      </c>
      <c r="C431">
        <v>16400000</v>
      </c>
      <c r="D431">
        <v>4434679706</v>
      </c>
      <c r="E431" t="s">
        <v>1044</v>
      </c>
      <c r="F431">
        <v>428</v>
      </c>
      <c r="G431" t="s">
        <v>1048</v>
      </c>
      <c r="H431" t="s">
        <v>1302</v>
      </c>
      <c r="I431">
        <v>448400</v>
      </c>
      <c r="J431">
        <v>2011</v>
      </c>
      <c r="K431">
        <v>1</v>
      </c>
      <c r="L431">
        <v>24</v>
      </c>
      <c r="M431">
        <v>69625582</v>
      </c>
    </row>
    <row r="432" spans="1:13" x14ac:dyDescent="0.3">
      <c r="A432">
        <v>431</v>
      </c>
      <c r="B432" t="s">
        <v>323</v>
      </c>
      <c r="C432">
        <v>19000000</v>
      </c>
      <c r="D432">
        <v>15126092508</v>
      </c>
      <c r="E432" t="s">
        <v>988</v>
      </c>
      <c r="F432">
        <v>64496</v>
      </c>
      <c r="G432" t="s">
        <v>1006</v>
      </c>
      <c r="H432" t="s">
        <v>1302</v>
      </c>
      <c r="I432">
        <v>5200000</v>
      </c>
      <c r="J432">
        <v>2007</v>
      </c>
      <c r="K432">
        <v>1</v>
      </c>
      <c r="L432">
        <v>6</v>
      </c>
      <c r="M432">
        <v>51709098</v>
      </c>
    </row>
    <row r="433" spans="1:13" x14ac:dyDescent="0.3">
      <c r="A433">
        <v>432</v>
      </c>
      <c r="B433" t="s">
        <v>662</v>
      </c>
      <c r="C433">
        <v>15400000</v>
      </c>
      <c r="D433">
        <v>4750420071</v>
      </c>
      <c r="E433" t="s">
        <v>994</v>
      </c>
      <c r="F433">
        <v>4186</v>
      </c>
      <c r="G433" t="s">
        <v>1081</v>
      </c>
      <c r="H433" t="s">
        <v>1302</v>
      </c>
      <c r="I433">
        <v>947500</v>
      </c>
      <c r="J433">
        <v>2018</v>
      </c>
      <c r="K433">
        <v>11</v>
      </c>
      <c r="L433">
        <v>21</v>
      </c>
      <c r="M433">
        <v>270203917</v>
      </c>
    </row>
    <row r="434" spans="1:13" x14ac:dyDescent="0.3">
      <c r="A434">
        <v>433</v>
      </c>
      <c r="B434" t="s">
        <v>1143</v>
      </c>
      <c r="C434">
        <v>21200000</v>
      </c>
      <c r="D434">
        <v>2073073070</v>
      </c>
      <c r="E434" t="s">
        <v>990</v>
      </c>
      <c r="F434">
        <v>1</v>
      </c>
      <c r="G434" t="s">
        <v>1294</v>
      </c>
      <c r="H434" t="s">
        <v>1294</v>
      </c>
      <c r="I434">
        <v>0</v>
      </c>
      <c r="J434">
        <v>2017</v>
      </c>
      <c r="K434">
        <v>1</v>
      </c>
      <c r="L434">
        <v>5</v>
      </c>
      <c r="M434" t="s">
        <v>1294</v>
      </c>
    </row>
    <row r="435" spans="1:13" x14ac:dyDescent="0.3">
      <c r="A435">
        <v>434</v>
      </c>
      <c r="B435" t="s">
        <v>637</v>
      </c>
      <c r="C435">
        <v>33500000</v>
      </c>
      <c r="D435">
        <v>11405809704</v>
      </c>
      <c r="E435" t="s">
        <v>1044</v>
      </c>
      <c r="F435">
        <v>217</v>
      </c>
      <c r="G435" t="s">
        <v>978</v>
      </c>
      <c r="H435" t="s">
        <v>1302</v>
      </c>
      <c r="I435">
        <v>1200000</v>
      </c>
      <c r="J435">
        <v>2013</v>
      </c>
      <c r="K435">
        <v>11</v>
      </c>
      <c r="L435">
        <v>11</v>
      </c>
      <c r="M435">
        <v>1366417754</v>
      </c>
    </row>
    <row r="436" spans="1:13" x14ac:dyDescent="0.3">
      <c r="A436">
        <v>435</v>
      </c>
      <c r="B436" t="s">
        <v>311</v>
      </c>
      <c r="C436">
        <v>20200000</v>
      </c>
      <c r="D436">
        <v>7274150246</v>
      </c>
      <c r="E436" t="s">
        <v>990</v>
      </c>
      <c r="F436">
        <v>226</v>
      </c>
      <c r="G436" t="s">
        <v>978</v>
      </c>
      <c r="H436" t="s">
        <v>1302</v>
      </c>
      <c r="I436">
        <v>5400000</v>
      </c>
      <c r="J436">
        <v>2017</v>
      </c>
      <c r="K436">
        <v>5</v>
      </c>
      <c r="L436">
        <v>25</v>
      </c>
      <c r="M436">
        <v>1366417754</v>
      </c>
    </row>
    <row r="437" spans="1:13" x14ac:dyDescent="0.3">
      <c r="A437">
        <v>436</v>
      </c>
      <c r="B437" t="s">
        <v>231</v>
      </c>
      <c r="C437">
        <v>13300000</v>
      </c>
      <c r="D437">
        <v>9088562002</v>
      </c>
      <c r="E437" t="s">
        <v>994</v>
      </c>
      <c r="F437">
        <v>2742</v>
      </c>
      <c r="G437" t="s">
        <v>984</v>
      </c>
      <c r="H437" t="s">
        <v>1303</v>
      </c>
      <c r="I437">
        <v>7800000</v>
      </c>
      <c r="J437">
        <v>2011</v>
      </c>
      <c r="K437">
        <v>11</v>
      </c>
      <c r="L437">
        <v>26</v>
      </c>
      <c r="M437">
        <v>328239523</v>
      </c>
    </row>
    <row r="438" spans="1:13" x14ac:dyDescent="0.3">
      <c r="A438">
        <v>437</v>
      </c>
      <c r="B438" t="s">
        <v>636</v>
      </c>
      <c r="C438">
        <v>16200000</v>
      </c>
      <c r="D438">
        <v>8091706232</v>
      </c>
      <c r="E438" t="s">
        <v>988</v>
      </c>
      <c r="F438">
        <v>593</v>
      </c>
      <c r="G438" t="s">
        <v>984</v>
      </c>
      <c r="H438" t="s">
        <v>1303</v>
      </c>
      <c r="I438">
        <v>1200000</v>
      </c>
      <c r="J438">
        <v>2018</v>
      </c>
      <c r="K438">
        <v>5</v>
      </c>
      <c r="L438">
        <v>14</v>
      </c>
      <c r="M438">
        <v>328239523</v>
      </c>
    </row>
    <row r="439" spans="1:13" x14ac:dyDescent="0.3">
      <c r="A439">
        <v>438</v>
      </c>
      <c r="B439" t="s">
        <v>285</v>
      </c>
      <c r="C439">
        <v>23100000</v>
      </c>
      <c r="D439">
        <v>13151870846</v>
      </c>
      <c r="E439" t="s">
        <v>992</v>
      </c>
      <c r="F439">
        <v>3781</v>
      </c>
      <c r="G439" t="s">
        <v>984</v>
      </c>
      <c r="H439" t="s">
        <v>1303</v>
      </c>
      <c r="I439">
        <v>6200000</v>
      </c>
      <c r="J439">
        <v>2013</v>
      </c>
      <c r="K439">
        <v>8</v>
      </c>
      <c r="L439">
        <v>30</v>
      </c>
      <c r="M439">
        <v>328239523</v>
      </c>
    </row>
    <row r="440" spans="1:13" x14ac:dyDescent="0.3">
      <c r="A440">
        <v>439</v>
      </c>
      <c r="B440" t="s">
        <v>405</v>
      </c>
      <c r="C440">
        <v>13800000</v>
      </c>
      <c r="D440">
        <v>6646953396</v>
      </c>
      <c r="E440" t="s">
        <v>992</v>
      </c>
      <c r="F440">
        <v>1505</v>
      </c>
      <c r="G440" t="s">
        <v>978</v>
      </c>
      <c r="H440" t="s">
        <v>1302</v>
      </c>
      <c r="I440">
        <v>3800000</v>
      </c>
      <c r="J440">
        <v>2014</v>
      </c>
      <c r="K440">
        <v>11</v>
      </c>
      <c r="L440">
        <v>17</v>
      </c>
      <c r="M440">
        <v>1366417754</v>
      </c>
    </row>
    <row r="441" spans="1:13" x14ac:dyDescent="0.3">
      <c r="A441">
        <v>440</v>
      </c>
      <c r="B441" t="s">
        <v>617</v>
      </c>
      <c r="C441">
        <v>15100000</v>
      </c>
      <c r="D441">
        <v>1576633086</v>
      </c>
      <c r="E441" t="s">
        <v>977</v>
      </c>
      <c r="F441">
        <v>18</v>
      </c>
      <c r="G441" t="s">
        <v>1294</v>
      </c>
      <c r="H441" t="s">
        <v>1294</v>
      </c>
      <c r="I441">
        <v>1300000</v>
      </c>
      <c r="J441">
        <v>2019</v>
      </c>
      <c r="K441">
        <v>1</v>
      </c>
      <c r="L441">
        <v>18</v>
      </c>
      <c r="M441" t="s">
        <v>1294</v>
      </c>
    </row>
    <row r="442" spans="1:13" x14ac:dyDescent="0.3">
      <c r="A442">
        <v>441</v>
      </c>
      <c r="B442" t="s">
        <v>267</v>
      </c>
      <c r="C442">
        <v>41300000</v>
      </c>
      <c r="D442">
        <v>5603111948</v>
      </c>
      <c r="E442" t="s">
        <v>994</v>
      </c>
      <c r="F442">
        <v>291</v>
      </c>
      <c r="G442" t="s">
        <v>1058</v>
      </c>
      <c r="H442" t="s">
        <v>1305</v>
      </c>
      <c r="I442">
        <v>6600000</v>
      </c>
      <c r="J442">
        <v>2016</v>
      </c>
      <c r="K442">
        <v>11</v>
      </c>
      <c r="L442">
        <v>16</v>
      </c>
      <c r="M442">
        <v>126014024</v>
      </c>
    </row>
    <row r="443" spans="1:13" x14ac:dyDescent="0.3">
      <c r="A443">
        <v>442</v>
      </c>
      <c r="B443" t="s">
        <v>263</v>
      </c>
      <c r="C443">
        <v>22200000</v>
      </c>
      <c r="D443">
        <v>11136266461</v>
      </c>
      <c r="E443" t="s">
        <v>988</v>
      </c>
      <c r="F443">
        <v>999</v>
      </c>
      <c r="G443" t="s">
        <v>984</v>
      </c>
      <c r="H443" t="s">
        <v>1303</v>
      </c>
      <c r="I443">
        <v>6700000</v>
      </c>
      <c r="J443">
        <v>2015</v>
      </c>
      <c r="K443">
        <v>9</v>
      </c>
      <c r="L443">
        <v>25</v>
      </c>
      <c r="M443">
        <v>328239523</v>
      </c>
    </row>
    <row r="444" spans="1:13" x14ac:dyDescent="0.3">
      <c r="A444">
        <v>443</v>
      </c>
      <c r="B444" t="s">
        <v>2</v>
      </c>
      <c r="C444">
        <v>22800000</v>
      </c>
      <c r="D444">
        <v>17988347989</v>
      </c>
      <c r="E444" t="s">
        <v>988</v>
      </c>
      <c r="F444">
        <v>1841</v>
      </c>
      <c r="G444" t="s">
        <v>1294</v>
      </c>
      <c r="H444" t="s">
        <v>1294</v>
      </c>
      <c r="I444">
        <v>97600000</v>
      </c>
      <c r="J444">
        <v>2020</v>
      </c>
      <c r="K444">
        <v>7</v>
      </c>
      <c r="L444">
        <v>21</v>
      </c>
      <c r="M444" t="s">
        <v>1294</v>
      </c>
    </row>
    <row r="445" spans="1:13" x14ac:dyDescent="0.3">
      <c r="A445">
        <v>444</v>
      </c>
      <c r="B445" t="s">
        <v>869</v>
      </c>
      <c r="C445">
        <v>13100000</v>
      </c>
      <c r="D445">
        <v>1936582704</v>
      </c>
      <c r="E445" t="s">
        <v>994</v>
      </c>
      <c r="F445">
        <v>7</v>
      </c>
      <c r="G445" t="s">
        <v>1294</v>
      </c>
      <c r="H445" t="s">
        <v>1294</v>
      </c>
      <c r="I445">
        <v>0.1</v>
      </c>
      <c r="J445">
        <v>2019</v>
      </c>
      <c r="K445">
        <v>11</v>
      </c>
      <c r="L445">
        <v>24</v>
      </c>
      <c r="M445" t="s">
        <v>1294</v>
      </c>
    </row>
    <row r="446" spans="1:13" x14ac:dyDescent="0.3">
      <c r="A446">
        <v>445</v>
      </c>
      <c r="B446" t="s">
        <v>309</v>
      </c>
      <c r="C446">
        <v>15000000</v>
      </c>
      <c r="D446">
        <v>11827310821</v>
      </c>
      <c r="E446" t="s">
        <v>1026</v>
      </c>
      <c r="F446">
        <v>269050</v>
      </c>
      <c r="G446" t="s">
        <v>1081</v>
      </c>
      <c r="H446" t="s">
        <v>1302</v>
      </c>
      <c r="I446">
        <v>5400000</v>
      </c>
      <c r="J446">
        <v>2013</v>
      </c>
      <c r="K446">
        <v>8</v>
      </c>
      <c r="L446">
        <v>23</v>
      </c>
      <c r="M446">
        <v>270203917</v>
      </c>
    </row>
    <row r="447" spans="1:13" x14ac:dyDescent="0.3">
      <c r="A447">
        <v>446</v>
      </c>
      <c r="B447" t="s">
        <v>75</v>
      </c>
      <c r="C447">
        <v>17400000</v>
      </c>
      <c r="D447">
        <v>16560557488</v>
      </c>
      <c r="E447" t="s">
        <v>994</v>
      </c>
      <c r="F447">
        <v>2078</v>
      </c>
      <c r="G447" t="s">
        <v>1294</v>
      </c>
      <c r="H447" t="s">
        <v>1294</v>
      </c>
      <c r="I447">
        <v>20500000</v>
      </c>
      <c r="J447">
        <v>2016</v>
      </c>
      <c r="K447">
        <v>7</v>
      </c>
      <c r="L447">
        <v>8</v>
      </c>
      <c r="M447" t="s">
        <v>1294</v>
      </c>
    </row>
    <row r="448" spans="1:13" x14ac:dyDescent="0.3">
      <c r="A448">
        <v>447</v>
      </c>
      <c r="B448" t="s">
        <v>756</v>
      </c>
      <c r="C448">
        <v>24100000</v>
      </c>
      <c r="D448">
        <v>6002166932</v>
      </c>
      <c r="E448" t="s">
        <v>988</v>
      </c>
      <c r="F448">
        <v>1252</v>
      </c>
      <c r="G448" t="s">
        <v>1013</v>
      </c>
      <c r="H448" t="s">
        <v>1304</v>
      </c>
      <c r="I448">
        <v>261100</v>
      </c>
      <c r="J448">
        <v>2009</v>
      </c>
      <c r="K448">
        <v>7</v>
      </c>
      <c r="L448">
        <v>25</v>
      </c>
      <c r="M448">
        <v>66834405</v>
      </c>
    </row>
    <row r="449" spans="1:13" x14ac:dyDescent="0.3">
      <c r="A449">
        <v>448</v>
      </c>
      <c r="B449" t="s">
        <v>352</v>
      </c>
      <c r="C449">
        <v>15600000</v>
      </c>
      <c r="D449">
        <v>6862529416</v>
      </c>
      <c r="E449" t="s">
        <v>996</v>
      </c>
      <c r="F449">
        <v>6623</v>
      </c>
      <c r="G449" t="s">
        <v>1294</v>
      </c>
      <c r="H449" t="s">
        <v>1294</v>
      </c>
      <c r="I449">
        <v>4700000</v>
      </c>
      <c r="J449">
        <v>2012</v>
      </c>
      <c r="K449">
        <v>12</v>
      </c>
      <c r="L449">
        <v>23</v>
      </c>
      <c r="M449" t="s">
        <v>1294</v>
      </c>
    </row>
    <row r="450" spans="1:13" x14ac:dyDescent="0.3">
      <c r="A450">
        <v>449</v>
      </c>
      <c r="B450" t="s">
        <v>765</v>
      </c>
      <c r="C450">
        <v>13300000</v>
      </c>
      <c r="D450">
        <v>3733856870</v>
      </c>
      <c r="E450" t="s">
        <v>988</v>
      </c>
      <c r="F450">
        <v>698</v>
      </c>
      <c r="G450" t="s">
        <v>984</v>
      </c>
      <c r="H450" t="s">
        <v>1303</v>
      </c>
      <c r="I450">
        <v>203200</v>
      </c>
      <c r="J450">
        <v>2007</v>
      </c>
      <c r="K450">
        <v>10</v>
      </c>
      <c r="L450">
        <v>16</v>
      </c>
      <c r="M450">
        <v>328239523</v>
      </c>
    </row>
    <row r="451" spans="1:13" x14ac:dyDescent="0.3">
      <c r="A451">
        <v>450</v>
      </c>
      <c r="B451" t="s">
        <v>599</v>
      </c>
      <c r="C451">
        <v>20800000</v>
      </c>
      <c r="D451">
        <v>2378448129</v>
      </c>
      <c r="E451" t="s">
        <v>990</v>
      </c>
      <c r="F451">
        <v>193</v>
      </c>
      <c r="G451" t="s">
        <v>1130</v>
      </c>
      <c r="H451" t="s">
        <v>1304</v>
      </c>
      <c r="I451">
        <v>1400000</v>
      </c>
      <c r="J451">
        <v>2013</v>
      </c>
      <c r="K451">
        <v>7</v>
      </c>
      <c r="L451">
        <v>9</v>
      </c>
      <c r="M451">
        <v>83132799</v>
      </c>
    </row>
    <row r="452" spans="1:13" x14ac:dyDescent="0.3">
      <c r="A452">
        <v>451</v>
      </c>
      <c r="B452" t="s">
        <v>601</v>
      </c>
      <c r="C452">
        <v>15000000</v>
      </c>
      <c r="D452">
        <v>6889304306</v>
      </c>
      <c r="E452" t="s">
        <v>996</v>
      </c>
      <c r="F452">
        <v>5198</v>
      </c>
      <c r="G452" t="s">
        <v>984</v>
      </c>
      <c r="H452" t="s">
        <v>1303</v>
      </c>
      <c r="I452">
        <v>1400000</v>
      </c>
      <c r="J452">
        <v>2008</v>
      </c>
      <c r="K452">
        <v>4</v>
      </c>
      <c r="L452">
        <v>2</v>
      </c>
      <c r="M452">
        <v>328239523</v>
      </c>
    </row>
    <row r="453" spans="1:13" x14ac:dyDescent="0.3">
      <c r="A453">
        <v>452</v>
      </c>
      <c r="B453" t="s">
        <v>124</v>
      </c>
      <c r="C453">
        <v>35700000</v>
      </c>
      <c r="D453">
        <v>27118354077</v>
      </c>
      <c r="E453" t="s">
        <v>977</v>
      </c>
      <c r="F453">
        <v>654</v>
      </c>
      <c r="G453" t="s">
        <v>1023</v>
      </c>
      <c r="H453" t="s">
        <v>1305</v>
      </c>
      <c r="I453">
        <v>14500000</v>
      </c>
      <c r="J453">
        <v>2013</v>
      </c>
      <c r="K453">
        <v>6</v>
      </c>
      <c r="L453">
        <v>6</v>
      </c>
      <c r="M453">
        <v>44938712</v>
      </c>
    </row>
    <row r="454" spans="1:13" x14ac:dyDescent="0.3">
      <c r="A454">
        <v>453</v>
      </c>
      <c r="B454" t="s">
        <v>655</v>
      </c>
      <c r="C454">
        <v>14800000</v>
      </c>
      <c r="D454">
        <v>5269059435</v>
      </c>
      <c r="E454" t="s">
        <v>996</v>
      </c>
      <c r="F454">
        <v>3834</v>
      </c>
      <c r="G454" t="s">
        <v>1114</v>
      </c>
      <c r="H454" t="s">
        <v>1114</v>
      </c>
      <c r="I454">
        <v>1000000</v>
      </c>
      <c r="J454">
        <v>2013</v>
      </c>
      <c r="K454">
        <v>3</v>
      </c>
      <c r="L454">
        <v>19</v>
      </c>
      <c r="M454">
        <v>25766605</v>
      </c>
    </row>
    <row r="455" spans="1:13" x14ac:dyDescent="0.3">
      <c r="A455">
        <v>454</v>
      </c>
      <c r="B455" t="s">
        <v>415</v>
      </c>
      <c r="C455">
        <v>13500000</v>
      </c>
      <c r="D455">
        <v>8265920659</v>
      </c>
      <c r="E455" t="s">
        <v>988</v>
      </c>
      <c r="F455">
        <v>1403</v>
      </c>
      <c r="G455" t="s">
        <v>1152</v>
      </c>
      <c r="H455" t="s">
        <v>1304</v>
      </c>
      <c r="I455">
        <v>3600000</v>
      </c>
      <c r="J455">
        <v>2016</v>
      </c>
      <c r="K455">
        <v>3</v>
      </c>
      <c r="L455">
        <v>21</v>
      </c>
      <c r="M455">
        <v>44385155</v>
      </c>
    </row>
    <row r="456" spans="1:13" x14ac:dyDescent="0.3">
      <c r="A456">
        <v>455</v>
      </c>
      <c r="B456" t="s">
        <v>253</v>
      </c>
      <c r="C456">
        <v>23200000</v>
      </c>
      <c r="D456">
        <v>15751661213</v>
      </c>
      <c r="E456" t="s">
        <v>994</v>
      </c>
      <c r="F456">
        <v>172</v>
      </c>
      <c r="G456" t="s">
        <v>984</v>
      </c>
      <c r="H456" t="s">
        <v>1303</v>
      </c>
      <c r="I456">
        <v>6900000</v>
      </c>
      <c r="J456">
        <v>2008</v>
      </c>
      <c r="K456">
        <v>5</v>
      </c>
      <c r="L456">
        <v>15</v>
      </c>
      <c r="M456">
        <v>328239523</v>
      </c>
    </row>
    <row r="457" spans="1:13" x14ac:dyDescent="0.3">
      <c r="A457">
        <v>456</v>
      </c>
      <c r="B457" t="s">
        <v>376</v>
      </c>
      <c r="C457">
        <v>16600000</v>
      </c>
      <c r="D457">
        <v>11946217860</v>
      </c>
      <c r="E457" t="s">
        <v>977</v>
      </c>
      <c r="F457">
        <v>8976</v>
      </c>
      <c r="G457" t="s">
        <v>978</v>
      </c>
      <c r="H457" t="s">
        <v>1302</v>
      </c>
      <c r="I457">
        <v>4300000</v>
      </c>
      <c r="J457">
        <v>2011</v>
      </c>
      <c r="K457">
        <v>11</v>
      </c>
      <c r="L457">
        <v>21</v>
      </c>
      <c r="M457">
        <v>1366417754</v>
      </c>
    </row>
    <row r="458" spans="1:13" x14ac:dyDescent="0.3">
      <c r="A458">
        <v>457</v>
      </c>
      <c r="B458" t="s">
        <v>271</v>
      </c>
      <c r="C458">
        <v>14100000</v>
      </c>
      <c r="D458">
        <v>6884215292</v>
      </c>
      <c r="E458" t="s">
        <v>977</v>
      </c>
      <c r="F458">
        <v>43</v>
      </c>
      <c r="G458" t="s">
        <v>984</v>
      </c>
      <c r="H458" t="s">
        <v>1303</v>
      </c>
      <c r="I458">
        <v>6500000</v>
      </c>
      <c r="J458">
        <v>2011</v>
      </c>
      <c r="K458">
        <v>5</v>
      </c>
      <c r="L458">
        <v>5</v>
      </c>
      <c r="M458">
        <v>328239523</v>
      </c>
    </row>
    <row r="459" spans="1:13" x14ac:dyDescent="0.3">
      <c r="A459">
        <v>458</v>
      </c>
      <c r="B459" t="s">
        <v>28</v>
      </c>
      <c r="C459">
        <v>25400000</v>
      </c>
      <c r="D459">
        <v>34300482066</v>
      </c>
      <c r="E459" t="s">
        <v>1044</v>
      </c>
      <c r="F459">
        <v>8775</v>
      </c>
      <c r="G459" t="s">
        <v>984</v>
      </c>
      <c r="H459" t="s">
        <v>1303</v>
      </c>
      <c r="I459">
        <v>39100000</v>
      </c>
      <c r="J459">
        <v>2016</v>
      </c>
      <c r="K459">
        <v>7</v>
      </c>
      <c r="L459">
        <v>30</v>
      </c>
      <c r="M459">
        <v>328239523</v>
      </c>
    </row>
    <row r="460" spans="1:13" x14ac:dyDescent="0.3">
      <c r="A460">
        <v>459</v>
      </c>
      <c r="B460" t="s">
        <v>1205</v>
      </c>
      <c r="C460">
        <v>16100000</v>
      </c>
      <c r="D460">
        <v>9642146451</v>
      </c>
      <c r="E460" t="s">
        <v>988</v>
      </c>
      <c r="F460">
        <v>0</v>
      </c>
      <c r="G460" t="s">
        <v>1058</v>
      </c>
      <c r="H460" t="s">
        <v>1305</v>
      </c>
      <c r="I460">
        <v>0</v>
      </c>
      <c r="J460">
        <v>2008</v>
      </c>
      <c r="K460">
        <v>9</v>
      </c>
      <c r="L460">
        <v>3</v>
      </c>
      <c r="M460">
        <v>126014024</v>
      </c>
    </row>
    <row r="461" spans="1:13" x14ac:dyDescent="0.3">
      <c r="A461">
        <v>460</v>
      </c>
      <c r="B461" t="s">
        <v>1123</v>
      </c>
      <c r="C461">
        <v>25200000</v>
      </c>
      <c r="D461">
        <v>9602246828</v>
      </c>
      <c r="E461" t="s">
        <v>994</v>
      </c>
      <c r="F461">
        <v>4</v>
      </c>
      <c r="G461" t="s">
        <v>1294</v>
      </c>
      <c r="H461" t="s">
        <v>1294</v>
      </c>
      <c r="I461">
        <v>0.53</v>
      </c>
      <c r="J461">
        <v>2019</v>
      </c>
      <c r="K461">
        <v>5</v>
      </c>
      <c r="L461">
        <v>31</v>
      </c>
      <c r="M461" t="s">
        <v>1294</v>
      </c>
    </row>
    <row r="462" spans="1:13" x14ac:dyDescent="0.3">
      <c r="A462">
        <v>461</v>
      </c>
      <c r="B462" t="s">
        <v>615</v>
      </c>
      <c r="C462">
        <v>20500000</v>
      </c>
      <c r="D462">
        <v>8768697257</v>
      </c>
      <c r="E462" t="s">
        <v>996</v>
      </c>
      <c r="F462">
        <v>1323</v>
      </c>
      <c r="G462" t="s">
        <v>1114</v>
      </c>
      <c r="H462" t="s">
        <v>1114</v>
      </c>
      <c r="I462">
        <v>1300000</v>
      </c>
      <c r="J462">
        <v>2015</v>
      </c>
      <c r="K462">
        <v>1</v>
      </c>
      <c r="L462">
        <v>4</v>
      </c>
      <c r="M462">
        <v>25766605</v>
      </c>
    </row>
    <row r="463" spans="1:13" x14ac:dyDescent="0.3">
      <c r="A463">
        <v>462</v>
      </c>
      <c r="B463" t="s">
        <v>531</v>
      </c>
      <c r="C463">
        <v>15000000</v>
      </c>
      <c r="D463">
        <v>7159750970</v>
      </c>
      <c r="E463" t="s">
        <v>996</v>
      </c>
      <c r="F463">
        <v>1362</v>
      </c>
      <c r="G463" t="s">
        <v>984</v>
      </c>
      <c r="H463" t="s">
        <v>1303</v>
      </c>
      <c r="I463">
        <v>2100000</v>
      </c>
      <c r="J463">
        <v>2009</v>
      </c>
      <c r="K463">
        <v>2</v>
      </c>
      <c r="L463">
        <v>9</v>
      </c>
      <c r="M463">
        <v>328239523</v>
      </c>
    </row>
    <row r="464" spans="1:13" x14ac:dyDescent="0.3">
      <c r="A464">
        <v>463</v>
      </c>
      <c r="B464" t="s">
        <v>1116</v>
      </c>
      <c r="C464">
        <v>27500000</v>
      </c>
      <c r="D464">
        <v>4552581106</v>
      </c>
      <c r="E464" t="s">
        <v>994</v>
      </c>
      <c r="F464">
        <v>27</v>
      </c>
      <c r="G464" t="s">
        <v>984</v>
      </c>
      <c r="H464" t="s">
        <v>1303</v>
      </c>
      <c r="I464">
        <v>0</v>
      </c>
      <c r="J464">
        <v>2011</v>
      </c>
      <c r="K464">
        <v>6</v>
      </c>
      <c r="L464">
        <v>23</v>
      </c>
      <c r="M464">
        <v>328239523</v>
      </c>
    </row>
    <row r="465" spans="1:13" x14ac:dyDescent="0.3">
      <c r="A465">
        <v>464</v>
      </c>
      <c r="B465" t="s">
        <v>301</v>
      </c>
      <c r="C465">
        <v>16200000</v>
      </c>
      <c r="D465">
        <v>20522339099</v>
      </c>
      <c r="E465" t="s">
        <v>988</v>
      </c>
      <c r="F465">
        <v>31889</v>
      </c>
      <c r="G465" t="s">
        <v>1112</v>
      </c>
      <c r="H465" t="s">
        <v>1302</v>
      </c>
      <c r="I465">
        <v>5600000</v>
      </c>
      <c r="J465">
        <v>2005</v>
      </c>
      <c r="K465">
        <v>10</v>
      </c>
      <c r="L465">
        <v>22</v>
      </c>
      <c r="M465">
        <v>5703569</v>
      </c>
    </row>
    <row r="466" spans="1:13" x14ac:dyDescent="0.3">
      <c r="A466">
        <v>465</v>
      </c>
      <c r="B466" t="s">
        <v>665</v>
      </c>
      <c r="C466">
        <v>17900000</v>
      </c>
      <c r="D466">
        <v>5244917119</v>
      </c>
      <c r="E466" t="s">
        <v>1044</v>
      </c>
      <c r="F466">
        <v>185</v>
      </c>
      <c r="G466" t="s">
        <v>984</v>
      </c>
      <c r="H466" t="s">
        <v>1303</v>
      </c>
      <c r="I466">
        <v>890300</v>
      </c>
      <c r="J466">
        <v>2015</v>
      </c>
      <c r="K466">
        <v>9</v>
      </c>
      <c r="L466">
        <v>19</v>
      </c>
      <c r="M466">
        <v>328239523</v>
      </c>
    </row>
    <row r="467" spans="1:13" x14ac:dyDescent="0.3">
      <c r="A467">
        <v>466</v>
      </c>
      <c r="B467" t="s">
        <v>19</v>
      </c>
      <c r="C467">
        <v>22600000</v>
      </c>
      <c r="D467">
        <v>27084848152</v>
      </c>
      <c r="E467" t="s">
        <v>994</v>
      </c>
      <c r="F467">
        <v>2321</v>
      </c>
      <c r="G467" t="s">
        <v>984</v>
      </c>
      <c r="H467" t="s">
        <v>1303</v>
      </c>
      <c r="I467">
        <v>56300000</v>
      </c>
      <c r="J467">
        <v>2021</v>
      </c>
      <c r="K467">
        <v>9</v>
      </c>
      <c r="L467">
        <v>28</v>
      </c>
      <c r="M467">
        <v>328239523</v>
      </c>
    </row>
    <row r="468" spans="1:13" x14ac:dyDescent="0.3">
      <c r="A468">
        <v>467</v>
      </c>
      <c r="B468" t="s">
        <v>793</v>
      </c>
      <c r="C468">
        <v>14500000</v>
      </c>
      <c r="D468">
        <v>4577292740</v>
      </c>
      <c r="E468" t="s">
        <v>988</v>
      </c>
      <c r="F468">
        <v>453</v>
      </c>
      <c r="G468" t="s">
        <v>984</v>
      </c>
      <c r="H468" t="s">
        <v>1303</v>
      </c>
      <c r="I468">
        <v>21600</v>
      </c>
      <c r="J468">
        <v>2017</v>
      </c>
      <c r="K468">
        <v>2</v>
      </c>
      <c r="L468">
        <v>7</v>
      </c>
      <c r="M468">
        <v>328239523</v>
      </c>
    </row>
    <row r="469" spans="1:13" x14ac:dyDescent="0.3">
      <c r="A469">
        <v>468</v>
      </c>
      <c r="B469" t="s">
        <v>299</v>
      </c>
      <c r="C469">
        <v>17700000</v>
      </c>
      <c r="D469">
        <v>9059696049</v>
      </c>
      <c r="E469" t="s">
        <v>982</v>
      </c>
      <c r="F469">
        <v>1716</v>
      </c>
      <c r="G469" t="s">
        <v>1182</v>
      </c>
      <c r="H469" t="s">
        <v>1302</v>
      </c>
      <c r="I469">
        <v>5700000</v>
      </c>
      <c r="J469">
        <v>2009</v>
      </c>
      <c r="K469">
        <v>11</v>
      </c>
      <c r="L469">
        <v>9</v>
      </c>
      <c r="M469">
        <v>32447385</v>
      </c>
    </row>
    <row r="470" spans="1:13" x14ac:dyDescent="0.3">
      <c r="A470">
        <v>469</v>
      </c>
      <c r="B470" t="s">
        <v>220</v>
      </c>
      <c r="C470">
        <v>24400000</v>
      </c>
      <c r="D470">
        <v>12385924995</v>
      </c>
      <c r="E470" t="s">
        <v>988</v>
      </c>
      <c r="F470">
        <v>658</v>
      </c>
      <c r="G470" t="s">
        <v>984</v>
      </c>
      <c r="H470" t="s">
        <v>1303</v>
      </c>
      <c r="I470">
        <v>8200000</v>
      </c>
      <c r="J470">
        <v>2018</v>
      </c>
      <c r="K470">
        <v>12</v>
      </c>
      <c r="L470">
        <v>19</v>
      </c>
      <c r="M470">
        <v>328239523</v>
      </c>
    </row>
    <row r="471" spans="1:13" x14ac:dyDescent="0.3">
      <c r="A471">
        <v>470</v>
      </c>
      <c r="B471" t="s">
        <v>113</v>
      </c>
      <c r="C471">
        <v>37600000</v>
      </c>
      <c r="D471">
        <v>18208196857</v>
      </c>
      <c r="E471" t="s">
        <v>988</v>
      </c>
      <c r="F471">
        <v>743</v>
      </c>
      <c r="G471" t="s">
        <v>984</v>
      </c>
      <c r="H471" t="s">
        <v>1303</v>
      </c>
      <c r="I471">
        <v>15400000</v>
      </c>
      <c r="J471">
        <v>2017</v>
      </c>
      <c r="K471">
        <v>4</v>
      </c>
      <c r="L471">
        <v>22</v>
      </c>
      <c r="M471">
        <v>328239523</v>
      </c>
    </row>
    <row r="472" spans="1:13" x14ac:dyDescent="0.3">
      <c r="A472">
        <v>471</v>
      </c>
      <c r="B472" t="s">
        <v>529</v>
      </c>
      <c r="C472">
        <v>16800000</v>
      </c>
      <c r="D472">
        <v>7195314800</v>
      </c>
      <c r="E472" t="s">
        <v>988</v>
      </c>
      <c r="F472">
        <v>502</v>
      </c>
      <c r="G472" t="s">
        <v>1081</v>
      </c>
      <c r="H472" t="s">
        <v>1302</v>
      </c>
      <c r="I472">
        <v>2100000</v>
      </c>
      <c r="J472">
        <v>2019</v>
      </c>
      <c r="K472">
        <v>11</v>
      </c>
      <c r="L472">
        <v>22</v>
      </c>
      <c r="M472">
        <v>270203917</v>
      </c>
    </row>
    <row r="473" spans="1:13" x14ac:dyDescent="0.3">
      <c r="A473">
        <v>472</v>
      </c>
      <c r="B473" t="s">
        <v>360</v>
      </c>
      <c r="C473">
        <v>22700000</v>
      </c>
      <c r="D473">
        <v>11568118121</v>
      </c>
      <c r="E473" t="s">
        <v>988</v>
      </c>
      <c r="F473">
        <v>654</v>
      </c>
      <c r="G473" t="s">
        <v>1294</v>
      </c>
      <c r="H473" t="s">
        <v>1294</v>
      </c>
      <c r="I473">
        <v>4600000</v>
      </c>
      <c r="J473">
        <v>2019</v>
      </c>
      <c r="K473">
        <v>4</v>
      </c>
      <c r="L473">
        <v>9</v>
      </c>
      <c r="M473" t="s">
        <v>1294</v>
      </c>
    </row>
    <row r="474" spans="1:13" x14ac:dyDescent="0.3">
      <c r="A474">
        <v>473</v>
      </c>
      <c r="B474" t="s">
        <v>474</v>
      </c>
      <c r="C474">
        <v>42400000</v>
      </c>
      <c r="D474">
        <v>19547696190</v>
      </c>
      <c r="E474" t="s">
        <v>988</v>
      </c>
      <c r="F474">
        <v>618</v>
      </c>
      <c r="G474" t="s">
        <v>984</v>
      </c>
      <c r="H474" t="s">
        <v>1303</v>
      </c>
      <c r="I474">
        <v>2600000</v>
      </c>
      <c r="J474">
        <v>2017</v>
      </c>
      <c r="K474">
        <v>11</v>
      </c>
      <c r="L474">
        <v>14</v>
      </c>
      <c r="M474">
        <v>328239523</v>
      </c>
    </row>
    <row r="475" spans="1:13" x14ac:dyDescent="0.3">
      <c r="A475">
        <v>474</v>
      </c>
      <c r="B475" t="s">
        <v>600</v>
      </c>
      <c r="C475">
        <v>14500000</v>
      </c>
      <c r="D475">
        <v>6944967581</v>
      </c>
      <c r="E475" t="s">
        <v>988</v>
      </c>
      <c r="F475">
        <v>479</v>
      </c>
      <c r="G475" t="s">
        <v>984</v>
      </c>
      <c r="H475" t="s">
        <v>1303</v>
      </c>
      <c r="I475">
        <v>1400000</v>
      </c>
      <c r="J475">
        <v>2019</v>
      </c>
      <c r="K475">
        <v>9</v>
      </c>
      <c r="L475">
        <v>9</v>
      </c>
      <c r="M475">
        <v>328239523</v>
      </c>
    </row>
    <row r="476" spans="1:13" x14ac:dyDescent="0.3">
      <c r="A476">
        <v>475</v>
      </c>
      <c r="B476" t="s">
        <v>502</v>
      </c>
      <c r="C476">
        <v>18500000</v>
      </c>
      <c r="D476">
        <v>8147575884</v>
      </c>
      <c r="E476" t="s">
        <v>994</v>
      </c>
      <c r="F476">
        <v>493</v>
      </c>
      <c r="G476" t="s">
        <v>1000</v>
      </c>
      <c r="H476" t="s">
        <v>1302</v>
      </c>
      <c r="I476">
        <v>2300000</v>
      </c>
      <c r="J476">
        <v>2016</v>
      </c>
      <c r="K476">
        <v>1</v>
      </c>
      <c r="L476">
        <v>14</v>
      </c>
      <c r="M476">
        <v>144373535</v>
      </c>
    </row>
    <row r="477" spans="1:13" x14ac:dyDescent="0.3">
      <c r="A477">
        <v>476</v>
      </c>
      <c r="B477" t="s">
        <v>502</v>
      </c>
      <c r="C477">
        <v>106000000</v>
      </c>
      <c r="D477">
        <v>90479060027</v>
      </c>
      <c r="E477" t="s">
        <v>994</v>
      </c>
      <c r="F477">
        <v>493</v>
      </c>
      <c r="G477" t="s">
        <v>1000</v>
      </c>
      <c r="H477" t="s">
        <v>1302</v>
      </c>
      <c r="I477">
        <v>2300000</v>
      </c>
      <c r="J477">
        <v>2016</v>
      </c>
      <c r="K477">
        <v>1</v>
      </c>
      <c r="L477">
        <v>14</v>
      </c>
      <c r="M477">
        <v>144373535</v>
      </c>
    </row>
    <row r="478" spans="1:13" x14ac:dyDescent="0.3">
      <c r="A478">
        <v>477</v>
      </c>
      <c r="B478" t="s">
        <v>390</v>
      </c>
      <c r="C478">
        <v>17900000</v>
      </c>
      <c r="D478">
        <v>9867515979</v>
      </c>
      <c r="E478" t="s">
        <v>988</v>
      </c>
      <c r="F478">
        <v>602</v>
      </c>
      <c r="G478" t="s">
        <v>1176</v>
      </c>
      <c r="H478" t="s">
        <v>1302</v>
      </c>
      <c r="I478">
        <v>4100000</v>
      </c>
      <c r="J478">
        <v>2019</v>
      </c>
      <c r="K478">
        <v>11</v>
      </c>
      <c r="L478">
        <v>22</v>
      </c>
      <c r="M478">
        <v>96462106</v>
      </c>
    </row>
    <row r="479" spans="1:13" x14ac:dyDescent="0.3">
      <c r="A479">
        <v>478</v>
      </c>
      <c r="B479" t="s">
        <v>516</v>
      </c>
      <c r="C479">
        <v>19100000</v>
      </c>
      <c r="D479">
        <v>6339584661</v>
      </c>
      <c r="E479" t="s">
        <v>977</v>
      </c>
      <c r="F479">
        <v>37</v>
      </c>
      <c r="G479" t="s">
        <v>1294</v>
      </c>
      <c r="H479" t="s">
        <v>1294</v>
      </c>
      <c r="I479">
        <v>2200000</v>
      </c>
      <c r="J479">
        <v>2018</v>
      </c>
      <c r="K479">
        <v>5</v>
      </c>
      <c r="L479">
        <v>19</v>
      </c>
      <c r="M479" t="s">
        <v>1294</v>
      </c>
    </row>
    <row r="480" spans="1:13" x14ac:dyDescent="0.3">
      <c r="A480">
        <v>479</v>
      </c>
      <c r="B480" t="s">
        <v>907</v>
      </c>
      <c r="C480">
        <v>17700000</v>
      </c>
      <c r="D480">
        <v>4196061192</v>
      </c>
      <c r="E480" t="s">
        <v>977</v>
      </c>
      <c r="F480">
        <v>60</v>
      </c>
      <c r="G480" t="s">
        <v>1294</v>
      </c>
      <c r="H480" t="s">
        <v>1294</v>
      </c>
      <c r="I480">
        <v>0</v>
      </c>
      <c r="J480">
        <v>2015</v>
      </c>
      <c r="K480">
        <v>10</v>
      </c>
      <c r="L480">
        <v>15</v>
      </c>
      <c r="M480" t="s">
        <v>1294</v>
      </c>
    </row>
    <row r="481" spans="1:13" x14ac:dyDescent="0.3">
      <c r="A481">
        <v>480</v>
      </c>
      <c r="B481" t="s">
        <v>759</v>
      </c>
      <c r="C481">
        <v>14500000</v>
      </c>
      <c r="D481">
        <v>3517662420</v>
      </c>
      <c r="E481" t="s">
        <v>1044</v>
      </c>
      <c r="F481">
        <v>1064</v>
      </c>
      <c r="G481" t="s">
        <v>1017</v>
      </c>
      <c r="H481" t="s">
        <v>1303</v>
      </c>
      <c r="I481">
        <v>255800</v>
      </c>
      <c r="J481">
        <v>2010</v>
      </c>
      <c r="K481">
        <v>10</v>
      </c>
      <c r="L481">
        <v>29</v>
      </c>
      <c r="M481">
        <v>36991981</v>
      </c>
    </row>
    <row r="482" spans="1:13" x14ac:dyDescent="0.3">
      <c r="A482">
        <v>481</v>
      </c>
      <c r="B482" t="s">
        <v>691</v>
      </c>
      <c r="C482">
        <v>13600000</v>
      </c>
      <c r="D482">
        <v>3764608356</v>
      </c>
      <c r="E482" t="s">
        <v>977</v>
      </c>
      <c r="F482">
        <v>199</v>
      </c>
      <c r="G482" t="s">
        <v>984</v>
      </c>
      <c r="H482" t="s">
        <v>1303</v>
      </c>
      <c r="I482">
        <v>733300</v>
      </c>
      <c r="J482">
        <v>2007</v>
      </c>
      <c r="K482">
        <v>5</v>
      </c>
      <c r="L482">
        <v>20</v>
      </c>
      <c r="M482">
        <v>328239523</v>
      </c>
    </row>
    <row r="483" spans="1:13" x14ac:dyDescent="0.3">
      <c r="A483">
        <v>482</v>
      </c>
      <c r="B483" t="s">
        <v>1149</v>
      </c>
      <c r="C483">
        <v>20400000</v>
      </c>
      <c r="D483">
        <v>13397000296</v>
      </c>
      <c r="E483" t="s">
        <v>977</v>
      </c>
      <c r="F483">
        <v>0</v>
      </c>
      <c r="G483" t="s">
        <v>1150</v>
      </c>
      <c r="H483" t="s">
        <v>1302</v>
      </c>
      <c r="I483">
        <v>0</v>
      </c>
      <c r="J483">
        <v>2006</v>
      </c>
      <c r="K483">
        <v>11</v>
      </c>
      <c r="L483">
        <v>28</v>
      </c>
      <c r="M483">
        <v>38041754</v>
      </c>
    </row>
    <row r="484" spans="1:13" x14ac:dyDescent="0.3">
      <c r="A484">
        <v>483</v>
      </c>
      <c r="B484" t="s">
        <v>381</v>
      </c>
      <c r="C484">
        <v>15600000</v>
      </c>
      <c r="D484">
        <v>7172386509</v>
      </c>
      <c r="E484" t="s">
        <v>1088</v>
      </c>
      <c r="F484">
        <v>6542</v>
      </c>
      <c r="G484" t="s">
        <v>1017</v>
      </c>
      <c r="H484" t="s">
        <v>1303</v>
      </c>
      <c r="I484">
        <v>4200000</v>
      </c>
      <c r="J484">
        <v>2008</v>
      </c>
      <c r="K484">
        <v>11</v>
      </c>
      <c r="L484">
        <v>25</v>
      </c>
      <c r="M484">
        <v>36991981</v>
      </c>
    </row>
    <row r="485" spans="1:13" x14ac:dyDescent="0.3">
      <c r="A485">
        <v>484</v>
      </c>
      <c r="B485" t="s">
        <v>1221</v>
      </c>
      <c r="C485">
        <v>15000000</v>
      </c>
      <c r="D485">
        <v>8897705695</v>
      </c>
      <c r="E485" t="s">
        <v>988</v>
      </c>
      <c r="F485">
        <v>795</v>
      </c>
      <c r="G485" t="s">
        <v>1019</v>
      </c>
      <c r="H485" t="s">
        <v>1305</v>
      </c>
      <c r="I485">
        <v>7000000</v>
      </c>
      <c r="J485">
        <v>2018</v>
      </c>
      <c r="K485">
        <v>1</v>
      </c>
      <c r="L485">
        <v>26</v>
      </c>
      <c r="M485">
        <v>212559417</v>
      </c>
    </row>
    <row r="486" spans="1:13" x14ac:dyDescent="0.3">
      <c r="A486">
        <v>485</v>
      </c>
      <c r="B486" t="s">
        <v>264</v>
      </c>
      <c r="C486">
        <v>18900000</v>
      </c>
      <c r="D486">
        <v>9813245108</v>
      </c>
      <c r="E486" t="s">
        <v>990</v>
      </c>
      <c r="F486">
        <v>719</v>
      </c>
      <c r="G486" t="s">
        <v>1058</v>
      </c>
      <c r="H486" t="s">
        <v>1305</v>
      </c>
      <c r="I486">
        <v>6700000</v>
      </c>
      <c r="J486">
        <v>2018</v>
      </c>
      <c r="K486">
        <v>1</v>
      </c>
      <c r="L486">
        <v>26</v>
      </c>
      <c r="M486">
        <v>126014024</v>
      </c>
    </row>
    <row r="487" spans="1:13" x14ac:dyDescent="0.3">
      <c r="A487">
        <v>486</v>
      </c>
      <c r="B487" t="s">
        <v>325</v>
      </c>
      <c r="C487">
        <v>30100000</v>
      </c>
      <c r="D487">
        <v>22593193994</v>
      </c>
      <c r="E487" t="s">
        <v>990</v>
      </c>
      <c r="F487">
        <v>1349</v>
      </c>
      <c r="G487" t="s">
        <v>984</v>
      </c>
      <c r="H487" t="s">
        <v>1303</v>
      </c>
      <c r="I487">
        <v>5200000</v>
      </c>
      <c r="J487">
        <v>2015</v>
      </c>
      <c r="K487">
        <v>12</v>
      </c>
      <c r="L487">
        <v>14</v>
      </c>
      <c r="M487">
        <v>328239523</v>
      </c>
    </row>
    <row r="488" spans="1:13" x14ac:dyDescent="0.3">
      <c r="A488">
        <v>487</v>
      </c>
      <c r="B488" t="s">
        <v>350</v>
      </c>
      <c r="C488">
        <v>40900000</v>
      </c>
      <c r="D488">
        <v>39450824833</v>
      </c>
      <c r="E488" t="s">
        <v>990</v>
      </c>
      <c r="F488">
        <v>2423</v>
      </c>
      <c r="G488" t="s">
        <v>984</v>
      </c>
      <c r="H488" t="s">
        <v>1303</v>
      </c>
      <c r="I488">
        <v>4700000</v>
      </c>
      <c r="J488">
        <v>2011</v>
      </c>
      <c r="K488">
        <v>6</v>
      </c>
      <c r="L488">
        <v>22</v>
      </c>
      <c r="M488">
        <v>328239523</v>
      </c>
    </row>
    <row r="489" spans="1:13" x14ac:dyDescent="0.3">
      <c r="A489">
        <v>488</v>
      </c>
      <c r="B489" t="s">
        <v>681</v>
      </c>
      <c r="C489">
        <v>12500000</v>
      </c>
      <c r="D489">
        <v>6956320454</v>
      </c>
      <c r="E489" t="s">
        <v>990</v>
      </c>
      <c r="F489">
        <v>1459</v>
      </c>
      <c r="G489" t="s">
        <v>1065</v>
      </c>
      <c r="H489" t="s">
        <v>1304</v>
      </c>
      <c r="I489">
        <v>783300</v>
      </c>
      <c r="J489">
        <v>2014</v>
      </c>
      <c r="K489">
        <v>6</v>
      </c>
      <c r="L489">
        <v>6</v>
      </c>
      <c r="M489">
        <v>47076781</v>
      </c>
    </row>
    <row r="490" spans="1:13" x14ac:dyDescent="0.3">
      <c r="A490">
        <v>489</v>
      </c>
      <c r="B490" t="s">
        <v>549</v>
      </c>
      <c r="C490">
        <v>16300000</v>
      </c>
      <c r="D490">
        <v>7520242626</v>
      </c>
      <c r="E490" t="s">
        <v>977</v>
      </c>
      <c r="F490">
        <v>278</v>
      </c>
      <c r="G490" t="s">
        <v>1013</v>
      </c>
      <c r="H490" t="s">
        <v>1304</v>
      </c>
      <c r="I490">
        <v>1900000</v>
      </c>
      <c r="J490">
        <v>2011</v>
      </c>
      <c r="K490">
        <v>11</v>
      </c>
      <c r="L490">
        <v>30</v>
      </c>
      <c r="M490">
        <v>66834405</v>
      </c>
    </row>
    <row r="491" spans="1:13" x14ac:dyDescent="0.3">
      <c r="A491">
        <v>490</v>
      </c>
      <c r="B491" t="s">
        <v>90</v>
      </c>
      <c r="C491">
        <v>20900000</v>
      </c>
      <c r="D491">
        <v>11058049885</v>
      </c>
      <c r="E491" t="s">
        <v>994</v>
      </c>
      <c r="F491">
        <v>9850</v>
      </c>
      <c r="G491" t="s">
        <v>984</v>
      </c>
      <c r="H491" t="s">
        <v>1303</v>
      </c>
      <c r="I491">
        <v>18400000</v>
      </c>
      <c r="J491">
        <v>2020</v>
      </c>
      <c r="K491">
        <v>8</v>
      </c>
      <c r="L491">
        <v>18</v>
      </c>
      <c r="M491">
        <v>328239523</v>
      </c>
    </row>
    <row r="492" spans="1:13" x14ac:dyDescent="0.3">
      <c r="A492">
        <v>491</v>
      </c>
      <c r="B492" t="s">
        <v>1203</v>
      </c>
      <c r="C492">
        <v>16100000</v>
      </c>
      <c r="D492">
        <v>0</v>
      </c>
      <c r="E492" t="s">
        <v>1294</v>
      </c>
      <c r="F492">
        <v>0</v>
      </c>
      <c r="G492" t="s">
        <v>1294</v>
      </c>
      <c r="H492" t="s">
        <v>1294</v>
      </c>
      <c r="I492">
        <v>0</v>
      </c>
      <c r="J492">
        <v>2015</v>
      </c>
      <c r="K492">
        <v>1</v>
      </c>
      <c r="L492">
        <v>13</v>
      </c>
      <c r="M492" t="s">
        <v>1294</v>
      </c>
    </row>
    <row r="493" spans="1:13" x14ac:dyDescent="0.3">
      <c r="A493">
        <v>492</v>
      </c>
      <c r="B493" t="s">
        <v>780</v>
      </c>
      <c r="C493">
        <v>17100000</v>
      </c>
      <c r="D493">
        <v>2173106162</v>
      </c>
      <c r="E493" t="s">
        <v>1044</v>
      </c>
      <c r="F493">
        <v>142</v>
      </c>
      <c r="G493" t="s">
        <v>984</v>
      </c>
      <c r="H493" t="s">
        <v>1303</v>
      </c>
      <c r="I493">
        <v>84500</v>
      </c>
      <c r="J493">
        <v>2013</v>
      </c>
      <c r="K493">
        <v>9</v>
      </c>
      <c r="L493">
        <v>2</v>
      </c>
      <c r="M493">
        <v>328239523</v>
      </c>
    </row>
    <row r="494" spans="1:13" x14ac:dyDescent="0.3">
      <c r="A494">
        <v>493</v>
      </c>
      <c r="B494" t="s">
        <v>587</v>
      </c>
      <c r="C494">
        <v>13000000</v>
      </c>
      <c r="D494">
        <v>1698279553</v>
      </c>
      <c r="E494" t="s">
        <v>977</v>
      </c>
      <c r="F494">
        <v>409</v>
      </c>
      <c r="G494" t="s">
        <v>1134</v>
      </c>
      <c r="H494" t="s">
        <v>1304</v>
      </c>
      <c r="I494">
        <v>1500000</v>
      </c>
      <c r="J494">
        <v>2015</v>
      </c>
      <c r="K494">
        <v>3</v>
      </c>
      <c r="L494">
        <v>18</v>
      </c>
      <c r="M494">
        <v>67059887</v>
      </c>
    </row>
    <row r="495" spans="1:13" x14ac:dyDescent="0.3">
      <c r="A495">
        <v>494</v>
      </c>
      <c r="B495" t="s">
        <v>723</v>
      </c>
      <c r="C495">
        <v>23600000</v>
      </c>
      <c r="D495">
        <v>5994002464</v>
      </c>
      <c r="E495" t="s">
        <v>988</v>
      </c>
      <c r="F495">
        <v>719</v>
      </c>
      <c r="G495" t="s">
        <v>984</v>
      </c>
      <c r="H495" t="s">
        <v>1303</v>
      </c>
      <c r="I495">
        <v>518600</v>
      </c>
      <c r="J495">
        <v>2015</v>
      </c>
      <c r="K495">
        <v>8</v>
      </c>
      <c r="L495">
        <v>29</v>
      </c>
      <c r="M495">
        <v>328239523</v>
      </c>
    </row>
    <row r="496" spans="1:13" x14ac:dyDescent="0.3">
      <c r="A496">
        <v>495</v>
      </c>
      <c r="B496" t="s">
        <v>568</v>
      </c>
      <c r="C496">
        <v>13100000</v>
      </c>
      <c r="D496">
        <v>4712624489</v>
      </c>
      <c r="E496" t="s">
        <v>977</v>
      </c>
      <c r="F496">
        <v>1262</v>
      </c>
      <c r="G496" t="s">
        <v>978</v>
      </c>
      <c r="H496" t="s">
        <v>1302</v>
      </c>
      <c r="I496">
        <v>1700000</v>
      </c>
      <c r="J496">
        <v>2010</v>
      </c>
      <c r="K496">
        <v>12</v>
      </c>
      <c r="L496">
        <v>27</v>
      </c>
      <c r="M496">
        <v>1366417754</v>
      </c>
    </row>
    <row r="497" spans="1:13" x14ac:dyDescent="0.3">
      <c r="A497">
        <v>496</v>
      </c>
      <c r="B497" t="s">
        <v>753</v>
      </c>
      <c r="C497">
        <v>15300000</v>
      </c>
      <c r="D497">
        <v>1640078055</v>
      </c>
      <c r="E497" t="s">
        <v>996</v>
      </c>
      <c r="F497">
        <v>1397</v>
      </c>
      <c r="G497" t="s">
        <v>978</v>
      </c>
      <c r="H497" t="s">
        <v>1302</v>
      </c>
      <c r="I497">
        <v>284200</v>
      </c>
      <c r="J497">
        <v>2017</v>
      </c>
      <c r="K497">
        <v>11</v>
      </c>
      <c r="L497">
        <v>16</v>
      </c>
      <c r="M497">
        <v>1366417754</v>
      </c>
    </row>
    <row r="498" spans="1:13" x14ac:dyDescent="0.3">
      <c r="A498">
        <v>497</v>
      </c>
      <c r="B498" t="s">
        <v>1028</v>
      </c>
      <c r="C498">
        <v>54000000</v>
      </c>
      <c r="D498">
        <v>32312431239</v>
      </c>
      <c r="E498" t="s">
        <v>977</v>
      </c>
      <c r="F498">
        <v>11</v>
      </c>
      <c r="G498" t="s">
        <v>1294</v>
      </c>
      <c r="H498" t="s">
        <v>1294</v>
      </c>
      <c r="I498">
        <v>8</v>
      </c>
      <c r="J498">
        <v>2016</v>
      </c>
      <c r="K498">
        <v>11</v>
      </c>
      <c r="L498">
        <v>29</v>
      </c>
      <c r="M498" t="s">
        <v>1294</v>
      </c>
    </row>
    <row r="499" spans="1:13" x14ac:dyDescent="0.3">
      <c r="A499">
        <v>498</v>
      </c>
      <c r="B499" t="s">
        <v>588</v>
      </c>
      <c r="C499">
        <v>25700000</v>
      </c>
      <c r="D499">
        <v>7466926260</v>
      </c>
      <c r="E499" t="s">
        <v>994</v>
      </c>
      <c r="F499">
        <v>982</v>
      </c>
      <c r="G499" t="s">
        <v>1058</v>
      </c>
      <c r="H499" t="s">
        <v>1305</v>
      </c>
      <c r="I499">
        <v>1500000</v>
      </c>
      <c r="J499">
        <v>2012</v>
      </c>
      <c r="K499">
        <v>12</v>
      </c>
      <c r="L499">
        <v>16</v>
      </c>
      <c r="M499">
        <v>126014024</v>
      </c>
    </row>
    <row r="500" spans="1:13" x14ac:dyDescent="0.3">
      <c r="A500">
        <v>499</v>
      </c>
      <c r="B500" t="s">
        <v>647</v>
      </c>
      <c r="C500">
        <v>14500000</v>
      </c>
      <c r="D500">
        <v>1739129375</v>
      </c>
      <c r="E500" t="s">
        <v>1294</v>
      </c>
      <c r="F500">
        <v>514</v>
      </c>
      <c r="G500" t="s">
        <v>978</v>
      </c>
      <c r="H500" t="s">
        <v>1302</v>
      </c>
      <c r="I500">
        <v>1100000</v>
      </c>
      <c r="J500">
        <v>2021</v>
      </c>
      <c r="K500">
        <v>6</v>
      </c>
      <c r="L500">
        <v>1</v>
      </c>
      <c r="M500">
        <v>1366417754</v>
      </c>
    </row>
    <row r="501" spans="1:13" x14ac:dyDescent="0.3">
      <c r="A501">
        <v>500</v>
      </c>
      <c r="B501" t="s">
        <v>120</v>
      </c>
      <c r="C501">
        <v>31600000</v>
      </c>
      <c r="D501">
        <v>11615848291</v>
      </c>
      <c r="E501" t="s">
        <v>988</v>
      </c>
      <c r="F501">
        <v>1321</v>
      </c>
      <c r="G501" t="s">
        <v>984</v>
      </c>
      <c r="H501" t="s">
        <v>1303</v>
      </c>
      <c r="I501">
        <v>15000000</v>
      </c>
      <c r="J501">
        <v>2011</v>
      </c>
      <c r="K501">
        <v>1</v>
      </c>
      <c r="L501">
        <v>19</v>
      </c>
      <c r="M501">
        <v>328239523</v>
      </c>
    </row>
    <row r="502" spans="1:13" x14ac:dyDescent="0.3">
      <c r="A502">
        <v>501</v>
      </c>
      <c r="B502" t="s">
        <v>1064</v>
      </c>
      <c r="C502">
        <v>39400000</v>
      </c>
      <c r="D502">
        <v>22302547082</v>
      </c>
      <c r="E502" t="s">
        <v>994</v>
      </c>
      <c r="F502">
        <v>1</v>
      </c>
      <c r="G502" t="s">
        <v>1294</v>
      </c>
      <c r="H502" t="s">
        <v>1294</v>
      </c>
      <c r="I502">
        <v>0.1</v>
      </c>
      <c r="J502">
        <v>2021</v>
      </c>
      <c r="K502">
        <v>3</v>
      </c>
      <c r="L502">
        <v>25</v>
      </c>
      <c r="M502" t="s">
        <v>1294</v>
      </c>
    </row>
    <row r="503" spans="1:13" x14ac:dyDescent="0.3">
      <c r="A503">
        <v>502</v>
      </c>
      <c r="B503" t="s">
        <v>1060</v>
      </c>
      <c r="C503">
        <v>40600000</v>
      </c>
      <c r="D503">
        <v>8670473639</v>
      </c>
      <c r="E503" t="s">
        <v>1044</v>
      </c>
      <c r="F503">
        <v>0</v>
      </c>
      <c r="G503" t="s">
        <v>1058</v>
      </c>
      <c r="H503" t="s">
        <v>1305</v>
      </c>
      <c r="I503">
        <v>0</v>
      </c>
      <c r="J503">
        <v>2010</v>
      </c>
      <c r="K503">
        <v>6</v>
      </c>
      <c r="L503">
        <v>18</v>
      </c>
      <c r="M503">
        <v>126014024</v>
      </c>
    </row>
    <row r="504" spans="1:13" x14ac:dyDescent="0.3">
      <c r="A504">
        <v>503</v>
      </c>
      <c r="B504" t="s">
        <v>1090</v>
      </c>
      <c r="C504">
        <v>31400000</v>
      </c>
      <c r="D504">
        <v>15176762479</v>
      </c>
      <c r="E504" t="s">
        <v>988</v>
      </c>
      <c r="F504">
        <v>0</v>
      </c>
      <c r="G504" t="s">
        <v>1294</v>
      </c>
      <c r="H504" t="s">
        <v>1294</v>
      </c>
      <c r="I504">
        <v>0</v>
      </c>
      <c r="J504">
        <v>2006</v>
      </c>
      <c r="K504">
        <v>3</v>
      </c>
      <c r="L504">
        <v>31</v>
      </c>
      <c r="M504" t="s">
        <v>1294</v>
      </c>
    </row>
    <row r="505" spans="1:13" x14ac:dyDescent="0.3">
      <c r="A505">
        <v>504</v>
      </c>
      <c r="B505" t="s">
        <v>493</v>
      </c>
      <c r="C505">
        <v>17000000</v>
      </c>
      <c r="D505">
        <v>14543594822</v>
      </c>
      <c r="E505" t="s">
        <v>977</v>
      </c>
      <c r="F505">
        <v>97</v>
      </c>
      <c r="G505" t="s">
        <v>984</v>
      </c>
      <c r="H505" t="s">
        <v>1303</v>
      </c>
      <c r="I505">
        <v>2400000</v>
      </c>
      <c r="J505">
        <v>2009</v>
      </c>
      <c r="K505">
        <v>5</v>
      </c>
      <c r="L505">
        <v>12</v>
      </c>
      <c r="M505">
        <v>328239523</v>
      </c>
    </row>
    <row r="506" spans="1:13" x14ac:dyDescent="0.3">
      <c r="A506">
        <v>505</v>
      </c>
      <c r="B506" t="s">
        <v>182</v>
      </c>
      <c r="C506">
        <v>14000000</v>
      </c>
      <c r="D506">
        <v>8623705301</v>
      </c>
      <c r="E506" t="s">
        <v>977</v>
      </c>
      <c r="F506">
        <v>294</v>
      </c>
      <c r="G506" t="s">
        <v>1065</v>
      </c>
      <c r="H506" t="s">
        <v>1304</v>
      </c>
      <c r="I506">
        <v>9700000</v>
      </c>
      <c r="J506">
        <v>2012</v>
      </c>
      <c r="K506">
        <v>12</v>
      </c>
      <c r="L506">
        <v>22</v>
      </c>
      <c r="M506">
        <v>47076781</v>
      </c>
    </row>
    <row r="507" spans="1:13" x14ac:dyDescent="0.3">
      <c r="A507">
        <v>506</v>
      </c>
      <c r="B507" t="s">
        <v>438</v>
      </c>
      <c r="C507">
        <v>15900000</v>
      </c>
      <c r="D507">
        <v>6534326412</v>
      </c>
      <c r="E507" t="s">
        <v>996</v>
      </c>
      <c r="F507">
        <v>4906</v>
      </c>
      <c r="G507" t="s">
        <v>1023</v>
      </c>
      <c r="H507" t="s">
        <v>1305</v>
      </c>
      <c r="I507">
        <v>3100000</v>
      </c>
      <c r="J507">
        <v>2014</v>
      </c>
      <c r="K507">
        <v>9</v>
      </c>
      <c r="L507">
        <v>8</v>
      </c>
      <c r="M507">
        <v>44938712</v>
      </c>
    </row>
    <row r="508" spans="1:13" x14ac:dyDescent="0.3">
      <c r="A508">
        <v>507</v>
      </c>
      <c r="B508" t="s">
        <v>404</v>
      </c>
      <c r="C508">
        <v>21000000</v>
      </c>
      <c r="D508">
        <v>10631638628</v>
      </c>
      <c r="E508" t="s">
        <v>988</v>
      </c>
      <c r="F508">
        <v>420</v>
      </c>
      <c r="G508" t="s">
        <v>984</v>
      </c>
      <c r="H508" t="s">
        <v>1303</v>
      </c>
      <c r="I508">
        <v>3800000</v>
      </c>
      <c r="J508">
        <v>2013</v>
      </c>
      <c r="K508">
        <v>3</v>
      </c>
      <c r="L508">
        <v>25</v>
      </c>
      <c r="M508">
        <v>328239523</v>
      </c>
    </row>
    <row r="509" spans="1:13" x14ac:dyDescent="0.3">
      <c r="A509">
        <v>508</v>
      </c>
      <c r="B509" t="s">
        <v>761</v>
      </c>
      <c r="C509">
        <v>14700000</v>
      </c>
      <c r="D509">
        <v>1321380490</v>
      </c>
      <c r="E509" t="s">
        <v>988</v>
      </c>
      <c r="F509">
        <v>85</v>
      </c>
      <c r="G509" t="s">
        <v>984</v>
      </c>
      <c r="H509" t="s">
        <v>1303</v>
      </c>
      <c r="I509">
        <v>229500</v>
      </c>
      <c r="J509">
        <v>2017</v>
      </c>
      <c r="K509">
        <v>9</v>
      </c>
      <c r="L509">
        <v>5</v>
      </c>
      <c r="M509">
        <v>328239523</v>
      </c>
    </row>
    <row r="510" spans="1:13" x14ac:dyDescent="0.3">
      <c r="A510">
        <v>509</v>
      </c>
      <c r="B510" t="s">
        <v>745</v>
      </c>
      <c r="C510">
        <v>13700000</v>
      </c>
      <c r="D510">
        <v>1950178163</v>
      </c>
      <c r="E510" t="s">
        <v>988</v>
      </c>
      <c r="F510">
        <v>3298</v>
      </c>
      <c r="G510" t="s">
        <v>1019</v>
      </c>
      <c r="H510" t="s">
        <v>1305</v>
      </c>
      <c r="I510">
        <v>357000</v>
      </c>
      <c r="J510">
        <v>2008</v>
      </c>
      <c r="K510">
        <v>1</v>
      </c>
      <c r="L510">
        <v>22</v>
      </c>
      <c r="M510">
        <v>212559417</v>
      </c>
    </row>
    <row r="511" spans="1:13" x14ac:dyDescent="0.3">
      <c r="A511">
        <v>510</v>
      </c>
      <c r="B511" t="s">
        <v>1230</v>
      </c>
      <c r="C511">
        <v>14800000</v>
      </c>
      <c r="D511">
        <v>9383431376</v>
      </c>
      <c r="E511" t="s">
        <v>977</v>
      </c>
      <c r="F511">
        <v>0</v>
      </c>
      <c r="G511" t="s">
        <v>1294</v>
      </c>
      <c r="H511" t="s">
        <v>1294</v>
      </c>
      <c r="I511">
        <v>0</v>
      </c>
      <c r="J511">
        <v>2013</v>
      </c>
      <c r="K511">
        <v>6</v>
      </c>
      <c r="L511">
        <v>14</v>
      </c>
      <c r="M511" t="s">
        <v>1294</v>
      </c>
    </row>
    <row r="512" spans="1:13" x14ac:dyDescent="0.3">
      <c r="A512">
        <v>511</v>
      </c>
      <c r="B512" t="s">
        <v>634</v>
      </c>
      <c r="C512">
        <v>12300000</v>
      </c>
      <c r="D512">
        <v>2129773714</v>
      </c>
      <c r="E512" t="s">
        <v>1044</v>
      </c>
      <c r="F512">
        <v>62</v>
      </c>
      <c r="G512" t="s">
        <v>978</v>
      </c>
      <c r="H512" t="s">
        <v>1302</v>
      </c>
      <c r="I512">
        <v>1200000</v>
      </c>
      <c r="J512">
        <v>2017</v>
      </c>
      <c r="K512">
        <v>8</v>
      </c>
      <c r="L512">
        <v>1</v>
      </c>
      <c r="M512">
        <v>1366417754</v>
      </c>
    </row>
    <row r="513" spans="1:13" x14ac:dyDescent="0.3">
      <c r="A513">
        <v>512</v>
      </c>
      <c r="B513" t="s">
        <v>751</v>
      </c>
      <c r="C513">
        <v>15100000</v>
      </c>
      <c r="D513">
        <v>4236036141</v>
      </c>
      <c r="E513" t="s">
        <v>996</v>
      </c>
      <c r="F513">
        <v>2997</v>
      </c>
      <c r="G513" t="s">
        <v>1065</v>
      </c>
      <c r="H513" t="s">
        <v>1304</v>
      </c>
      <c r="I513">
        <v>286600</v>
      </c>
      <c r="J513">
        <v>2013</v>
      </c>
      <c r="K513">
        <v>2</v>
      </c>
      <c r="L513">
        <v>12</v>
      </c>
      <c r="M513">
        <v>47076781</v>
      </c>
    </row>
    <row r="514" spans="1:13" x14ac:dyDescent="0.3">
      <c r="A514">
        <v>513</v>
      </c>
      <c r="B514" t="s">
        <v>1105</v>
      </c>
      <c r="C514">
        <v>29300000</v>
      </c>
      <c r="D514">
        <v>21226945136</v>
      </c>
      <c r="E514" t="s">
        <v>977</v>
      </c>
      <c r="F514">
        <v>14</v>
      </c>
      <c r="G514" t="s">
        <v>1023</v>
      </c>
      <c r="H514" t="s">
        <v>1305</v>
      </c>
      <c r="I514">
        <v>0.72</v>
      </c>
      <c r="J514">
        <v>2015</v>
      </c>
      <c r="K514">
        <v>10</v>
      </c>
      <c r="L514">
        <v>31</v>
      </c>
      <c r="M514">
        <v>44938712</v>
      </c>
    </row>
    <row r="515" spans="1:13" x14ac:dyDescent="0.3">
      <c r="A515">
        <v>514</v>
      </c>
      <c r="B515" t="s">
        <v>351</v>
      </c>
      <c r="C515">
        <v>14100000</v>
      </c>
      <c r="D515">
        <v>19013942981</v>
      </c>
      <c r="E515" t="s">
        <v>977</v>
      </c>
      <c r="F515">
        <v>182</v>
      </c>
      <c r="G515" t="s">
        <v>984</v>
      </c>
      <c r="H515" t="s">
        <v>1303</v>
      </c>
      <c r="I515">
        <v>4700000</v>
      </c>
      <c r="J515">
        <v>2011</v>
      </c>
      <c r="K515">
        <v>6</v>
      </c>
      <c r="L515">
        <v>15</v>
      </c>
      <c r="M515">
        <v>328239523</v>
      </c>
    </row>
    <row r="516" spans="1:13" x14ac:dyDescent="0.3">
      <c r="A516">
        <v>515</v>
      </c>
      <c r="B516" t="s">
        <v>556</v>
      </c>
      <c r="C516">
        <v>19300000</v>
      </c>
      <c r="D516">
        <v>264228052</v>
      </c>
      <c r="E516" t="s">
        <v>1294</v>
      </c>
      <c r="F516">
        <v>335</v>
      </c>
      <c r="G516" t="s">
        <v>978</v>
      </c>
      <c r="H516" t="s">
        <v>1302</v>
      </c>
      <c r="I516">
        <v>1800000</v>
      </c>
      <c r="J516">
        <v>2021</v>
      </c>
      <c r="K516">
        <v>3</v>
      </c>
      <c r="L516">
        <v>2</v>
      </c>
      <c r="M516">
        <v>1366417754</v>
      </c>
    </row>
    <row r="517" spans="1:13" x14ac:dyDescent="0.3">
      <c r="A517">
        <v>516</v>
      </c>
      <c r="B517" t="s">
        <v>476</v>
      </c>
      <c r="C517">
        <v>18000000</v>
      </c>
      <c r="D517">
        <v>3980991248</v>
      </c>
      <c r="E517" t="s">
        <v>1011</v>
      </c>
      <c r="F517">
        <v>2470</v>
      </c>
      <c r="G517" t="s">
        <v>1019</v>
      </c>
      <c r="H517" t="s">
        <v>1305</v>
      </c>
      <c r="I517">
        <v>2600000</v>
      </c>
      <c r="J517">
        <v>2006</v>
      </c>
      <c r="K517">
        <v>7</v>
      </c>
      <c r="L517">
        <v>24</v>
      </c>
      <c r="M517">
        <v>212559417</v>
      </c>
    </row>
    <row r="518" spans="1:13" x14ac:dyDescent="0.3">
      <c r="A518">
        <v>517</v>
      </c>
      <c r="B518" t="s">
        <v>151</v>
      </c>
      <c r="C518">
        <v>37000000</v>
      </c>
      <c r="D518">
        <v>24188861917</v>
      </c>
      <c r="E518" t="s">
        <v>994</v>
      </c>
      <c r="F518">
        <v>744</v>
      </c>
      <c r="G518" t="s">
        <v>1019</v>
      </c>
      <c r="H518" t="s">
        <v>1305</v>
      </c>
      <c r="I518">
        <v>12100000</v>
      </c>
      <c r="J518">
        <v>2015</v>
      </c>
      <c r="K518">
        <v>9</v>
      </c>
      <c r="L518">
        <v>6</v>
      </c>
      <c r="M518">
        <v>212559417</v>
      </c>
    </row>
    <row r="519" spans="1:13" x14ac:dyDescent="0.3">
      <c r="A519">
        <v>518</v>
      </c>
      <c r="B519" t="s">
        <v>713</v>
      </c>
      <c r="C519">
        <v>15100000</v>
      </c>
      <c r="D519">
        <v>2761547758</v>
      </c>
      <c r="E519" t="s">
        <v>1011</v>
      </c>
      <c r="F519">
        <v>2618</v>
      </c>
      <c r="G519" t="s">
        <v>984</v>
      </c>
      <c r="H519" t="s">
        <v>1303</v>
      </c>
      <c r="I519">
        <v>573900</v>
      </c>
      <c r="J519">
        <v>2010</v>
      </c>
      <c r="K519">
        <v>1</v>
      </c>
      <c r="L519">
        <v>6</v>
      </c>
      <c r="M519">
        <v>328239523</v>
      </c>
    </row>
    <row r="520" spans="1:13" x14ac:dyDescent="0.3">
      <c r="A520">
        <v>519</v>
      </c>
      <c r="B520" t="s">
        <v>1121</v>
      </c>
      <c r="C520">
        <v>26000000</v>
      </c>
      <c r="D520">
        <v>18597534412</v>
      </c>
      <c r="E520" t="s">
        <v>977</v>
      </c>
      <c r="F520">
        <v>1</v>
      </c>
      <c r="G520" t="s">
        <v>1294</v>
      </c>
      <c r="H520" t="s">
        <v>1294</v>
      </c>
      <c r="I520">
        <v>0.14000000000000001</v>
      </c>
      <c r="J520">
        <v>2008</v>
      </c>
      <c r="K520">
        <v>6</v>
      </c>
      <c r="L520">
        <v>14</v>
      </c>
      <c r="M520" t="s">
        <v>1294</v>
      </c>
    </row>
    <row r="521" spans="1:13" x14ac:dyDescent="0.3">
      <c r="A521">
        <v>520</v>
      </c>
      <c r="B521" t="s">
        <v>375</v>
      </c>
      <c r="C521">
        <v>24600000</v>
      </c>
      <c r="D521">
        <v>3647987299</v>
      </c>
      <c r="E521" t="s">
        <v>1088</v>
      </c>
      <c r="F521">
        <v>120</v>
      </c>
      <c r="G521" t="s">
        <v>984</v>
      </c>
      <c r="H521" t="s">
        <v>1303</v>
      </c>
      <c r="I521">
        <v>4300000</v>
      </c>
      <c r="J521">
        <v>2011</v>
      </c>
      <c r="K521">
        <v>10</v>
      </c>
      <c r="L521">
        <v>20</v>
      </c>
      <c r="M521">
        <v>328239523</v>
      </c>
    </row>
    <row r="522" spans="1:13" x14ac:dyDescent="0.3">
      <c r="A522">
        <v>521</v>
      </c>
      <c r="B522" t="s">
        <v>287</v>
      </c>
      <c r="C522">
        <v>35200000</v>
      </c>
      <c r="D522">
        <v>20297931219</v>
      </c>
      <c r="E522" t="s">
        <v>996</v>
      </c>
      <c r="F522">
        <v>5490</v>
      </c>
      <c r="G522" t="s">
        <v>984</v>
      </c>
      <c r="H522" t="s">
        <v>1303</v>
      </c>
      <c r="I522">
        <v>6100000</v>
      </c>
      <c r="J522">
        <v>2012</v>
      </c>
      <c r="K522">
        <v>5</v>
      </c>
      <c r="L522">
        <v>26</v>
      </c>
      <c r="M522">
        <v>328239523</v>
      </c>
    </row>
    <row r="523" spans="1:13" x14ac:dyDescent="0.3">
      <c r="A523">
        <v>522</v>
      </c>
      <c r="B523" t="s">
        <v>557</v>
      </c>
      <c r="C523">
        <v>18500000</v>
      </c>
      <c r="D523">
        <v>3457618361</v>
      </c>
      <c r="E523" t="s">
        <v>996</v>
      </c>
      <c r="F523">
        <v>374</v>
      </c>
      <c r="G523" t="s">
        <v>1000</v>
      </c>
      <c r="H523" t="s">
        <v>1302</v>
      </c>
      <c r="I523">
        <v>1800000</v>
      </c>
      <c r="J523">
        <v>2008</v>
      </c>
      <c r="K523">
        <v>4</v>
      </c>
      <c r="L523">
        <v>27</v>
      </c>
      <c r="M523">
        <v>144373535</v>
      </c>
    </row>
    <row r="524" spans="1:13" x14ac:dyDescent="0.3">
      <c r="A524">
        <v>523</v>
      </c>
      <c r="B524" t="s">
        <v>246</v>
      </c>
      <c r="C524">
        <v>36600000</v>
      </c>
      <c r="D524">
        <v>22553923546</v>
      </c>
      <c r="E524" t="s">
        <v>977</v>
      </c>
      <c r="F524">
        <v>171</v>
      </c>
      <c r="G524" t="s">
        <v>984</v>
      </c>
      <c r="H524" t="s">
        <v>1303</v>
      </c>
      <c r="I524">
        <v>7300000</v>
      </c>
      <c r="J524">
        <v>2006</v>
      </c>
      <c r="K524">
        <v>3</v>
      </c>
      <c r="L524">
        <v>9</v>
      </c>
      <c r="M524">
        <v>328239523</v>
      </c>
    </row>
    <row r="525" spans="1:13" x14ac:dyDescent="0.3">
      <c r="A525">
        <v>524</v>
      </c>
      <c r="B525" t="s">
        <v>353</v>
      </c>
      <c r="C525">
        <v>14500000</v>
      </c>
      <c r="D525">
        <v>20042571499</v>
      </c>
      <c r="E525" t="s">
        <v>977</v>
      </c>
      <c r="F525">
        <v>147</v>
      </c>
      <c r="G525" t="s">
        <v>984</v>
      </c>
      <c r="H525" t="s">
        <v>1303</v>
      </c>
      <c r="I525">
        <v>4700000</v>
      </c>
      <c r="J525">
        <v>2009</v>
      </c>
      <c r="K525">
        <v>5</v>
      </c>
      <c r="L525">
        <v>12</v>
      </c>
      <c r="M525">
        <v>328239523</v>
      </c>
    </row>
    <row r="526" spans="1:13" x14ac:dyDescent="0.3">
      <c r="A526">
        <v>525</v>
      </c>
      <c r="B526" t="s">
        <v>485</v>
      </c>
      <c r="C526">
        <v>17200000</v>
      </c>
      <c r="D526">
        <v>3606912471</v>
      </c>
      <c r="E526" t="s">
        <v>1088</v>
      </c>
      <c r="F526">
        <v>1567</v>
      </c>
      <c r="G526" t="s">
        <v>984</v>
      </c>
      <c r="H526" t="s">
        <v>1303</v>
      </c>
      <c r="I526">
        <v>2500000</v>
      </c>
      <c r="J526">
        <v>2008</v>
      </c>
      <c r="K526">
        <v>3</v>
      </c>
      <c r="L526">
        <v>21</v>
      </c>
      <c r="M526">
        <v>328239523</v>
      </c>
    </row>
    <row r="527" spans="1:13" x14ac:dyDescent="0.3">
      <c r="A527">
        <v>526</v>
      </c>
      <c r="B527" t="s">
        <v>310</v>
      </c>
      <c r="C527">
        <v>56400000</v>
      </c>
      <c r="D527">
        <v>14696003229</v>
      </c>
      <c r="E527" t="s">
        <v>988</v>
      </c>
      <c r="F527">
        <v>436</v>
      </c>
      <c r="G527" t="s">
        <v>984</v>
      </c>
      <c r="H527" t="s">
        <v>1303</v>
      </c>
      <c r="I527">
        <v>5400000</v>
      </c>
      <c r="J527">
        <v>2015</v>
      </c>
      <c r="K527">
        <v>4</v>
      </c>
      <c r="L527">
        <v>6</v>
      </c>
      <c r="M527">
        <v>328239523</v>
      </c>
    </row>
    <row r="528" spans="1:13" x14ac:dyDescent="0.3">
      <c r="A528">
        <v>527</v>
      </c>
      <c r="B528" t="s">
        <v>70</v>
      </c>
      <c r="C528">
        <v>20200000</v>
      </c>
      <c r="D528">
        <v>19694265358</v>
      </c>
      <c r="E528" t="s">
        <v>1044</v>
      </c>
      <c r="F528">
        <v>761</v>
      </c>
      <c r="G528" t="s">
        <v>984</v>
      </c>
      <c r="H528" t="s">
        <v>1303</v>
      </c>
      <c r="I528">
        <v>21700000</v>
      </c>
      <c r="J528">
        <v>2021</v>
      </c>
      <c r="K528">
        <v>6</v>
      </c>
      <c r="L528">
        <v>21</v>
      </c>
      <c r="M528">
        <v>328239523</v>
      </c>
    </row>
    <row r="529" spans="1:13" x14ac:dyDescent="0.3">
      <c r="A529">
        <v>528</v>
      </c>
      <c r="B529" t="s">
        <v>566</v>
      </c>
      <c r="C529">
        <v>14600000</v>
      </c>
      <c r="D529">
        <v>6017932195</v>
      </c>
      <c r="E529" t="s">
        <v>977</v>
      </c>
      <c r="F529">
        <v>365</v>
      </c>
      <c r="G529" t="s">
        <v>984</v>
      </c>
      <c r="H529" t="s">
        <v>1303</v>
      </c>
      <c r="I529">
        <v>1700000</v>
      </c>
      <c r="J529">
        <v>2011</v>
      </c>
      <c r="K529">
        <v>1</v>
      </c>
      <c r="L529">
        <v>15</v>
      </c>
      <c r="M529">
        <v>328239523</v>
      </c>
    </row>
    <row r="530" spans="1:13" x14ac:dyDescent="0.3">
      <c r="A530">
        <v>529</v>
      </c>
      <c r="B530" t="s">
        <v>1158</v>
      </c>
      <c r="C530">
        <v>20100000</v>
      </c>
      <c r="D530">
        <v>5634695322</v>
      </c>
      <c r="E530" t="s">
        <v>988</v>
      </c>
      <c r="F530">
        <v>1</v>
      </c>
      <c r="G530" t="s">
        <v>984</v>
      </c>
      <c r="H530" t="s">
        <v>1303</v>
      </c>
      <c r="I530">
        <v>3</v>
      </c>
      <c r="J530">
        <v>2011</v>
      </c>
      <c r="K530">
        <v>5</v>
      </c>
      <c r="L530">
        <v>10</v>
      </c>
      <c r="M530">
        <v>328239523</v>
      </c>
    </row>
    <row r="531" spans="1:13" x14ac:dyDescent="0.3">
      <c r="A531">
        <v>530</v>
      </c>
      <c r="B531" t="s">
        <v>42</v>
      </c>
      <c r="C531">
        <v>42400000</v>
      </c>
      <c r="D531">
        <v>24519022988</v>
      </c>
      <c r="E531" t="s">
        <v>992</v>
      </c>
      <c r="F531">
        <v>1218</v>
      </c>
      <c r="G531" t="s">
        <v>984</v>
      </c>
      <c r="H531" t="s">
        <v>1303</v>
      </c>
      <c r="I531">
        <v>32200000</v>
      </c>
      <c r="J531">
        <v>2014</v>
      </c>
      <c r="K531">
        <v>9</v>
      </c>
      <c r="L531">
        <v>17</v>
      </c>
      <c r="M531">
        <v>328239523</v>
      </c>
    </row>
    <row r="532" spans="1:13" x14ac:dyDescent="0.3">
      <c r="A532">
        <v>531</v>
      </c>
      <c r="B532" t="s">
        <v>902</v>
      </c>
      <c r="C532">
        <v>18900000</v>
      </c>
      <c r="D532">
        <v>8301731337</v>
      </c>
      <c r="E532" t="s">
        <v>992</v>
      </c>
      <c r="F532">
        <v>0</v>
      </c>
      <c r="G532" t="s">
        <v>1294</v>
      </c>
      <c r="H532" t="s">
        <v>1294</v>
      </c>
      <c r="I532">
        <v>0</v>
      </c>
      <c r="J532">
        <v>2014</v>
      </c>
      <c r="K532">
        <v>2</v>
      </c>
      <c r="L532">
        <v>20</v>
      </c>
      <c r="M532" t="s">
        <v>1294</v>
      </c>
    </row>
    <row r="533" spans="1:13" x14ac:dyDescent="0.3">
      <c r="A533">
        <v>532</v>
      </c>
      <c r="B533" t="s">
        <v>1109</v>
      </c>
      <c r="C533">
        <v>28300000</v>
      </c>
      <c r="D533">
        <v>13577142726</v>
      </c>
      <c r="E533" t="s">
        <v>982</v>
      </c>
      <c r="F533">
        <v>6</v>
      </c>
      <c r="G533" t="s">
        <v>1294</v>
      </c>
      <c r="H533" t="s">
        <v>1294</v>
      </c>
      <c r="I533">
        <v>0.1</v>
      </c>
      <c r="J533">
        <v>2019</v>
      </c>
      <c r="K533">
        <v>7</v>
      </c>
      <c r="L533">
        <v>21</v>
      </c>
      <c r="M533" t="s">
        <v>1294</v>
      </c>
    </row>
    <row r="534" spans="1:13" x14ac:dyDescent="0.3">
      <c r="A534">
        <v>533</v>
      </c>
      <c r="B534" t="s">
        <v>797</v>
      </c>
      <c r="C534">
        <v>12900000</v>
      </c>
      <c r="D534">
        <v>140022442</v>
      </c>
      <c r="E534" t="s">
        <v>988</v>
      </c>
      <c r="F534">
        <v>69</v>
      </c>
      <c r="G534" t="s">
        <v>1019</v>
      </c>
      <c r="H534" t="s">
        <v>1305</v>
      </c>
      <c r="I534">
        <v>7100</v>
      </c>
      <c r="J534">
        <v>2015</v>
      </c>
      <c r="K534">
        <v>1</v>
      </c>
      <c r="L534">
        <v>27</v>
      </c>
      <c r="M534">
        <v>212559417</v>
      </c>
    </row>
    <row r="535" spans="1:13" x14ac:dyDescent="0.3">
      <c r="A535">
        <v>534</v>
      </c>
      <c r="B535" t="s">
        <v>779</v>
      </c>
      <c r="C535">
        <v>13300000</v>
      </c>
      <c r="D535">
        <v>3299216601</v>
      </c>
      <c r="E535" t="s">
        <v>988</v>
      </c>
      <c r="F535">
        <v>331</v>
      </c>
      <c r="G535" t="s">
        <v>984</v>
      </c>
      <c r="H535" t="s">
        <v>1303</v>
      </c>
      <c r="I535">
        <v>92600</v>
      </c>
      <c r="J535">
        <v>2007</v>
      </c>
      <c r="K535">
        <v>11</v>
      </c>
      <c r="L535">
        <v>28</v>
      </c>
      <c r="M535">
        <v>328239523</v>
      </c>
    </row>
    <row r="536" spans="1:13" x14ac:dyDescent="0.3">
      <c r="A536">
        <v>535</v>
      </c>
      <c r="B536" t="s">
        <v>1199</v>
      </c>
      <c r="C536">
        <v>16300000</v>
      </c>
      <c r="D536">
        <v>3527627264</v>
      </c>
      <c r="E536" t="s">
        <v>988</v>
      </c>
      <c r="F536">
        <v>54</v>
      </c>
      <c r="G536" t="s">
        <v>984</v>
      </c>
      <c r="H536" t="s">
        <v>1303</v>
      </c>
      <c r="I536">
        <v>1400</v>
      </c>
      <c r="J536">
        <v>2010</v>
      </c>
      <c r="K536">
        <v>6</v>
      </c>
      <c r="L536">
        <v>19</v>
      </c>
      <c r="M536">
        <v>328239523</v>
      </c>
    </row>
    <row r="537" spans="1:13" x14ac:dyDescent="0.3">
      <c r="A537">
        <v>536</v>
      </c>
      <c r="B537" t="s">
        <v>644</v>
      </c>
      <c r="C537">
        <v>14800000</v>
      </c>
      <c r="D537">
        <v>3587576784</v>
      </c>
      <c r="E537" t="s">
        <v>977</v>
      </c>
      <c r="F537">
        <v>195</v>
      </c>
      <c r="G537" t="s">
        <v>984</v>
      </c>
      <c r="H537" t="s">
        <v>1303</v>
      </c>
      <c r="I537">
        <v>1100000</v>
      </c>
      <c r="J537">
        <v>2010</v>
      </c>
      <c r="K537">
        <v>5</v>
      </c>
      <c r="L537">
        <v>31</v>
      </c>
      <c r="M537">
        <v>328239523</v>
      </c>
    </row>
    <row r="538" spans="1:13" x14ac:dyDescent="0.3">
      <c r="A538">
        <v>537</v>
      </c>
      <c r="B538" t="s">
        <v>526</v>
      </c>
      <c r="C538">
        <v>23600000</v>
      </c>
      <c r="D538">
        <v>6766461070</v>
      </c>
      <c r="E538" t="s">
        <v>988</v>
      </c>
      <c r="F538">
        <v>552</v>
      </c>
      <c r="G538" t="s">
        <v>984</v>
      </c>
      <c r="H538" t="s">
        <v>1303</v>
      </c>
      <c r="I538">
        <v>2100000</v>
      </c>
      <c r="J538">
        <v>2013</v>
      </c>
      <c r="K538">
        <v>8</v>
      </c>
      <c r="L538">
        <v>30</v>
      </c>
      <c r="M538">
        <v>328239523</v>
      </c>
    </row>
    <row r="539" spans="1:13" x14ac:dyDescent="0.3">
      <c r="A539">
        <v>538</v>
      </c>
      <c r="B539" t="s">
        <v>97</v>
      </c>
      <c r="C539">
        <v>15300000</v>
      </c>
      <c r="D539">
        <v>16545966132</v>
      </c>
      <c r="E539" t="s">
        <v>988</v>
      </c>
      <c r="F539">
        <v>87864</v>
      </c>
      <c r="G539" t="s">
        <v>978</v>
      </c>
      <c r="H539" t="s">
        <v>1302</v>
      </c>
      <c r="I539">
        <v>17400000</v>
      </c>
      <c r="J539">
        <v>2011</v>
      </c>
      <c r="K539">
        <v>10</v>
      </c>
      <c r="L539">
        <v>31</v>
      </c>
      <c r="M539">
        <v>1366417754</v>
      </c>
    </row>
    <row r="540" spans="1:13" x14ac:dyDescent="0.3">
      <c r="A540">
        <v>539</v>
      </c>
      <c r="B540" t="s">
        <v>441</v>
      </c>
      <c r="C540">
        <v>13200000</v>
      </c>
      <c r="D540">
        <v>5224764969</v>
      </c>
      <c r="E540" t="s">
        <v>988</v>
      </c>
      <c r="F540">
        <v>413</v>
      </c>
      <c r="G540" t="s">
        <v>1019</v>
      </c>
      <c r="H540" t="s">
        <v>1305</v>
      </c>
      <c r="I540">
        <v>3100000</v>
      </c>
      <c r="J540">
        <v>2018</v>
      </c>
      <c r="K540">
        <v>1</v>
      </c>
      <c r="L540">
        <v>17</v>
      </c>
      <c r="M540">
        <v>212559417</v>
      </c>
    </row>
    <row r="541" spans="1:13" x14ac:dyDescent="0.3">
      <c r="A541">
        <v>540</v>
      </c>
      <c r="B541" t="s">
        <v>483</v>
      </c>
      <c r="C541">
        <v>14800000</v>
      </c>
      <c r="D541">
        <v>8649303688</v>
      </c>
      <c r="E541" t="s">
        <v>994</v>
      </c>
      <c r="F541">
        <v>233</v>
      </c>
      <c r="G541" t="s">
        <v>984</v>
      </c>
      <c r="H541" t="s">
        <v>1303</v>
      </c>
      <c r="I541">
        <v>2500000</v>
      </c>
      <c r="J541">
        <v>2008</v>
      </c>
      <c r="K541">
        <v>6</v>
      </c>
      <c r="L541">
        <v>4</v>
      </c>
      <c r="M541">
        <v>328239523</v>
      </c>
    </row>
    <row r="542" spans="1:13" x14ac:dyDescent="0.3">
      <c r="A542">
        <v>541</v>
      </c>
      <c r="B542" t="s">
        <v>464</v>
      </c>
      <c r="C542">
        <v>14900000</v>
      </c>
      <c r="D542">
        <v>4395184343</v>
      </c>
      <c r="E542" t="s">
        <v>977</v>
      </c>
      <c r="F542">
        <v>127</v>
      </c>
      <c r="G542" t="s">
        <v>984</v>
      </c>
      <c r="H542" t="s">
        <v>1303</v>
      </c>
      <c r="I542">
        <v>2700000</v>
      </c>
      <c r="J542">
        <v>2007</v>
      </c>
      <c r="K542">
        <v>11</v>
      </c>
      <c r="L542">
        <v>3</v>
      </c>
      <c r="M542">
        <v>328239523</v>
      </c>
    </row>
    <row r="543" spans="1:13" x14ac:dyDescent="0.3">
      <c r="A543">
        <v>542</v>
      </c>
      <c r="B543" t="s">
        <v>1280</v>
      </c>
      <c r="C543">
        <v>12800000</v>
      </c>
      <c r="D543">
        <v>5863456698</v>
      </c>
      <c r="E543" t="s">
        <v>1044</v>
      </c>
      <c r="F543">
        <v>1727</v>
      </c>
      <c r="G543" t="s">
        <v>1190</v>
      </c>
      <c r="H543" t="s">
        <v>1302</v>
      </c>
      <c r="I543">
        <v>1700000</v>
      </c>
      <c r="J543">
        <v>2016</v>
      </c>
      <c r="K543">
        <v>1</v>
      </c>
      <c r="L543">
        <v>30</v>
      </c>
      <c r="M543">
        <v>39309783</v>
      </c>
    </row>
    <row r="544" spans="1:13" x14ac:dyDescent="0.3">
      <c r="A544">
        <v>543</v>
      </c>
      <c r="B544" t="s">
        <v>337</v>
      </c>
      <c r="C544">
        <v>17900000</v>
      </c>
      <c r="D544">
        <v>16174530046</v>
      </c>
      <c r="E544" t="s">
        <v>992</v>
      </c>
      <c r="F544">
        <v>1426</v>
      </c>
      <c r="G544" t="s">
        <v>984</v>
      </c>
      <c r="H544" t="s">
        <v>1303</v>
      </c>
      <c r="I544">
        <v>4900000</v>
      </c>
      <c r="J544">
        <v>2009</v>
      </c>
      <c r="K544">
        <v>2</v>
      </c>
      <c r="L544">
        <v>3</v>
      </c>
      <c r="M544">
        <v>328239523</v>
      </c>
    </row>
    <row r="545" spans="1:13" x14ac:dyDescent="0.3">
      <c r="A545">
        <v>544</v>
      </c>
      <c r="B545" t="s">
        <v>585</v>
      </c>
      <c r="C545">
        <v>12500000</v>
      </c>
      <c r="D545">
        <v>3140883140</v>
      </c>
      <c r="E545" t="s">
        <v>1285</v>
      </c>
      <c r="F545">
        <v>766</v>
      </c>
      <c r="G545" t="s">
        <v>1058</v>
      </c>
      <c r="H545" t="s">
        <v>1305</v>
      </c>
      <c r="I545">
        <v>1500000</v>
      </c>
      <c r="J545">
        <v>2015</v>
      </c>
      <c r="K545">
        <v>7</v>
      </c>
      <c r="L545">
        <v>6</v>
      </c>
      <c r="M545">
        <v>126014024</v>
      </c>
    </row>
    <row r="546" spans="1:13" x14ac:dyDescent="0.3">
      <c r="A546">
        <v>545</v>
      </c>
      <c r="B546" t="s">
        <v>440</v>
      </c>
      <c r="C546">
        <v>20200000</v>
      </c>
      <c r="D546">
        <v>6098644584</v>
      </c>
      <c r="E546" t="s">
        <v>996</v>
      </c>
      <c r="F546">
        <v>3713</v>
      </c>
      <c r="G546" t="s">
        <v>1081</v>
      </c>
      <c r="H546" t="s">
        <v>1302</v>
      </c>
      <c r="I546">
        <v>3100000</v>
      </c>
      <c r="J546">
        <v>2014</v>
      </c>
      <c r="K546">
        <v>3</v>
      </c>
      <c r="L546">
        <v>15</v>
      </c>
      <c r="M546">
        <v>270203917</v>
      </c>
    </row>
    <row r="547" spans="1:13" x14ac:dyDescent="0.3">
      <c r="A547">
        <v>546</v>
      </c>
      <c r="B547" t="s">
        <v>237</v>
      </c>
      <c r="C547">
        <v>28200000</v>
      </c>
      <c r="D547">
        <v>14412474625</v>
      </c>
      <c r="E547" t="s">
        <v>977</v>
      </c>
      <c r="F547">
        <v>15</v>
      </c>
      <c r="G547" t="s">
        <v>984</v>
      </c>
      <c r="H547" t="s">
        <v>1303</v>
      </c>
      <c r="I547">
        <v>7600000</v>
      </c>
      <c r="J547">
        <v>2005</v>
      </c>
      <c r="K547">
        <v>6</v>
      </c>
      <c r="L547">
        <v>22</v>
      </c>
      <c r="M547">
        <v>328239523</v>
      </c>
    </row>
    <row r="548" spans="1:13" x14ac:dyDescent="0.3">
      <c r="A548">
        <v>547</v>
      </c>
      <c r="B548" t="s">
        <v>494</v>
      </c>
      <c r="C548">
        <v>12400000</v>
      </c>
      <c r="D548">
        <v>6993406259</v>
      </c>
      <c r="E548" t="s">
        <v>977</v>
      </c>
      <c r="F548">
        <v>99</v>
      </c>
      <c r="G548" t="s">
        <v>984</v>
      </c>
      <c r="H548" t="s">
        <v>1303</v>
      </c>
      <c r="I548">
        <v>2400000</v>
      </c>
      <c r="J548">
        <v>2012</v>
      </c>
      <c r="K548">
        <v>1</v>
      </c>
      <c r="L548">
        <v>17</v>
      </c>
      <c r="M548">
        <v>328239523</v>
      </c>
    </row>
    <row r="549" spans="1:13" x14ac:dyDescent="0.3">
      <c r="A549">
        <v>548</v>
      </c>
      <c r="B549" t="s">
        <v>144</v>
      </c>
      <c r="C549">
        <v>39100000</v>
      </c>
      <c r="D549">
        <v>16118181673</v>
      </c>
      <c r="E549" t="s">
        <v>996</v>
      </c>
      <c r="F549">
        <v>1876</v>
      </c>
      <c r="G549" t="s">
        <v>1065</v>
      </c>
      <c r="H549" t="s">
        <v>1304</v>
      </c>
      <c r="I549">
        <v>12700000</v>
      </c>
      <c r="J549">
        <v>2015</v>
      </c>
      <c r="K549">
        <v>7</v>
      </c>
      <c r="L549">
        <v>13</v>
      </c>
      <c r="M549">
        <v>47076781</v>
      </c>
    </row>
    <row r="550" spans="1:13" x14ac:dyDescent="0.3">
      <c r="A550">
        <v>549</v>
      </c>
      <c r="B550" t="s">
        <v>288</v>
      </c>
      <c r="C550">
        <v>18300000</v>
      </c>
      <c r="D550">
        <v>7760819588</v>
      </c>
      <c r="E550" t="s">
        <v>988</v>
      </c>
      <c r="F550">
        <v>142</v>
      </c>
      <c r="G550" t="s">
        <v>984</v>
      </c>
      <c r="H550" t="s">
        <v>1303</v>
      </c>
      <c r="I550">
        <v>6100000</v>
      </c>
      <c r="J550">
        <v>2009</v>
      </c>
      <c r="K550">
        <v>9</v>
      </c>
      <c r="L550">
        <v>15</v>
      </c>
      <c r="M550">
        <v>328239523</v>
      </c>
    </row>
    <row r="551" spans="1:13" x14ac:dyDescent="0.3">
      <c r="A551">
        <v>550</v>
      </c>
      <c r="B551" t="s">
        <v>1144</v>
      </c>
      <c r="C551">
        <v>20900000</v>
      </c>
      <c r="D551">
        <v>0</v>
      </c>
      <c r="E551" t="s">
        <v>1294</v>
      </c>
      <c r="F551">
        <v>0</v>
      </c>
      <c r="G551" t="s">
        <v>1294</v>
      </c>
      <c r="H551" t="s">
        <v>1294</v>
      </c>
      <c r="I551">
        <v>0</v>
      </c>
      <c r="J551">
        <v>2013</v>
      </c>
      <c r="K551">
        <v>12</v>
      </c>
      <c r="L551">
        <v>20</v>
      </c>
      <c r="M551" t="s">
        <v>1294</v>
      </c>
    </row>
    <row r="552" spans="1:13" x14ac:dyDescent="0.3">
      <c r="A552">
        <v>551</v>
      </c>
      <c r="B552" t="s">
        <v>491</v>
      </c>
      <c r="C552">
        <v>14600000</v>
      </c>
      <c r="D552">
        <v>2750902766</v>
      </c>
      <c r="E552" t="s">
        <v>1011</v>
      </c>
      <c r="F552">
        <v>603</v>
      </c>
      <c r="G552" t="s">
        <v>1058</v>
      </c>
      <c r="H552" t="s">
        <v>1305</v>
      </c>
      <c r="I552">
        <v>2400000</v>
      </c>
      <c r="J552">
        <v>2014</v>
      </c>
      <c r="K552">
        <v>6</v>
      </c>
      <c r="L552">
        <v>24</v>
      </c>
      <c r="M552">
        <v>126014024</v>
      </c>
    </row>
    <row r="553" spans="1:13" x14ac:dyDescent="0.3">
      <c r="A553">
        <v>552</v>
      </c>
      <c r="B553" t="s">
        <v>450</v>
      </c>
      <c r="C553">
        <v>23500000</v>
      </c>
      <c r="D553">
        <v>14696994366</v>
      </c>
      <c r="E553" t="s">
        <v>994</v>
      </c>
      <c r="F553">
        <v>1044</v>
      </c>
      <c r="G553" t="s">
        <v>1013</v>
      </c>
      <c r="H553" t="s">
        <v>1304</v>
      </c>
      <c r="I553">
        <v>2900000</v>
      </c>
      <c r="J553">
        <v>2014</v>
      </c>
      <c r="K553">
        <v>11</v>
      </c>
      <c r="L553">
        <v>17</v>
      </c>
      <c r="M553">
        <v>66834405</v>
      </c>
    </row>
    <row r="554" spans="1:13" x14ac:dyDescent="0.3">
      <c r="A554">
        <v>553</v>
      </c>
      <c r="B554" t="s">
        <v>618</v>
      </c>
      <c r="C554">
        <v>17600000</v>
      </c>
      <c r="D554">
        <v>2274007523</v>
      </c>
      <c r="E554" t="s">
        <v>1044</v>
      </c>
      <c r="F554">
        <v>233</v>
      </c>
      <c r="G554" t="s">
        <v>1058</v>
      </c>
      <c r="H554" t="s">
        <v>1305</v>
      </c>
      <c r="I554">
        <v>1300000</v>
      </c>
      <c r="J554">
        <v>2011</v>
      </c>
      <c r="K554">
        <v>1</v>
      </c>
      <c r="L554">
        <v>5</v>
      </c>
      <c r="M554">
        <v>126014024</v>
      </c>
    </row>
    <row r="555" spans="1:13" x14ac:dyDescent="0.3">
      <c r="A555">
        <v>554</v>
      </c>
      <c r="B555" t="s">
        <v>578</v>
      </c>
      <c r="C555">
        <v>23700000</v>
      </c>
      <c r="D555">
        <v>15510153803</v>
      </c>
      <c r="E555" t="s">
        <v>994</v>
      </c>
      <c r="F555">
        <v>1099</v>
      </c>
      <c r="G555" t="s">
        <v>1013</v>
      </c>
      <c r="H555" t="s">
        <v>1304</v>
      </c>
      <c r="I555">
        <v>1600000</v>
      </c>
      <c r="J555">
        <v>2014</v>
      </c>
      <c r="K555">
        <v>9</v>
      </c>
      <c r="L555">
        <v>22</v>
      </c>
      <c r="M555">
        <v>66834405</v>
      </c>
    </row>
    <row r="556" spans="1:13" x14ac:dyDescent="0.3">
      <c r="A556">
        <v>555</v>
      </c>
      <c r="B556" t="s">
        <v>270</v>
      </c>
      <c r="C556">
        <v>15900000</v>
      </c>
      <c r="D556">
        <v>9198986881</v>
      </c>
      <c r="E556" t="s">
        <v>977</v>
      </c>
      <c r="F556">
        <v>5105</v>
      </c>
      <c r="G556" t="s">
        <v>1019</v>
      </c>
      <c r="H556" t="s">
        <v>1305</v>
      </c>
      <c r="I556">
        <v>6500000</v>
      </c>
      <c r="J556">
        <v>2010</v>
      </c>
      <c r="K556">
        <v>1</v>
      </c>
      <c r="L556">
        <v>18</v>
      </c>
      <c r="M556">
        <v>212559417</v>
      </c>
    </row>
    <row r="557" spans="1:13" x14ac:dyDescent="0.3">
      <c r="A557">
        <v>556</v>
      </c>
      <c r="B557" t="s">
        <v>420</v>
      </c>
      <c r="C557">
        <v>22600000</v>
      </c>
      <c r="D557">
        <v>17507060680</v>
      </c>
      <c r="E557" t="s">
        <v>994</v>
      </c>
      <c r="F557">
        <v>1189</v>
      </c>
      <c r="G557" t="s">
        <v>1071</v>
      </c>
      <c r="H557" t="s">
        <v>1302</v>
      </c>
      <c r="I557">
        <v>3500000</v>
      </c>
      <c r="J557">
        <v>2010</v>
      </c>
      <c r="K557">
        <v>12</v>
      </c>
      <c r="L557">
        <v>11</v>
      </c>
      <c r="M557">
        <v>34268528</v>
      </c>
    </row>
    <row r="558" spans="1:13" x14ac:dyDescent="0.3">
      <c r="A558">
        <v>557</v>
      </c>
      <c r="B558" t="s">
        <v>530</v>
      </c>
      <c r="C558">
        <v>14900000</v>
      </c>
      <c r="D558">
        <v>8074260978</v>
      </c>
      <c r="E558" t="s">
        <v>988</v>
      </c>
      <c r="F558">
        <v>66362</v>
      </c>
      <c r="G558" t="s">
        <v>1081</v>
      </c>
      <c r="H558" t="s">
        <v>1302</v>
      </c>
      <c r="I558">
        <v>2100000</v>
      </c>
      <c r="J558">
        <v>2012</v>
      </c>
      <c r="K558">
        <v>11</v>
      </c>
      <c r="L558">
        <v>29</v>
      </c>
      <c r="M558">
        <v>270203917</v>
      </c>
    </row>
    <row r="559" spans="1:13" x14ac:dyDescent="0.3">
      <c r="A559">
        <v>558</v>
      </c>
      <c r="B559" t="s">
        <v>236</v>
      </c>
      <c r="C559">
        <v>20500000</v>
      </c>
      <c r="D559">
        <v>15038593883</v>
      </c>
      <c r="E559" t="s">
        <v>988</v>
      </c>
      <c r="F559">
        <v>33229</v>
      </c>
      <c r="G559" t="s">
        <v>1006</v>
      </c>
      <c r="H559" t="s">
        <v>1302</v>
      </c>
      <c r="I559">
        <v>7600000</v>
      </c>
      <c r="J559">
        <v>2006</v>
      </c>
      <c r="K559">
        <v>3</v>
      </c>
      <c r="L559">
        <v>9</v>
      </c>
      <c r="M559">
        <v>51709098</v>
      </c>
    </row>
    <row r="560" spans="1:13" x14ac:dyDescent="0.3">
      <c r="A560">
        <v>559</v>
      </c>
      <c r="B560" t="s">
        <v>465</v>
      </c>
      <c r="C560">
        <v>15400000</v>
      </c>
      <c r="D560">
        <v>1543608082</v>
      </c>
      <c r="E560" t="s">
        <v>996</v>
      </c>
      <c r="F560">
        <v>1647</v>
      </c>
      <c r="G560" t="s">
        <v>984</v>
      </c>
      <c r="H560" t="s">
        <v>1303</v>
      </c>
      <c r="I560">
        <v>2700000</v>
      </c>
      <c r="J560">
        <v>2016</v>
      </c>
      <c r="K560">
        <v>7</v>
      </c>
      <c r="L560">
        <v>14</v>
      </c>
      <c r="M560">
        <v>328239523</v>
      </c>
    </row>
    <row r="561" spans="1:13" x14ac:dyDescent="0.3">
      <c r="A561">
        <v>560</v>
      </c>
      <c r="B561" t="s">
        <v>514</v>
      </c>
      <c r="C561">
        <v>15100000</v>
      </c>
      <c r="D561">
        <v>5324913850</v>
      </c>
      <c r="E561" t="s">
        <v>994</v>
      </c>
      <c r="F561">
        <v>753</v>
      </c>
      <c r="G561" t="s">
        <v>1214</v>
      </c>
      <c r="H561" t="s">
        <v>1306</v>
      </c>
      <c r="I561">
        <v>2200000</v>
      </c>
      <c r="J561">
        <v>2014</v>
      </c>
      <c r="K561">
        <v>10</v>
      </c>
      <c r="L561">
        <v>31</v>
      </c>
      <c r="M561">
        <v>100388073</v>
      </c>
    </row>
    <row r="562" spans="1:13" x14ac:dyDescent="0.3">
      <c r="A562">
        <v>561</v>
      </c>
      <c r="B562" t="s">
        <v>1290</v>
      </c>
      <c r="C562">
        <v>12400000</v>
      </c>
      <c r="D562">
        <v>16086808918</v>
      </c>
      <c r="E562" t="s">
        <v>1044</v>
      </c>
      <c r="F562">
        <v>0</v>
      </c>
      <c r="G562" t="s">
        <v>984</v>
      </c>
      <c r="H562" t="s">
        <v>1303</v>
      </c>
      <c r="I562">
        <v>0</v>
      </c>
      <c r="J562">
        <v>2016</v>
      </c>
      <c r="K562">
        <v>5</v>
      </c>
      <c r="L562">
        <v>10</v>
      </c>
      <c r="M562">
        <v>328239523</v>
      </c>
    </row>
    <row r="563" spans="1:13" x14ac:dyDescent="0.3">
      <c r="A563">
        <v>562</v>
      </c>
      <c r="B563" t="s">
        <v>152</v>
      </c>
      <c r="C563">
        <v>15000000</v>
      </c>
      <c r="D563">
        <v>4352427049</v>
      </c>
      <c r="E563" t="s">
        <v>996</v>
      </c>
      <c r="F563">
        <v>2324</v>
      </c>
      <c r="G563" t="s">
        <v>1013</v>
      </c>
      <c r="H563" t="s">
        <v>1304</v>
      </c>
      <c r="I563">
        <v>12000000</v>
      </c>
      <c r="J563">
        <v>2013</v>
      </c>
      <c r="K563">
        <v>5</v>
      </c>
      <c r="L563">
        <v>6</v>
      </c>
      <c r="M563">
        <v>66834405</v>
      </c>
    </row>
    <row r="564" spans="1:13" x14ac:dyDescent="0.3">
      <c r="A564">
        <v>563</v>
      </c>
      <c r="B564" t="s">
        <v>459</v>
      </c>
      <c r="C564">
        <v>12600000</v>
      </c>
      <c r="D564">
        <v>3303595310</v>
      </c>
      <c r="E564" t="s">
        <v>996</v>
      </c>
      <c r="F564">
        <v>825</v>
      </c>
      <c r="G564" t="s">
        <v>1013</v>
      </c>
      <c r="H564" t="s">
        <v>1304</v>
      </c>
      <c r="I564">
        <v>2800000</v>
      </c>
      <c r="J564">
        <v>2014</v>
      </c>
      <c r="K564">
        <v>6</v>
      </c>
      <c r="L564">
        <v>10</v>
      </c>
      <c r="M564">
        <v>66834405</v>
      </c>
    </row>
    <row r="565" spans="1:13" x14ac:dyDescent="0.3">
      <c r="A565">
        <v>564</v>
      </c>
      <c r="B565" t="s">
        <v>303</v>
      </c>
      <c r="C565">
        <v>59500000</v>
      </c>
      <c r="D565">
        <v>59316472754</v>
      </c>
      <c r="E565" t="s">
        <v>982</v>
      </c>
      <c r="F565">
        <v>39113</v>
      </c>
      <c r="G565" t="s">
        <v>984</v>
      </c>
      <c r="H565" t="s">
        <v>1303</v>
      </c>
      <c r="I565">
        <v>5500000</v>
      </c>
      <c r="J565">
        <v>2006</v>
      </c>
      <c r="K565">
        <v>4</v>
      </c>
      <c r="L565">
        <v>28</v>
      </c>
      <c r="M565">
        <v>328239523</v>
      </c>
    </row>
    <row r="566" spans="1:13" x14ac:dyDescent="0.3">
      <c r="A566">
        <v>565</v>
      </c>
      <c r="B566" t="s">
        <v>466</v>
      </c>
      <c r="C566">
        <v>32100000</v>
      </c>
      <c r="D566">
        <v>10602236110</v>
      </c>
      <c r="E566" t="s">
        <v>992</v>
      </c>
      <c r="F566">
        <v>3091</v>
      </c>
      <c r="G566" t="s">
        <v>1013</v>
      </c>
      <c r="H566" t="s">
        <v>1304</v>
      </c>
      <c r="I566">
        <v>2700000</v>
      </c>
      <c r="J566">
        <v>2006</v>
      </c>
      <c r="K566">
        <v>1</v>
      </c>
      <c r="L566">
        <v>4</v>
      </c>
      <c r="M566">
        <v>66834405</v>
      </c>
    </row>
    <row r="567" spans="1:13" x14ac:dyDescent="0.3">
      <c r="A567">
        <v>566</v>
      </c>
      <c r="B567" t="s">
        <v>324</v>
      </c>
      <c r="C567">
        <v>31700000</v>
      </c>
      <c r="D567">
        <v>5711208484</v>
      </c>
      <c r="E567" t="s">
        <v>1088</v>
      </c>
      <c r="F567">
        <v>929</v>
      </c>
      <c r="G567" t="s">
        <v>978</v>
      </c>
      <c r="H567" t="s">
        <v>1302</v>
      </c>
      <c r="I567">
        <v>5200000</v>
      </c>
      <c r="J567">
        <v>2012</v>
      </c>
      <c r="K567">
        <v>6</v>
      </c>
      <c r="L567">
        <v>21</v>
      </c>
      <c r="M567">
        <v>1366417754</v>
      </c>
    </row>
    <row r="568" spans="1:13" x14ac:dyDescent="0.3">
      <c r="A568">
        <v>567</v>
      </c>
      <c r="B568" t="s">
        <v>1287</v>
      </c>
      <c r="C568">
        <v>12500000</v>
      </c>
      <c r="D568">
        <v>4340213066</v>
      </c>
      <c r="E568" t="s">
        <v>1088</v>
      </c>
      <c r="F568">
        <v>223</v>
      </c>
      <c r="G568" t="s">
        <v>1041</v>
      </c>
      <c r="H568" t="s">
        <v>1302</v>
      </c>
      <c r="I568">
        <v>419</v>
      </c>
      <c r="J568">
        <v>2022</v>
      </c>
      <c r="K568">
        <v>4</v>
      </c>
      <c r="L568">
        <v>23</v>
      </c>
      <c r="M568">
        <v>216565318</v>
      </c>
    </row>
    <row r="569" spans="1:13" x14ac:dyDescent="0.3">
      <c r="A569">
        <v>568</v>
      </c>
      <c r="B569" t="s">
        <v>13</v>
      </c>
      <c r="C569">
        <v>166000000</v>
      </c>
      <c r="D569">
        <v>28368841870</v>
      </c>
      <c r="E569" t="s">
        <v>988</v>
      </c>
      <c r="F569">
        <v>741</v>
      </c>
      <c r="G569" t="s">
        <v>984</v>
      </c>
      <c r="H569" t="s">
        <v>1303</v>
      </c>
      <c r="I569">
        <v>64700000</v>
      </c>
      <c r="J569">
        <v>2012</v>
      </c>
      <c r="K569">
        <v>2</v>
      </c>
      <c r="L569">
        <v>20</v>
      </c>
      <c r="M569">
        <v>328239523</v>
      </c>
    </row>
    <row r="570" spans="1:13" x14ac:dyDescent="0.3">
      <c r="A570">
        <v>569</v>
      </c>
      <c r="B570" t="s">
        <v>579</v>
      </c>
      <c r="C570">
        <v>24200000</v>
      </c>
      <c r="D570">
        <v>2700914170</v>
      </c>
      <c r="E570" t="s">
        <v>988</v>
      </c>
      <c r="F570">
        <v>67</v>
      </c>
      <c r="G570" t="s">
        <v>1058</v>
      </c>
      <c r="H570" t="s">
        <v>1305</v>
      </c>
      <c r="I570">
        <v>1600000</v>
      </c>
      <c r="J570">
        <v>2021</v>
      </c>
      <c r="K570">
        <v>7</v>
      </c>
      <c r="L570">
        <v>9</v>
      </c>
      <c r="M570">
        <v>126014024</v>
      </c>
    </row>
    <row r="571" spans="1:13" x14ac:dyDescent="0.3">
      <c r="A571">
        <v>570</v>
      </c>
      <c r="B571" t="s">
        <v>1075</v>
      </c>
      <c r="C571">
        <v>36100000</v>
      </c>
      <c r="D571">
        <v>6331332547</v>
      </c>
      <c r="E571" t="s">
        <v>996</v>
      </c>
      <c r="F571">
        <v>5</v>
      </c>
      <c r="G571" t="s">
        <v>1294</v>
      </c>
      <c r="H571" t="s">
        <v>1294</v>
      </c>
      <c r="I571">
        <v>2</v>
      </c>
      <c r="J571">
        <v>2011</v>
      </c>
      <c r="K571">
        <v>2</v>
      </c>
      <c r="L571">
        <v>26</v>
      </c>
      <c r="M571" t="s">
        <v>1294</v>
      </c>
    </row>
    <row r="572" spans="1:13" x14ac:dyDescent="0.3">
      <c r="A572">
        <v>571</v>
      </c>
      <c r="B572" t="s">
        <v>1212</v>
      </c>
      <c r="C572">
        <v>15500000</v>
      </c>
      <c r="D572">
        <v>12880388253</v>
      </c>
      <c r="E572" t="s">
        <v>1088</v>
      </c>
      <c r="F572">
        <v>0</v>
      </c>
      <c r="G572" t="s">
        <v>984</v>
      </c>
      <c r="H572" t="s">
        <v>1303</v>
      </c>
      <c r="I572">
        <v>0</v>
      </c>
      <c r="J572">
        <v>2016</v>
      </c>
      <c r="K572">
        <v>3</v>
      </c>
      <c r="L572">
        <v>2</v>
      </c>
      <c r="M572">
        <v>328239523</v>
      </c>
    </row>
    <row r="573" spans="1:13" x14ac:dyDescent="0.3">
      <c r="A573">
        <v>572</v>
      </c>
      <c r="B573" t="s">
        <v>667</v>
      </c>
      <c r="C573">
        <v>12800000</v>
      </c>
      <c r="D573">
        <v>6970899521</v>
      </c>
      <c r="E573" t="s">
        <v>988</v>
      </c>
      <c r="F573">
        <v>3483</v>
      </c>
      <c r="G573" t="s">
        <v>1017</v>
      </c>
      <c r="H573" t="s">
        <v>1303</v>
      </c>
      <c r="I573">
        <v>869600</v>
      </c>
      <c r="J573">
        <v>2010</v>
      </c>
      <c r="K573">
        <v>4</v>
      </c>
      <c r="L573">
        <v>9</v>
      </c>
      <c r="M573">
        <v>36991981</v>
      </c>
    </row>
    <row r="574" spans="1:13" x14ac:dyDescent="0.3">
      <c r="A574">
        <v>573</v>
      </c>
      <c r="B574" t="s">
        <v>226</v>
      </c>
      <c r="C574">
        <v>15400000</v>
      </c>
      <c r="D574">
        <v>3736069980</v>
      </c>
      <c r="E574" t="s">
        <v>1088</v>
      </c>
      <c r="F574">
        <v>1577</v>
      </c>
      <c r="G574" t="s">
        <v>1013</v>
      </c>
      <c r="H574" t="s">
        <v>1304</v>
      </c>
      <c r="I574">
        <v>8000000</v>
      </c>
      <c r="J574">
        <v>2011</v>
      </c>
      <c r="K574">
        <v>4</v>
      </c>
      <c r="L574">
        <v>20</v>
      </c>
      <c r="M574">
        <v>66834405</v>
      </c>
    </row>
    <row r="575" spans="1:13" x14ac:dyDescent="0.3">
      <c r="A575">
        <v>574</v>
      </c>
      <c r="B575" t="s">
        <v>1179</v>
      </c>
      <c r="C575">
        <v>17800000</v>
      </c>
      <c r="D575">
        <v>8588704539</v>
      </c>
      <c r="E575" t="s">
        <v>982</v>
      </c>
      <c r="F575">
        <v>26</v>
      </c>
      <c r="G575" t="s">
        <v>984</v>
      </c>
      <c r="H575" t="s">
        <v>1303</v>
      </c>
      <c r="I575">
        <v>994</v>
      </c>
      <c r="J575">
        <v>2021</v>
      </c>
      <c r="K575">
        <v>11</v>
      </c>
      <c r="L575">
        <v>9</v>
      </c>
      <c r="M575">
        <v>328239523</v>
      </c>
    </row>
    <row r="576" spans="1:13" x14ac:dyDescent="0.3">
      <c r="A576">
        <v>575</v>
      </c>
      <c r="B576" t="s">
        <v>83</v>
      </c>
      <c r="C576">
        <v>24800000</v>
      </c>
      <c r="D576">
        <v>14655527943</v>
      </c>
      <c r="E576" t="s">
        <v>994</v>
      </c>
      <c r="F576">
        <v>872</v>
      </c>
      <c r="G576" t="s">
        <v>1294</v>
      </c>
      <c r="H576" t="s">
        <v>1294</v>
      </c>
      <c r="I576">
        <v>19200000</v>
      </c>
      <c r="J576">
        <v>2020</v>
      </c>
      <c r="K576">
        <v>5</v>
      </c>
      <c r="L576">
        <v>18</v>
      </c>
      <c r="M576" t="s">
        <v>1294</v>
      </c>
    </row>
    <row r="577" spans="1:13" x14ac:dyDescent="0.3">
      <c r="A577">
        <v>576</v>
      </c>
      <c r="B577" t="s">
        <v>175</v>
      </c>
      <c r="C577">
        <v>12500000</v>
      </c>
      <c r="D577">
        <v>16690788752</v>
      </c>
      <c r="E577" t="s">
        <v>977</v>
      </c>
      <c r="F577">
        <v>253</v>
      </c>
      <c r="G577" t="s">
        <v>1019</v>
      </c>
      <c r="H577" t="s">
        <v>1305</v>
      </c>
      <c r="I577">
        <v>10300000</v>
      </c>
      <c r="J577">
        <v>2011</v>
      </c>
      <c r="K577">
        <v>9</v>
      </c>
      <c r="L577">
        <v>29</v>
      </c>
      <c r="M577">
        <v>212559417</v>
      </c>
    </row>
    <row r="578" spans="1:13" x14ac:dyDescent="0.3">
      <c r="A578">
        <v>577</v>
      </c>
      <c r="B578" t="s">
        <v>977</v>
      </c>
      <c r="C578">
        <v>119000000</v>
      </c>
      <c r="D578">
        <v>0</v>
      </c>
      <c r="E578" t="s">
        <v>1294</v>
      </c>
      <c r="F578">
        <v>0</v>
      </c>
      <c r="G578" t="s">
        <v>1294</v>
      </c>
      <c r="H578" t="s">
        <v>1294</v>
      </c>
      <c r="I578">
        <v>0</v>
      </c>
      <c r="J578">
        <v>2013</v>
      </c>
      <c r="K578">
        <v>9</v>
      </c>
      <c r="L578">
        <v>24</v>
      </c>
      <c r="M578" t="s">
        <v>1294</v>
      </c>
    </row>
    <row r="579" spans="1:13" x14ac:dyDescent="0.3">
      <c r="A579">
        <v>578</v>
      </c>
      <c r="B579" t="s">
        <v>1210</v>
      </c>
      <c r="C579">
        <v>15700000</v>
      </c>
      <c r="D579">
        <v>6153495609</v>
      </c>
      <c r="E579" t="s">
        <v>1294</v>
      </c>
      <c r="F579">
        <v>150</v>
      </c>
      <c r="G579" t="s">
        <v>1112</v>
      </c>
      <c r="H579" t="s">
        <v>1302</v>
      </c>
      <c r="I579">
        <v>45100</v>
      </c>
      <c r="J579">
        <v>2019</v>
      </c>
      <c r="K579">
        <v>12</v>
      </c>
      <c r="L579">
        <v>3</v>
      </c>
      <c r="M579">
        <v>5703569</v>
      </c>
    </row>
    <row r="580" spans="1:13" x14ac:dyDescent="0.3">
      <c r="A580">
        <v>579</v>
      </c>
      <c r="B580" t="s">
        <v>539</v>
      </c>
      <c r="C580">
        <v>13400000</v>
      </c>
      <c r="D580">
        <v>3363634923</v>
      </c>
      <c r="E580" t="s">
        <v>1044</v>
      </c>
      <c r="F580">
        <v>1195</v>
      </c>
      <c r="G580" t="s">
        <v>1048</v>
      </c>
      <c r="H580" t="s">
        <v>1302</v>
      </c>
      <c r="I580">
        <v>2000000</v>
      </c>
      <c r="J580">
        <v>2014</v>
      </c>
      <c r="K580">
        <v>12</v>
      </c>
      <c r="L580">
        <v>8</v>
      </c>
      <c r="M580">
        <v>69625582</v>
      </c>
    </row>
    <row r="581" spans="1:13" x14ac:dyDescent="0.3">
      <c r="A581">
        <v>580</v>
      </c>
      <c r="B581" t="s">
        <v>620</v>
      </c>
      <c r="C581">
        <v>13700000</v>
      </c>
      <c r="D581">
        <v>4963275018</v>
      </c>
      <c r="E581" t="s">
        <v>994</v>
      </c>
      <c r="F581">
        <v>340</v>
      </c>
      <c r="G581" t="s">
        <v>978</v>
      </c>
      <c r="H581" t="s">
        <v>1302</v>
      </c>
      <c r="I581">
        <v>1300000</v>
      </c>
      <c r="J581">
        <v>2014</v>
      </c>
      <c r="K581">
        <v>7</v>
      </c>
      <c r="L581">
        <v>22</v>
      </c>
      <c r="M581">
        <v>1366417754</v>
      </c>
    </row>
    <row r="582" spans="1:13" x14ac:dyDescent="0.3">
      <c r="A582">
        <v>581</v>
      </c>
      <c r="B582" t="s">
        <v>1084</v>
      </c>
      <c r="C582">
        <v>32700000</v>
      </c>
      <c r="D582">
        <v>17853798780</v>
      </c>
      <c r="E582" t="s">
        <v>988</v>
      </c>
      <c r="F582">
        <v>1521</v>
      </c>
      <c r="G582" t="s">
        <v>978</v>
      </c>
      <c r="H582" t="s">
        <v>1302</v>
      </c>
      <c r="I582">
        <v>972600</v>
      </c>
      <c r="J582">
        <v>2012</v>
      </c>
      <c r="K582">
        <v>3</v>
      </c>
      <c r="L582">
        <v>14</v>
      </c>
      <c r="M582">
        <v>1366417754</v>
      </c>
    </row>
    <row r="583" spans="1:13" x14ac:dyDescent="0.3">
      <c r="A583">
        <v>582</v>
      </c>
      <c r="B583" t="s">
        <v>677</v>
      </c>
      <c r="C583">
        <v>18300000</v>
      </c>
      <c r="D583">
        <v>1606834186</v>
      </c>
      <c r="E583" t="s">
        <v>994</v>
      </c>
      <c r="F583">
        <v>786</v>
      </c>
      <c r="G583" t="s">
        <v>1081</v>
      </c>
      <c r="H583" t="s">
        <v>1302</v>
      </c>
      <c r="I583">
        <v>819000</v>
      </c>
      <c r="J583">
        <v>2017</v>
      </c>
      <c r="K583">
        <v>7</v>
      </c>
      <c r="L583">
        <v>8</v>
      </c>
      <c r="M583">
        <v>270203917</v>
      </c>
    </row>
    <row r="584" spans="1:13" x14ac:dyDescent="0.3">
      <c r="A584">
        <v>583</v>
      </c>
      <c r="B584" t="s">
        <v>198</v>
      </c>
      <c r="C584">
        <v>15800000</v>
      </c>
      <c r="D584">
        <v>3392918989</v>
      </c>
      <c r="E584" t="s">
        <v>1026</v>
      </c>
      <c r="F584">
        <v>20679</v>
      </c>
      <c r="G584" t="s">
        <v>978</v>
      </c>
      <c r="H584" t="s">
        <v>1302</v>
      </c>
      <c r="I584">
        <v>8900000</v>
      </c>
      <c r="J584">
        <v>2007</v>
      </c>
      <c r="K584">
        <v>10</v>
      </c>
      <c r="L584">
        <v>26</v>
      </c>
      <c r="M584">
        <v>1366417754</v>
      </c>
    </row>
    <row r="585" spans="1:13" x14ac:dyDescent="0.3">
      <c r="A585">
        <v>584</v>
      </c>
      <c r="B585" t="s">
        <v>701</v>
      </c>
      <c r="C585">
        <v>14000000</v>
      </c>
      <c r="D585">
        <v>2214167846</v>
      </c>
      <c r="E585" t="s">
        <v>1011</v>
      </c>
      <c r="F585">
        <v>431</v>
      </c>
      <c r="G585" t="s">
        <v>1147</v>
      </c>
      <c r="H585" t="s">
        <v>1304</v>
      </c>
      <c r="I585">
        <v>658000</v>
      </c>
      <c r="J585">
        <v>2014</v>
      </c>
      <c r="K585">
        <v>9</v>
      </c>
      <c r="L585">
        <v>24</v>
      </c>
      <c r="M585">
        <v>10285453</v>
      </c>
    </row>
    <row r="586" spans="1:13" x14ac:dyDescent="0.3">
      <c r="A586">
        <v>585</v>
      </c>
      <c r="B586" t="s">
        <v>52</v>
      </c>
      <c r="C586">
        <v>12300000</v>
      </c>
      <c r="D586">
        <v>9029609749</v>
      </c>
      <c r="E586" t="s">
        <v>1004</v>
      </c>
      <c r="F586">
        <v>1200</v>
      </c>
      <c r="G586" t="s">
        <v>1019</v>
      </c>
      <c r="H586" t="s">
        <v>1305</v>
      </c>
      <c r="I586">
        <v>26500000</v>
      </c>
      <c r="J586">
        <v>2017</v>
      </c>
      <c r="K586">
        <v>2</v>
      </c>
      <c r="L586">
        <v>12</v>
      </c>
      <c r="M586">
        <v>212559417</v>
      </c>
    </row>
    <row r="587" spans="1:13" x14ac:dyDescent="0.3">
      <c r="A587">
        <v>586</v>
      </c>
      <c r="B587" t="s">
        <v>513</v>
      </c>
      <c r="C587">
        <v>21800000</v>
      </c>
      <c r="D587">
        <v>5614621131</v>
      </c>
      <c r="E587" t="s">
        <v>1088</v>
      </c>
      <c r="F587">
        <v>10162</v>
      </c>
      <c r="G587" t="s">
        <v>984</v>
      </c>
      <c r="H587" t="s">
        <v>1303</v>
      </c>
      <c r="I587">
        <v>2200000</v>
      </c>
      <c r="J587">
        <v>2006</v>
      </c>
      <c r="K587">
        <v>5</v>
      </c>
      <c r="L587">
        <v>7</v>
      </c>
      <c r="M587">
        <v>328239523</v>
      </c>
    </row>
    <row r="588" spans="1:13" x14ac:dyDescent="0.3">
      <c r="A588">
        <v>587</v>
      </c>
      <c r="B588" t="s">
        <v>419</v>
      </c>
      <c r="C588">
        <v>20700000</v>
      </c>
      <c r="D588">
        <v>12624879732</v>
      </c>
      <c r="E588" t="s">
        <v>1004</v>
      </c>
      <c r="F588">
        <v>47926</v>
      </c>
      <c r="G588" t="s">
        <v>984</v>
      </c>
      <c r="H588" t="s">
        <v>1303</v>
      </c>
      <c r="I588">
        <v>3500000</v>
      </c>
      <c r="J588">
        <v>2005</v>
      </c>
      <c r="K588">
        <v>11</v>
      </c>
      <c r="L588">
        <v>21</v>
      </c>
      <c r="M588">
        <v>328239523</v>
      </c>
    </row>
    <row r="589" spans="1:13" x14ac:dyDescent="0.3">
      <c r="A589">
        <v>588</v>
      </c>
      <c r="B589" t="s">
        <v>457</v>
      </c>
      <c r="C589">
        <v>12500000</v>
      </c>
      <c r="D589">
        <v>4935793409</v>
      </c>
      <c r="E589" t="s">
        <v>988</v>
      </c>
      <c r="F589">
        <v>151136</v>
      </c>
      <c r="G589" t="s">
        <v>978</v>
      </c>
      <c r="H589" t="s">
        <v>1302</v>
      </c>
      <c r="I589">
        <v>2800000</v>
      </c>
      <c r="J589">
        <v>2006</v>
      </c>
      <c r="K589">
        <v>5</v>
      </c>
      <c r="L589">
        <v>8</v>
      </c>
      <c r="M589">
        <v>1366417754</v>
      </c>
    </row>
    <row r="590" spans="1:13" x14ac:dyDescent="0.3">
      <c r="A590">
        <v>589</v>
      </c>
      <c r="B590" t="s">
        <v>495</v>
      </c>
      <c r="C590">
        <v>15200000</v>
      </c>
      <c r="D590">
        <v>6624168155</v>
      </c>
      <c r="E590" t="s">
        <v>1026</v>
      </c>
      <c r="F590">
        <v>91704</v>
      </c>
      <c r="G590" t="s">
        <v>978</v>
      </c>
      <c r="H590" t="s">
        <v>1302</v>
      </c>
      <c r="I590">
        <v>2400000</v>
      </c>
      <c r="J590">
        <v>2008</v>
      </c>
      <c r="K590">
        <v>1</v>
      </c>
      <c r="L590">
        <v>19</v>
      </c>
      <c r="M590">
        <v>1366417754</v>
      </c>
    </row>
    <row r="591" spans="1:13" x14ac:dyDescent="0.3">
      <c r="A591">
        <v>590</v>
      </c>
      <c r="B591" t="s">
        <v>635</v>
      </c>
      <c r="C591">
        <v>14100000</v>
      </c>
      <c r="D591">
        <v>2131548711</v>
      </c>
      <c r="E591" t="s">
        <v>977</v>
      </c>
      <c r="F591">
        <v>149</v>
      </c>
      <c r="G591" t="s">
        <v>978</v>
      </c>
      <c r="H591" t="s">
        <v>1302</v>
      </c>
      <c r="I591">
        <v>1200000</v>
      </c>
      <c r="J591">
        <v>2012</v>
      </c>
      <c r="K591">
        <v>10</v>
      </c>
      <c r="L591">
        <v>22</v>
      </c>
      <c r="M591">
        <v>1366417754</v>
      </c>
    </row>
    <row r="592" spans="1:13" x14ac:dyDescent="0.3">
      <c r="A592">
        <v>591</v>
      </c>
      <c r="B592" t="s">
        <v>76</v>
      </c>
      <c r="C592">
        <v>24100000</v>
      </c>
      <c r="D592">
        <v>56106087508</v>
      </c>
      <c r="E592" t="s">
        <v>977</v>
      </c>
      <c r="F592">
        <v>23491</v>
      </c>
      <c r="G592" t="s">
        <v>1085</v>
      </c>
      <c r="H592" t="s">
        <v>1304</v>
      </c>
      <c r="I592">
        <v>20400000</v>
      </c>
      <c r="J592">
        <v>2014</v>
      </c>
      <c r="K592">
        <v>1</v>
      </c>
      <c r="L592">
        <v>23</v>
      </c>
      <c r="M592">
        <v>83429615</v>
      </c>
    </row>
    <row r="593" spans="1:13" x14ac:dyDescent="0.3">
      <c r="A593">
        <v>592</v>
      </c>
      <c r="B593" t="s">
        <v>298</v>
      </c>
      <c r="C593">
        <v>26700000</v>
      </c>
      <c r="D593">
        <v>7173668905</v>
      </c>
      <c r="E593" t="s">
        <v>988</v>
      </c>
      <c r="F593">
        <v>6471</v>
      </c>
      <c r="G593" t="s">
        <v>984</v>
      </c>
      <c r="H593" t="s">
        <v>1303</v>
      </c>
      <c r="I593">
        <v>5700000</v>
      </c>
      <c r="J593">
        <v>2012</v>
      </c>
      <c r="K593">
        <v>7</v>
      </c>
      <c r="L593">
        <v>17</v>
      </c>
      <c r="M593">
        <v>328239523</v>
      </c>
    </row>
    <row r="594" spans="1:13" x14ac:dyDescent="0.3">
      <c r="A594">
        <v>593</v>
      </c>
      <c r="B594" t="s">
        <v>1138</v>
      </c>
      <c r="C594">
        <v>21800000</v>
      </c>
      <c r="D594">
        <v>7780934187</v>
      </c>
      <c r="E594" t="s">
        <v>994</v>
      </c>
      <c r="F594">
        <v>1</v>
      </c>
      <c r="G594" t="s">
        <v>1294</v>
      </c>
      <c r="H594" t="s">
        <v>1294</v>
      </c>
      <c r="I594">
        <v>0</v>
      </c>
      <c r="J594">
        <v>2017</v>
      </c>
      <c r="K594">
        <v>9</v>
      </c>
      <c r="L594">
        <v>24</v>
      </c>
      <c r="M594" t="s">
        <v>1294</v>
      </c>
    </row>
    <row r="595" spans="1:13" x14ac:dyDescent="0.3">
      <c r="A595">
        <v>594</v>
      </c>
      <c r="B595" t="s">
        <v>403</v>
      </c>
      <c r="C595">
        <v>14700000</v>
      </c>
      <c r="D595">
        <v>8882319696</v>
      </c>
      <c r="E595" t="s">
        <v>990</v>
      </c>
      <c r="F595">
        <v>1996</v>
      </c>
      <c r="G595" t="s">
        <v>984</v>
      </c>
      <c r="H595" t="s">
        <v>1303</v>
      </c>
      <c r="I595">
        <v>3800000</v>
      </c>
      <c r="J595">
        <v>2012</v>
      </c>
      <c r="K595">
        <v>1</v>
      </c>
      <c r="L595">
        <v>28</v>
      </c>
      <c r="M595">
        <v>328239523</v>
      </c>
    </row>
    <row r="596" spans="1:13" x14ac:dyDescent="0.3">
      <c r="A596">
        <v>595</v>
      </c>
      <c r="B596" t="s">
        <v>1027</v>
      </c>
      <c r="C596">
        <v>36300000</v>
      </c>
      <c r="D596">
        <v>0</v>
      </c>
      <c r="E596" t="s">
        <v>1294</v>
      </c>
      <c r="F596">
        <v>0</v>
      </c>
      <c r="G596" t="s">
        <v>1294</v>
      </c>
      <c r="H596" t="s">
        <v>1294</v>
      </c>
      <c r="I596">
        <v>0</v>
      </c>
      <c r="J596">
        <v>2013</v>
      </c>
      <c r="K596">
        <v>9</v>
      </c>
      <c r="L596">
        <v>9</v>
      </c>
      <c r="M596" t="s">
        <v>1294</v>
      </c>
    </row>
    <row r="597" spans="1:13" x14ac:dyDescent="0.3">
      <c r="A597">
        <v>596</v>
      </c>
      <c r="B597" t="s">
        <v>88</v>
      </c>
      <c r="C597">
        <v>17500000</v>
      </c>
      <c r="D597">
        <v>7263619576</v>
      </c>
      <c r="E597" t="s">
        <v>1026</v>
      </c>
      <c r="F597">
        <v>182742</v>
      </c>
      <c r="G597" t="s">
        <v>978</v>
      </c>
      <c r="H597" t="s">
        <v>1302</v>
      </c>
      <c r="I597">
        <v>18900000</v>
      </c>
      <c r="J597">
        <v>2007</v>
      </c>
      <c r="K597">
        <v>10</v>
      </c>
      <c r="L597">
        <v>25</v>
      </c>
      <c r="M597">
        <v>1366417754</v>
      </c>
    </row>
    <row r="598" spans="1:13" x14ac:dyDescent="0.3">
      <c r="A598">
        <v>597</v>
      </c>
      <c r="B598" t="s">
        <v>731</v>
      </c>
      <c r="C598">
        <v>15200000</v>
      </c>
      <c r="D598">
        <v>1491452935</v>
      </c>
      <c r="E598" t="s">
        <v>988</v>
      </c>
      <c r="F598">
        <v>443</v>
      </c>
      <c r="G598" t="s">
        <v>1045</v>
      </c>
      <c r="H598" t="s">
        <v>1302</v>
      </c>
      <c r="I598">
        <v>479000</v>
      </c>
      <c r="J598">
        <v>2013</v>
      </c>
      <c r="K598">
        <v>4</v>
      </c>
      <c r="L598">
        <v>11</v>
      </c>
      <c r="M598">
        <v>108116615</v>
      </c>
    </row>
    <row r="599" spans="1:13" x14ac:dyDescent="0.3">
      <c r="A599">
        <v>598</v>
      </c>
      <c r="B599" t="s">
        <v>46</v>
      </c>
      <c r="C599">
        <v>26000000</v>
      </c>
      <c r="D599">
        <v>14101010609</v>
      </c>
      <c r="E599" t="s">
        <v>994</v>
      </c>
      <c r="F599">
        <v>868</v>
      </c>
      <c r="G599" t="s">
        <v>1294</v>
      </c>
      <c r="H599" t="s">
        <v>1294</v>
      </c>
      <c r="I599">
        <v>29100000</v>
      </c>
      <c r="J599">
        <v>2018</v>
      </c>
      <c r="K599">
        <v>9</v>
      </c>
      <c r="L599">
        <v>25</v>
      </c>
      <c r="M599" t="s">
        <v>1294</v>
      </c>
    </row>
    <row r="600" spans="1:13" x14ac:dyDescent="0.3">
      <c r="A600">
        <v>599</v>
      </c>
      <c r="B600" t="s">
        <v>540</v>
      </c>
      <c r="C600">
        <v>27300000</v>
      </c>
      <c r="D600">
        <v>22440611155</v>
      </c>
      <c r="E600" t="s">
        <v>982</v>
      </c>
      <c r="F600">
        <v>5438</v>
      </c>
      <c r="G600" t="s">
        <v>984</v>
      </c>
      <c r="H600" t="s">
        <v>1303</v>
      </c>
      <c r="I600">
        <v>2000000</v>
      </c>
      <c r="J600">
        <v>2012</v>
      </c>
      <c r="K600">
        <v>9</v>
      </c>
      <c r="L600">
        <v>27</v>
      </c>
      <c r="M600">
        <v>328239523</v>
      </c>
    </row>
    <row r="601" spans="1:13" x14ac:dyDescent="0.3">
      <c r="A601">
        <v>600</v>
      </c>
      <c r="B601" t="s">
        <v>332</v>
      </c>
      <c r="C601">
        <v>25700000</v>
      </c>
      <c r="D601">
        <v>10242981063</v>
      </c>
      <c r="E601" t="s">
        <v>977</v>
      </c>
      <c r="F601">
        <v>42</v>
      </c>
      <c r="G601" t="s">
        <v>984</v>
      </c>
      <c r="H601" t="s">
        <v>1303</v>
      </c>
      <c r="I601">
        <v>5000000</v>
      </c>
      <c r="J601">
        <v>2013</v>
      </c>
      <c r="K601">
        <v>8</v>
      </c>
      <c r="L601">
        <v>28</v>
      </c>
      <c r="M601">
        <v>328239523</v>
      </c>
    </row>
    <row r="602" spans="1:13" x14ac:dyDescent="0.3">
      <c r="A602">
        <v>601</v>
      </c>
      <c r="B602" t="s">
        <v>567</v>
      </c>
      <c r="C602">
        <v>12600000</v>
      </c>
      <c r="D602">
        <v>8831179714</v>
      </c>
      <c r="E602" t="s">
        <v>977</v>
      </c>
      <c r="F602">
        <v>99</v>
      </c>
      <c r="G602" t="s">
        <v>984</v>
      </c>
      <c r="H602" t="s">
        <v>1303</v>
      </c>
      <c r="I602">
        <v>1700000</v>
      </c>
      <c r="J602">
        <v>2010</v>
      </c>
      <c r="K602">
        <v>4</v>
      </c>
      <c r="L602">
        <v>1</v>
      </c>
      <c r="M602">
        <v>328239523</v>
      </c>
    </row>
    <row r="603" spans="1:13" x14ac:dyDescent="0.3">
      <c r="A603">
        <v>602</v>
      </c>
      <c r="B603" t="s">
        <v>410</v>
      </c>
      <c r="C603">
        <v>23600000</v>
      </c>
      <c r="D603">
        <v>15901824841</v>
      </c>
      <c r="E603" t="s">
        <v>977</v>
      </c>
      <c r="F603">
        <v>392</v>
      </c>
      <c r="G603" t="s">
        <v>1294</v>
      </c>
      <c r="H603" t="s">
        <v>1294</v>
      </c>
      <c r="I603">
        <v>3700000</v>
      </c>
      <c r="J603">
        <v>2012</v>
      </c>
      <c r="K603">
        <v>1</v>
      </c>
      <c r="L603">
        <v>10</v>
      </c>
      <c r="M603" t="s">
        <v>1294</v>
      </c>
    </row>
    <row r="604" spans="1:13" x14ac:dyDescent="0.3">
      <c r="A604">
        <v>603</v>
      </c>
      <c r="B604" t="s">
        <v>776</v>
      </c>
      <c r="C604">
        <v>21000000</v>
      </c>
      <c r="D604">
        <v>4380564906</v>
      </c>
      <c r="E604" t="s">
        <v>988</v>
      </c>
      <c r="F604">
        <v>403</v>
      </c>
      <c r="G604" t="s">
        <v>984</v>
      </c>
      <c r="H604" t="s">
        <v>1303</v>
      </c>
      <c r="I604">
        <v>118900</v>
      </c>
      <c r="J604">
        <v>2006</v>
      </c>
      <c r="K604">
        <v>7</v>
      </c>
      <c r="L604">
        <v>21</v>
      </c>
      <c r="M604">
        <v>328239523</v>
      </c>
    </row>
    <row r="605" spans="1:13" x14ac:dyDescent="0.3">
      <c r="A605">
        <v>604</v>
      </c>
      <c r="B605" t="s">
        <v>565</v>
      </c>
      <c r="C605">
        <v>14200000</v>
      </c>
      <c r="D605">
        <v>1778318927</v>
      </c>
      <c r="E605" t="s">
        <v>1011</v>
      </c>
      <c r="F605">
        <v>876</v>
      </c>
      <c r="G605" t="s">
        <v>1101</v>
      </c>
      <c r="H605" t="s">
        <v>1304</v>
      </c>
      <c r="I605">
        <v>1700000</v>
      </c>
      <c r="J605">
        <v>2008</v>
      </c>
      <c r="K605">
        <v>6</v>
      </c>
      <c r="L605">
        <v>23</v>
      </c>
      <c r="M605">
        <v>17332850</v>
      </c>
    </row>
    <row r="606" spans="1:13" x14ac:dyDescent="0.3">
      <c r="A606">
        <v>605</v>
      </c>
      <c r="B606" t="s">
        <v>743</v>
      </c>
      <c r="C606">
        <v>23700000</v>
      </c>
      <c r="D606">
        <v>2543809954</v>
      </c>
      <c r="E606" t="s">
        <v>996</v>
      </c>
      <c r="F606">
        <v>1732</v>
      </c>
      <c r="G606" t="s">
        <v>984</v>
      </c>
      <c r="H606" t="s">
        <v>1303</v>
      </c>
      <c r="I606">
        <v>401700</v>
      </c>
      <c r="J606">
        <v>2011</v>
      </c>
      <c r="K606">
        <v>11</v>
      </c>
      <c r="L606">
        <v>11</v>
      </c>
      <c r="M606">
        <v>328239523</v>
      </c>
    </row>
    <row r="607" spans="1:13" x14ac:dyDescent="0.3">
      <c r="A607">
        <v>606</v>
      </c>
      <c r="B607" t="s">
        <v>189</v>
      </c>
      <c r="C607">
        <v>20500000</v>
      </c>
      <c r="D607">
        <v>11009148579</v>
      </c>
      <c r="E607" t="s">
        <v>988</v>
      </c>
      <c r="F607">
        <v>296</v>
      </c>
      <c r="G607" t="s">
        <v>984</v>
      </c>
      <c r="H607" t="s">
        <v>1303</v>
      </c>
      <c r="I607">
        <v>9400000</v>
      </c>
      <c r="J607">
        <v>2017</v>
      </c>
      <c r="K607">
        <v>2</v>
      </c>
      <c r="L607">
        <v>9</v>
      </c>
      <c r="M607">
        <v>328239523</v>
      </c>
    </row>
    <row r="608" spans="1:13" x14ac:dyDescent="0.3">
      <c r="A608">
        <v>607</v>
      </c>
      <c r="B608" t="s">
        <v>645</v>
      </c>
      <c r="C608">
        <v>13700000</v>
      </c>
      <c r="D608">
        <v>2939201386</v>
      </c>
      <c r="E608" t="s">
        <v>1011</v>
      </c>
      <c r="F608">
        <v>2158</v>
      </c>
      <c r="G608" t="s">
        <v>978</v>
      </c>
      <c r="H608" t="s">
        <v>1302</v>
      </c>
      <c r="I608">
        <v>1100000</v>
      </c>
      <c r="J608">
        <v>2009</v>
      </c>
      <c r="K608">
        <v>8</v>
      </c>
      <c r="L608">
        <v>2</v>
      </c>
      <c r="M608">
        <v>1366417754</v>
      </c>
    </row>
    <row r="609" spans="1:13" x14ac:dyDescent="0.3">
      <c r="A609">
        <v>608</v>
      </c>
      <c r="B609" t="s">
        <v>458</v>
      </c>
      <c r="C609">
        <v>16600000</v>
      </c>
      <c r="D609">
        <v>7435180827</v>
      </c>
      <c r="E609" t="s">
        <v>1026</v>
      </c>
      <c r="F609">
        <v>112261</v>
      </c>
      <c r="G609" t="s">
        <v>978</v>
      </c>
      <c r="H609" t="s">
        <v>1302</v>
      </c>
      <c r="I609">
        <v>2800000</v>
      </c>
      <c r="J609">
        <v>2013</v>
      </c>
      <c r="K609">
        <v>10</v>
      </c>
      <c r="L609">
        <v>22</v>
      </c>
      <c r="M609">
        <v>1366417754</v>
      </c>
    </row>
    <row r="610" spans="1:13" x14ac:dyDescent="0.3">
      <c r="A610">
        <v>609</v>
      </c>
      <c r="B610" t="s">
        <v>1243</v>
      </c>
      <c r="C610">
        <v>14400000</v>
      </c>
      <c r="D610">
        <v>351763324</v>
      </c>
      <c r="E610" t="s">
        <v>996</v>
      </c>
      <c r="F610">
        <v>2</v>
      </c>
      <c r="G610" t="s">
        <v>1294</v>
      </c>
      <c r="H610" t="s">
        <v>1294</v>
      </c>
      <c r="I610">
        <v>0.1</v>
      </c>
      <c r="J610">
        <v>2006</v>
      </c>
      <c r="K610">
        <v>2</v>
      </c>
      <c r="L610">
        <v>3</v>
      </c>
      <c r="M610" t="s">
        <v>1294</v>
      </c>
    </row>
    <row r="611" spans="1:13" x14ac:dyDescent="0.3">
      <c r="A611">
        <v>610</v>
      </c>
      <c r="B611" t="s">
        <v>468</v>
      </c>
      <c r="C611">
        <v>33400000</v>
      </c>
      <c r="D611">
        <v>10530729078</v>
      </c>
      <c r="E611" t="s">
        <v>977</v>
      </c>
      <c r="F611">
        <v>1331</v>
      </c>
      <c r="G611" t="s">
        <v>1013</v>
      </c>
      <c r="H611" t="s">
        <v>1304</v>
      </c>
      <c r="I611">
        <v>2700000</v>
      </c>
      <c r="J611">
        <v>2011</v>
      </c>
      <c r="K611">
        <v>8</v>
      </c>
      <c r="L611">
        <v>14</v>
      </c>
      <c r="M611">
        <v>66834405</v>
      </c>
    </row>
    <row r="612" spans="1:13" x14ac:dyDescent="0.3">
      <c r="A612">
        <v>611</v>
      </c>
      <c r="B612" t="s">
        <v>261</v>
      </c>
      <c r="C612">
        <v>14600000</v>
      </c>
      <c r="D612">
        <v>5525773746</v>
      </c>
      <c r="E612" t="s">
        <v>1044</v>
      </c>
      <c r="F612">
        <v>560</v>
      </c>
      <c r="G612" t="s">
        <v>978</v>
      </c>
      <c r="H612" t="s">
        <v>1302</v>
      </c>
      <c r="I612">
        <v>6700000</v>
      </c>
      <c r="J612">
        <v>2019</v>
      </c>
      <c r="K612">
        <v>10</v>
      </c>
      <c r="L612">
        <v>28</v>
      </c>
      <c r="M612">
        <v>1366417754</v>
      </c>
    </row>
    <row r="613" spans="1:13" x14ac:dyDescent="0.3">
      <c r="A613">
        <v>612</v>
      </c>
      <c r="B613" t="s">
        <v>686</v>
      </c>
      <c r="C613">
        <v>20200000</v>
      </c>
      <c r="D613">
        <v>2764127969</v>
      </c>
      <c r="E613" t="s">
        <v>1044</v>
      </c>
      <c r="F613">
        <v>693</v>
      </c>
      <c r="G613" t="s">
        <v>1062</v>
      </c>
      <c r="H613" t="s">
        <v>1302</v>
      </c>
      <c r="I613">
        <v>746700</v>
      </c>
      <c r="J613">
        <v>2014</v>
      </c>
      <c r="K613">
        <v>4</v>
      </c>
      <c r="L613">
        <v>24</v>
      </c>
      <c r="M613">
        <v>9770529</v>
      </c>
    </row>
    <row r="614" spans="1:13" x14ac:dyDescent="0.3">
      <c r="A614">
        <v>613</v>
      </c>
      <c r="B614" t="s">
        <v>382</v>
      </c>
      <c r="C614">
        <v>13700000</v>
      </c>
      <c r="D614">
        <v>1967930734</v>
      </c>
      <c r="E614" t="s">
        <v>1044</v>
      </c>
      <c r="F614">
        <v>696</v>
      </c>
      <c r="G614" t="s">
        <v>1019</v>
      </c>
      <c r="H614" t="s">
        <v>1305</v>
      </c>
      <c r="I614">
        <v>4200000</v>
      </c>
      <c r="J614">
        <v>2015</v>
      </c>
      <c r="K614">
        <v>2</v>
      </c>
      <c r="L614">
        <v>6</v>
      </c>
      <c r="M614">
        <v>212559417</v>
      </c>
    </row>
    <row r="615" spans="1:13" x14ac:dyDescent="0.3">
      <c r="A615">
        <v>614</v>
      </c>
      <c r="B615" t="s">
        <v>318</v>
      </c>
      <c r="C615">
        <v>14600000</v>
      </c>
      <c r="D615">
        <v>11182302317</v>
      </c>
      <c r="E615" t="s">
        <v>977</v>
      </c>
      <c r="F615">
        <v>1206</v>
      </c>
      <c r="G615" t="s">
        <v>1019</v>
      </c>
      <c r="H615" t="s">
        <v>1305</v>
      </c>
      <c r="I615">
        <v>5300000</v>
      </c>
      <c r="J615">
        <v>2014</v>
      </c>
      <c r="K615">
        <v>8</v>
      </c>
      <c r="L615">
        <v>19</v>
      </c>
      <c r="M615">
        <v>212559417</v>
      </c>
    </row>
    <row r="616" spans="1:13" x14ac:dyDescent="0.3">
      <c r="A616">
        <v>615</v>
      </c>
      <c r="B616" t="s">
        <v>1161</v>
      </c>
      <c r="C616">
        <v>19700000</v>
      </c>
      <c r="D616">
        <v>10955619815</v>
      </c>
      <c r="E616" t="s">
        <v>982</v>
      </c>
      <c r="F616">
        <v>1</v>
      </c>
      <c r="G616" t="s">
        <v>984</v>
      </c>
      <c r="H616" t="s">
        <v>1303</v>
      </c>
      <c r="I616">
        <v>0</v>
      </c>
      <c r="J616">
        <v>2011</v>
      </c>
      <c r="K616">
        <v>10</v>
      </c>
      <c r="L616">
        <v>6</v>
      </c>
      <c r="M616">
        <v>328239523</v>
      </c>
    </row>
    <row r="617" spans="1:13" x14ac:dyDescent="0.3">
      <c r="A617">
        <v>616</v>
      </c>
      <c r="B617" t="s">
        <v>439</v>
      </c>
      <c r="C617">
        <v>18100000</v>
      </c>
      <c r="D617">
        <v>10703830496</v>
      </c>
      <c r="E617" t="s">
        <v>977</v>
      </c>
      <c r="F617">
        <v>131</v>
      </c>
      <c r="G617" t="s">
        <v>1006</v>
      </c>
      <c r="H617" t="s">
        <v>1302</v>
      </c>
      <c r="I617">
        <v>3100000</v>
      </c>
      <c r="J617">
        <v>2010</v>
      </c>
      <c r="K617">
        <v>10</v>
      </c>
      <c r="L617">
        <v>4</v>
      </c>
      <c r="M617">
        <v>51709098</v>
      </c>
    </row>
    <row r="618" spans="1:13" x14ac:dyDescent="0.3">
      <c r="A618">
        <v>617</v>
      </c>
      <c r="B618" t="s">
        <v>484</v>
      </c>
      <c r="C618">
        <v>21800000</v>
      </c>
      <c r="D618">
        <v>12140232004</v>
      </c>
      <c r="E618" t="s">
        <v>977</v>
      </c>
      <c r="F618">
        <v>266</v>
      </c>
      <c r="G618" t="s">
        <v>1013</v>
      </c>
      <c r="H618" t="s">
        <v>1304</v>
      </c>
      <c r="I618">
        <v>2500000</v>
      </c>
      <c r="J618">
        <v>2010</v>
      </c>
      <c r="K618">
        <v>12</v>
      </c>
      <c r="L618">
        <v>4</v>
      </c>
      <c r="M618">
        <v>66834405</v>
      </c>
    </row>
    <row r="619" spans="1:13" x14ac:dyDescent="0.3">
      <c r="A619">
        <v>618</v>
      </c>
      <c r="B619" t="s">
        <v>764</v>
      </c>
      <c r="C619">
        <v>15200000</v>
      </c>
      <c r="D619">
        <v>8333387785</v>
      </c>
      <c r="E619" t="s">
        <v>988</v>
      </c>
      <c r="F619">
        <v>654</v>
      </c>
      <c r="G619" t="s">
        <v>1085</v>
      </c>
      <c r="H619" t="s">
        <v>1304</v>
      </c>
      <c r="I619">
        <v>212500</v>
      </c>
      <c r="J619">
        <v>2014</v>
      </c>
      <c r="K619">
        <v>12</v>
      </c>
      <c r="L619">
        <v>29</v>
      </c>
      <c r="M619">
        <v>83429615</v>
      </c>
    </row>
    <row r="620" spans="1:13" x14ac:dyDescent="0.3">
      <c r="A620">
        <v>619</v>
      </c>
      <c r="B620" t="s">
        <v>223</v>
      </c>
      <c r="C620">
        <v>36200000</v>
      </c>
      <c r="D620">
        <v>23355801606</v>
      </c>
      <c r="E620" t="s">
        <v>977</v>
      </c>
      <c r="F620">
        <v>196</v>
      </c>
      <c r="G620" t="s">
        <v>1294</v>
      </c>
      <c r="H620" t="s">
        <v>1294</v>
      </c>
      <c r="I620">
        <v>8100000</v>
      </c>
      <c r="J620">
        <v>2016</v>
      </c>
      <c r="K620">
        <v>3</v>
      </c>
      <c r="L620">
        <v>24</v>
      </c>
      <c r="M620" t="s">
        <v>1294</v>
      </c>
    </row>
    <row r="621" spans="1:13" x14ac:dyDescent="0.3">
      <c r="A621">
        <v>620</v>
      </c>
      <c r="B621" t="s">
        <v>527</v>
      </c>
      <c r="C621">
        <v>13100000</v>
      </c>
      <c r="D621">
        <v>2555801802</v>
      </c>
      <c r="E621" t="s">
        <v>994</v>
      </c>
      <c r="F621">
        <v>1077</v>
      </c>
      <c r="G621" t="s">
        <v>1019</v>
      </c>
      <c r="H621" t="s">
        <v>1305</v>
      </c>
      <c r="I621">
        <v>2100000</v>
      </c>
      <c r="J621">
        <v>2015</v>
      </c>
      <c r="K621">
        <v>11</v>
      </c>
      <c r="L621">
        <v>6</v>
      </c>
      <c r="M621">
        <v>212559417</v>
      </c>
    </row>
    <row r="622" spans="1:13" x14ac:dyDescent="0.3">
      <c r="A622">
        <v>621</v>
      </c>
      <c r="B622" t="s">
        <v>16</v>
      </c>
      <c r="C622">
        <v>26400000</v>
      </c>
      <c r="D622">
        <v>17211600007</v>
      </c>
      <c r="E622" t="s">
        <v>988</v>
      </c>
      <c r="F622">
        <v>967</v>
      </c>
      <c r="G622" t="s">
        <v>1119</v>
      </c>
      <c r="H622" t="s">
        <v>1304</v>
      </c>
      <c r="I622">
        <v>58800000</v>
      </c>
      <c r="J622">
        <v>2020</v>
      </c>
      <c r="K622">
        <v>12</v>
      </c>
      <c r="L622">
        <v>5</v>
      </c>
      <c r="M622">
        <v>60297396</v>
      </c>
    </row>
    <row r="623" spans="1:13" x14ac:dyDescent="0.3">
      <c r="A623">
        <v>622</v>
      </c>
      <c r="B623" t="s">
        <v>63</v>
      </c>
      <c r="C623">
        <v>16100000</v>
      </c>
      <c r="D623">
        <v>7155736006</v>
      </c>
      <c r="E623" t="s">
        <v>1294</v>
      </c>
      <c r="F623">
        <v>667</v>
      </c>
      <c r="G623" t="s">
        <v>1147</v>
      </c>
      <c r="H623" t="s">
        <v>1304</v>
      </c>
      <c r="I623">
        <v>23000000</v>
      </c>
      <c r="J623">
        <v>2020</v>
      </c>
      <c r="K623">
        <v>11</v>
      </c>
      <c r="L623">
        <v>21</v>
      </c>
      <c r="M623">
        <v>10285453</v>
      </c>
    </row>
    <row r="624" spans="1:13" x14ac:dyDescent="0.3">
      <c r="A624">
        <v>623</v>
      </c>
      <c r="B624" t="s">
        <v>747</v>
      </c>
      <c r="C624">
        <v>12500000</v>
      </c>
      <c r="D624">
        <v>4625777945</v>
      </c>
      <c r="E624" t="s">
        <v>988</v>
      </c>
      <c r="F624">
        <v>1888</v>
      </c>
      <c r="G624" t="s">
        <v>1019</v>
      </c>
      <c r="H624" t="s">
        <v>1305</v>
      </c>
      <c r="I624">
        <v>343600</v>
      </c>
      <c r="J624">
        <v>2011</v>
      </c>
      <c r="K624">
        <v>5</v>
      </c>
      <c r="L624">
        <v>13</v>
      </c>
      <c r="M624">
        <v>212559417</v>
      </c>
    </row>
    <row r="625" spans="1:13" x14ac:dyDescent="0.3">
      <c r="A625">
        <v>624</v>
      </c>
      <c r="B625" t="s">
        <v>558</v>
      </c>
      <c r="C625">
        <v>12400000</v>
      </c>
      <c r="D625">
        <v>7741764747</v>
      </c>
      <c r="E625" t="s">
        <v>994</v>
      </c>
      <c r="F625">
        <v>459</v>
      </c>
      <c r="G625" t="s">
        <v>978</v>
      </c>
      <c r="H625" t="s">
        <v>1302</v>
      </c>
      <c r="I625">
        <v>1800000</v>
      </c>
      <c r="J625">
        <v>2018</v>
      </c>
      <c r="K625">
        <v>11</v>
      </c>
      <c r="L625">
        <v>26</v>
      </c>
      <c r="M625">
        <v>1366417754</v>
      </c>
    </row>
    <row r="626" spans="1:13" x14ac:dyDescent="0.3">
      <c r="A626">
        <v>625</v>
      </c>
      <c r="B626" t="s">
        <v>586</v>
      </c>
      <c r="C626">
        <v>12900000</v>
      </c>
      <c r="D626">
        <v>2112274210</v>
      </c>
      <c r="E626" t="s">
        <v>994</v>
      </c>
      <c r="F626">
        <v>4712</v>
      </c>
      <c r="G626" t="s">
        <v>1019</v>
      </c>
      <c r="H626" t="s">
        <v>1305</v>
      </c>
      <c r="I626">
        <v>1500000</v>
      </c>
      <c r="J626">
        <v>2013</v>
      </c>
      <c r="K626">
        <v>1</v>
      </c>
      <c r="L626">
        <v>19</v>
      </c>
      <c r="M626">
        <v>212559417</v>
      </c>
    </row>
    <row r="627" spans="1:13" x14ac:dyDescent="0.3">
      <c r="A627">
        <v>626</v>
      </c>
      <c r="B627" t="s">
        <v>418</v>
      </c>
      <c r="C627">
        <v>22400000</v>
      </c>
      <c r="D627">
        <v>8040036209</v>
      </c>
      <c r="E627" t="s">
        <v>977</v>
      </c>
      <c r="F627">
        <v>58</v>
      </c>
      <c r="G627" t="s">
        <v>1023</v>
      </c>
      <c r="H627" t="s">
        <v>1305</v>
      </c>
      <c r="I627">
        <v>3500000</v>
      </c>
      <c r="J627">
        <v>2016</v>
      </c>
      <c r="K627">
        <v>8</v>
      </c>
      <c r="L627">
        <v>8</v>
      </c>
      <c r="M627">
        <v>44938712</v>
      </c>
    </row>
    <row r="628" spans="1:13" x14ac:dyDescent="0.3">
      <c r="A628">
        <v>627</v>
      </c>
      <c r="B628" t="s">
        <v>696</v>
      </c>
      <c r="C628">
        <v>18400000</v>
      </c>
      <c r="D628">
        <v>4120324310</v>
      </c>
      <c r="E628" t="s">
        <v>988</v>
      </c>
      <c r="F628">
        <v>111</v>
      </c>
      <c r="G628" t="s">
        <v>984</v>
      </c>
      <c r="H628" t="s">
        <v>1303</v>
      </c>
      <c r="I628">
        <v>692600</v>
      </c>
      <c r="J628">
        <v>2009</v>
      </c>
      <c r="K628">
        <v>7</v>
      </c>
      <c r="L628">
        <v>21</v>
      </c>
      <c r="M628">
        <v>328239523</v>
      </c>
    </row>
    <row r="629" spans="1:13" x14ac:dyDescent="0.3">
      <c r="A629">
        <v>628</v>
      </c>
      <c r="B629" t="s">
        <v>86</v>
      </c>
      <c r="C629">
        <v>13400000</v>
      </c>
      <c r="D629">
        <v>10022557589</v>
      </c>
      <c r="E629" t="s">
        <v>994</v>
      </c>
      <c r="F629">
        <v>319</v>
      </c>
      <c r="G629" t="s">
        <v>984</v>
      </c>
      <c r="H629" t="s">
        <v>1303</v>
      </c>
      <c r="I629">
        <v>19100000</v>
      </c>
      <c r="J629">
        <v>2014</v>
      </c>
      <c r="K629">
        <v>6</v>
      </c>
      <c r="L629">
        <v>1</v>
      </c>
      <c r="M629">
        <v>328239523</v>
      </c>
    </row>
    <row r="630" spans="1:13" x14ac:dyDescent="0.3">
      <c r="A630">
        <v>629</v>
      </c>
      <c r="B630" t="s">
        <v>361</v>
      </c>
      <c r="C630">
        <v>24300000</v>
      </c>
      <c r="D630">
        <v>6608773195</v>
      </c>
      <c r="E630" t="s">
        <v>982</v>
      </c>
      <c r="F630">
        <v>1667</v>
      </c>
      <c r="G630" t="s">
        <v>978</v>
      </c>
      <c r="H630" t="s">
        <v>1302</v>
      </c>
      <c r="I630">
        <v>4600000</v>
      </c>
      <c r="J630">
        <v>2014</v>
      </c>
      <c r="K630">
        <v>3</v>
      </c>
      <c r="L630">
        <v>25</v>
      </c>
      <c r="M630">
        <v>1366417754</v>
      </c>
    </row>
    <row r="631" spans="1:13" x14ac:dyDescent="0.3">
      <c r="A631">
        <v>630</v>
      </c>
      <c r="B631" t="s">
        <v>693</v>
      </c>
      <c r="C631">
        <v>20100000</v>
      </c>
      <c r="D631">
        <v>11317309935</v>
      </c>
      <c r="E631" t="s">
        <v>982</v>
      </c>
      <c r="F631">
        <v>1481</v>
      </c>
      <c r="G631" t="s">
        <v>984</v>
      </c>
      <c r="H631" t="s">
        <v>1303</v>
      </c>
      <c r="I631">
        <v>713400</v>
      </c>
      <c r="J631">
        <v>2007</v>
      </c>
      <c r="K631">
        <v>2</v>
      </c>
      <c r="L631">
        <v>1</v>
      </c>
      <c r="M631">
        <v>328239523</v>
      </c>
    </row>
    <row r="632" spans="1:13" x14ac:dyDescent="0.3">
      <c r="A632">
        <v>631</v>
      </c>
      <c r="B632" t="s">
        <v>195</v>
      </c>
      <c r="C632">
        <v>13300000</v>
      </c>
      <c r="D632">
        <v>7773543609</v>
      </c>
      <c r="E632" t="s">
        <v>996</v>
      </c>
      <c r="F632">
        <v>4613</v>
      </c>
      <c r="G632" t="s">
        <v>984</v>
      </c>
      <c r="H632" t="s">
        <v>1303</v>
      </c>
      <c r="I632">
        <v>9100000</v>
      </c>
      <c r="J632">
        <v>2007</v>
      </c>
      <c r="K632">
        <v>5</v>
      </c>
      <c r="L632">
        <v>7</v>
      </c>
      <c r="M632">
        <v>328239523</v>
      </c>
    </row>
    <row r="633" spans="1:13" x14ac:dyDescent="0.3">
      <c r="A633">
        <v>632</v>
      </c>
      <c r="B633" t="s">
        <v>1159</v>
      </c>
      <c r="C633">
        <v>20000000</v>
      </c>
      <c r="D633">
        <v>6033295543</v>
      </c>
      <c r="E633" t="s">
        <v>977</v>
      </c>
      <c r="F633">
        <v>1</v>
      </c>
      <c r="G633" t="s">
        <v>1017</v>
      </c>
      <c r="H633" t="s">
        <v>1303</v>
      </c>
      <c r="I633">
        <v>0</v>
      </c>
      <c r="J633">
        <v>2006</v>
      </c>
      <c r="K633">
        <v>3</v>
      </c>
      <c r="L633">
        <v>9</v>
      </c>
      <c r="M633">
        <v>36991981</v>
      </c>
    </row>
    <row r="634" spans="1:13" x14ac:dyDescent="0.3">
      <c r="A634">
        <v>633</v>
      </c>
      <c r="B634" t="s">
        <v>689</v>
      </c>
      <c r="C634">
        <v>12500000</v>
      </c>
      <c r="D634">
        <v>1136534702</v>
      </c>
      <c r="E634" t="s">
        <v>988</v>
      </c>
      <c r="F634">
        <v>601</v>
      </c>
      <c r="G634" t="s">
        <v>984</v>
      </c>
      <c r="H634" t="s">
        <v>1303</v>
      </c>
      <c r="I634">
        <v>736300</v>
      </c>
      <c r="J634">
        <v>2013</v>
      </c>
      <c r="K634">
        <v>7</v>
      </c>
      <c r="L634">
        <v>30</v>
      </c>
      <c r="M634">
        <v>328239523</v>
      </c>
    </row>
    <row r="635" spans="1:13" x14ac:dyDescent="0.3">
      <c r="A635">
        <v>634</v>
      </c>
      <c r="B635" t="s">
        <v>154</v>
      </c>
      <c r="C635">
        <v>31400000</v>
      </c>
      <c r="D635">
        <v>22919271731</v>
      </c>
      <c r="E635" t="s">
        <v>982</v>
      </c>
      <c r="F635">
        <v>3589</v>
      </c>
      <c r="G635" t="s">
        <v>1013</v>
      </c>
      <c r="H635" t="s">
        <v>1304</v>
      </c>
      <c r="I635">
        <v>11800000</v>
      </c>
      <c r="J635">
        <v>2013</v>
      </c>
      <c r="K635">
        <v>10</v>
      </c>
      <c r="L635">
        <v>9</v>
      </c>
      <c r="M635">
        <v>66834405</v>
      </c>
    </row>
    <row r="636" spans="1:13" x14ac:dyDescent="0.3">
      <c r="A636">
        <v>635</v>
      </c>
      <c r="B636" t="s">
        <v>1273</v>
      </c>
      <c r="C636">
        <v>13100000</v>
      </c>
      <c r="D636">
        <v>4214172991</v>
      </c>
      <c r="E636" t="s">
        <v>982</v>
      </c>
      <c r="F636">
        <v>1365</v>
      </c>
      <c r="G636" t="s">
        <v>1019</v>
      </c>
      <c r="H636" t="s">
        <v>1305</v>
      </c>
      <c r="I636">
        <v>1300000</v>
      </c>
      <c r="J636">
        <v>2014</v>
      </c>
      <c r="K636">
        <v>5</v>
      </c>
      <c r="L636">
        <v>6</v>
      </c>
      <c r="M636">
        <v>212559417</v>
      </c>
    </row>
    <row r="637" spans="1:13" x14ac:dyDescent="0.3">
      <c r="A637">
        <v>636</v>
      </c>
      <c r="B637" t="s">
        <v>475</v>
      </c>
      <c r="C637">
        <v>23600000</v>
      </c>
      <c r="D637">
        <v>7920637200</v>
      </c>
      <c r="E637" t="s">
        <v>982</v>
      </c>
      <c r="F637">
        <v>1251</v>
      </c>
      <c r="G637" t="s">
        <v>1013</v>
      </c>
      <c r="H637" t="s">
        <v>1304</v>
      </c>
      <c r="I637">
        <v>2600000</v>
      </c>
      <c r="J637">
        <v>2014</v>
      </c>
      <c r="K637">
        <v>7</v>
      </c>
      <c r="L637">
        <v>28</v>
      </c>
      <c r="M637">
        <v>66834405</v>
      </c>
    </row>
    <row r="638" spans="1:13" x14ac:dyDescent="0.3">
      <c r="A638">
        <v>637</v>
      </c>
      <c r="B638" t="s">
        <v>551</v>
      </c>
      <c r="C638">
        <v>111000000</v>
      </c>
      <c r="D638">
        <v>29058044447</v>
      </c>
      <c r="E638" t="s">
        <v>996</v>
      </c>
      <c r="F638">
        <v>4716</v>
      </c>
      <c r="G638" t="s">
        <v>997</v>
      </c>
      <c r="H638" t="s">
        <v>1302</v>
      </c>
      <c r="I638">
        <v>1900000</v>
      </c>
      <c r="J638">
        <v>2010</v>
      </c>
      <c r="K638">
        <v>4</v>
      </c>
      <c r="L638">
        <v>29</v>
      </c>
      <c r="M638">
        <v>126226568</v>
      </c>
    </row>
    <row r="639" spans="1:13" x14ac:dyDescent="0.3">
      <c r="A639">
        <v>638</v>
      </c>
      <c r="B639" t="s">
        <v>65</v>
      </c>
      <c r="C639">
        <v>68200000</v>
      </c>
      <c r="D639">
        <v>38843229963</v>
      </c>
      <c r="E639" t="s">
        <v>990</v>
      </c>
      <c r="F639">
        <v>2865</v>
      </c>
      <c r="G639" t="s">
        <v>984</v>
      </c>
      <c r="H639" t="s">
        <v>1303</v>
      </c>
      <c r="I639">
        <v>22700000</v>
      </c>
      <c r="J639">
        <v>2011</v>
      </c>
      <c r="K639">
        <v>12</v>
      </c>
      <c r="L639">
        <v>14</v>
      </c>
      <c r="M639">
        <v>328239523</v>
      </c>
    </row>
    <row r="640" spans="1:13" x14ac:dyDescent="0.3">
      <c r="A640">
        <v>639</v>
      </c>
      <c r="B640" t="s">
        <v>380</v>
      </c>
      <c r="C640">
        <v>16300000</v>
      </c>
      <c r="D640">
        <v>12475714382</v>
      </c>
      <c r="E640" t="s">
        <v>977</v>
      </c>
      <c r="F640">
        <v>352</v>
      </c>
      <c r="G640" t="s">
        <v>984</v>
      </c>
      <c r="H640" t="s">
        <v>1303</v>
      </c>
      <c r="I640">
        <v>4200000</v>
      </c>
      <c r="J640">
        <v>2006</v>
      </c>
      <c r="K640">
        <v>7</v>
      </c>
      <c r="L640">
        <v>5</v>
      </c>
      <c r="M640">
        <v>328239523</v>
      </c>
    </row>
    <row r="641" spans="1:13" x14ac:dyDescent="0.3">
      <c r="A641">
        <v>640</v>
      </c>
      <c r="B641" t="s">
        <v>769</v>
      </c>
      <c r="C641">
        <v>12700000</v>
      </c>
      <c r="D641">
        <v>1081285962</v>
      </c>
      <c r="E641" t="s">
        <v>996</v>
      </c>
      <c r="F641">
        <v>504</v>
      </c>
      <c r="G641" t="s">
        <v>1019</v>
      </c>
      <c r="H641" t="s">
        <v>1305</v>
      </c>
      <c r="I641">
        <v>173700</v>
      </c>
      <c r="J641">
        <v>2015</v>
      </c>
      <c r="K641">
        <v>5</v>
      </c>
      <c r="L641">
        <v>13</v>
      </c>
      <c r="M641">
        <v>212559417</v>
      </c>
    </row>
    <row r="642" spans="1:13" x14ac:dyDescent="0.3">
      <c r="A642">
        <v>641</v>
      </c>
      <c r="B642" t="s">
        <v>726</v>
      </c>
      <c r="C642">
        <v>14600000</v>
      </c>
      <c r="D642">
        <v>4622581344</v>
      </c>
      <c r="E642" t="s">
        <v>994</v>
      </c>
      <c r="F642">
        <v>951</v>
      </c>
      <c r="G642" t="s">
        <v>1019</v>
      </c>
      <c r="H642" t="s">
        <v>1305</v>
      </c>
      <c r="I642">
        <v>506300</v>
      </c>
      <c r="J642">
        <v>2015</v>
      </c>
      <c r="K642">
        <v>11</v>
      </c>
      <c r="L642">
        <v>21</v>
      </c>
      <c r="M642">
        <v>212559417</v>
      </c>
    </row>
    <row r="643" spans="1:13" x14ac:dyDescent="0.3">
      <c r="A643">
        <v>642</v>
      </c>
      <c r="B643" t="s">
        <v>536</v>
      </c>
      <c r="C643">
        <v>15000000</v>
      </c>
      <c r="D643">
        <v>4741434420</v>
      </c>
      <c r="E643" t="s">
        <v>996</v>
      </c>
      <c r="F643">
        <v>20292</v>
      </c>
      <c r="G643" t="s">
        <v>984</v>
      </c>
      <c r="H643" t="s">
        <v>1303</v>
      </c>
      <c r="I643">
        <v>2000000</v>
      </c>
      <c r="J643">
        <v>2005</v>
      </c>
      <c r="K643">
        <v>12</v>
      </c>
      <c r="L643">
        <v>16</v>
      </c>
      <c r="M643">
        <v>328239523</v>
      </c>
    </row>
    <row r="644" spans="1:13" x14ac:dyDescent="0.3">
      <c r="A644">
        <v>643</v>
      </c>
      <c r="B644" t="s">
        <v>437</v>
      </c>
      <c r="C644">
        <v>15200000</v>
      </c>
      <c r="D644">
        <v>857725714</v>
      </c>
      <c r="E644" t="s">
        <v>994</v>
      </c>
      <c r="F644">
        <v>194</v>
      </c>
      <c r="G644" t="s">
        <v>978</v>
      </c>
      <c r="H644" t="s">
        <v>1302</v>
      </c>
      <c r="I644">
        <v>3100000</v>
      </c>
      <c r="J644">
        <v>2017</v>
      </c>
      <c r="K644">
        <v>10</v>
      </c>
      <c r="L644">
        <v>15</v>
      </c>
      <c r="M644">
        <v>1366417754</v>
      </c>
    </row>
    <row r="645" spans="1:13" x14ac:dyDescent="0.3">
      <c r="A645">
        <v>644</v>
      </c>
      <c r="B645" t="s">
        <v>417</v>
      </c>
      <c r="C645">
        <v>16900000</v>
      </c>
      <c r="D645">
        <v>8684010451</v>
      </c>
      <c r="E645" t="s">
        <v>977</v>
      </c>
      <c r="F645">
        <v>2235</v>
      </c>
      <c r="G645" t="s">
        <v>978</v>
      </c>
      <c r="H645" t="s">
        <v>1302</v>
      </c>
      <c r="I645">
        <v>3500000</v>
      </c>
      <c r="J645">
        <v>2011</v>
      </c>
      <c r="K645">
        <v>8</v>
      </c>
      <c r="L645">
        <v>26</v>
      </c>
      <c r="M645">
        <v>1366417754</v>
      </c>
    </row>
    <row r="646" spans="1:13" x14ac:dyDescent="0.3">
      <c r="A646">
        <v>645</v>
      </c>
      <c r="B646" t="s">
        <v>149</v>
      </c>
      <c r="C646">
        <v>16200000</v>
      </c>
      <c r="D646">
        <v>9763592867</v>
      </c>
      <c r="E646" t="s">
        <v>977</v>
      </c>
      <c r="F646">
        <v>3943</v>
      </c>
      <c r="G646" t="s">
        <v>1176</v>
      </c>
      <c r="H646" t="s">
        <v>1302</v>
      </c>
      <c r="I646">
        <v>12300000</v>
      </c>
      <c r="J646">
        <v>2014</v>
      </c>
      <c r="K646">
        <v>1</v>
      </c>
      <c r="L646">
        <v>14</v>
      </c>
      <c r="M646">
        <v>96462106</v>
      </c>
    </row>
    <row r="647" spans="1:13" x14ac:dyDescent="0.3">
      <c r="A647">
        <v>646</v>
      </c>
      <c r="B647" t="s">
        <v>1104</v>
      </c>
      <c r="C647">
        <v>29300000</v>
      </c>
      <c r="D647">
        <v>0</v>
      </c>
      <c r="E647" t="s">
        <v>1294</v>
      </c>
      <c r="F647">
        <v>3</v>
      </c>
      <c r="G647" t="s">
        <v>1294</v>
      </c>
      <c r="H647" t="s">
        <v>1294</v>
      </c>
      <c r="I647">
        <v>0.05</v>
      </c>
      <c r="J647">
        <v>2017</v>
      </c>
      <c r="K647">
        <v>8</v>
      </c>
      <c r="L647">
        <v>7</v>
      </c>
      <c r="M647" t="s">
        <v>1294</v>
      </c>
    </row>
    <row r="648" spans="1:13" x14ac:dyDescent="0.3">
      <c r="A648">
        <v>647</v>
      </c>
      <c r="B648" t="s">
        <v>690</v>
      </c>
      <c r="C648">
        <v>17200000</v>
      </c>
      <c r="D648">
        <v>14573155899</v>
      </c>
      <c r="E648" t="s">
        <v>996</v>
      </c>
      <c r="F648">
        <v>4685</v>
      </c>
      <c r="G648" t="s">
        <v>1294</v>
      </c>
      <c r="H648" t="s">
        <v>1294</v>
      </c>
      <c r="I648">
        <v>734200</v>
      </c>
      <c r="J648">
        <v>2012</v>
      </c>
      <c r="K648">
        <v>4</v>
      </c>
      <c r="L648">
        <v>17</v>
      </c>
      <c r="M648" t="s">
        <v>1294</v>
      </c>
    </row>
    <row r="649" spans="1:13" x14ac:dyDescent="0.3">
      <c r="A649">
        <v>648</v>
      </c>
      <c r="B649" t="s">
        <v>563</v>
      </c>
      <c r="C649">
        <v>17700000</v>
      </c>
      <c r="D649">
        <v>7739048000</v>
      </c>
      <c r="E649" t="s">
        <v>988</v>
      </c>
      <c r="F649">
        <v>2240</v>
      </c>
      <c r="G649" t="s">
        <v>1019</v>
      </c>
      <c r="H649" t="s">
        <v>1305</v>
      </c>
      <c r="I649">
        <v>1700000</v>
      </c>
      <c r="J649">
        <v>2012</v>
      </c>
      <c r="K649">
        <v>3</v>
      </c>
      <c r="L649">
        <v>12</v>
      </c>
      <c r="M649">
        <v>212559417</v>
      </c>
    </row>
    <row r="650" spans="1:13" x14ac:dyDescent="0.3">
      <c r="A650">
        <v>649</v>
      </c>
      <c r="B650" t="s">
        <v>188</v>
      </c>
      <c r="C650">
        <v>25500000</v>
      </c>
      <c r="D650">
        <v>14401218086</v>
      </c>
      <c r="E650" t="s">
        <v>977</v>
      </c>
      <c r="F650">
        <v>78</v>
      </c>
      <c r="G650" t="s">
        <v>984</v>
      </c>
      <c r="H650" t="s">
        <v>1303</v>
      </c>
      <c r="I650">
        <v>9400000</v>
      </c>
      <c r="J650">
        <v>2011</v>
      </c>
      <c r="K650">
        <v>12</v>
      </c>
      <c r="L650">
        <v>15</v>
      </c>
      <c r="M650">
        <v>328239523</v>
      </c>
    </row>
    <row r="651" spans="1:13" x14ac:dyDescent="0.3">
      <c r="A651">
        <v>650</v>
      </c>
      <c r="B651" t="s">
        <v>521</v>
      </c>
      <c r="C651">
        <v>15100000</v>
      </c>
      <c r="D651">
        <v>3060202847</v>
      </c>
      <c r="E651" t="s">
        <v>994</v>
      </c>
      <c r="F651">
        <v>1037</v>
      </c>
      <c r="G651" t="s">
        <v>984</v>
      </c>
      <c r="H651" t="s">
        <v>1303</v>
      </c>
      <c r="I651">
        <v>2100000</v>
      </c>
      <c r="J651">
        <v>2013</v>
      </c>
      <c r="K651">
        <v>1</v>
      </c>
      <c r="L651">
        <v>12</v>
      </c>
      <c r="M651">
        <v>328239523</v>
      </c>
    </row>
    <row r="652" spans="1:13" x14ac:dyDescent="0.3">
      <c r="A652">
        <v>651</v>
      </c>
      <c r="B652" t="s">
        <v>115</v>
      </c>
      <c r="C652">
        <v>36500000</v>
      </c>
      <c r="D652">
        <v>18961241905</v>
      </c>
      <c r="E652" t="s">
        <v>982</v>
      </c>
      <c r="F652">
        <v>5621</v>
      </c>
      <c r="G652" t="s">
        <v>1294</v>
      </c>
      <c r="H652" t="s">
        <v>1294</v>
      </c>
      <c r="I652">
        <v>15300000</v>
      </c>
      <c r="J652">
        <v>2014</v>
      </c>
      <c r="K652">
        <v>8</v>
      </c>
      <c r="L652">
        <v>6</v>
      </c>
      <c r="M652" t="s">
        <v>1294</v>
      </c>
    </row>
    <row r="653" spans="1:13" x14ac:dyDescent="0.3">
      <c r="A653">
        <v>652</v>
      </c>
      <c r="B653" t="s">
        <v>744</v>
      </c>
      <c r="C653">
        <v>17000000</v>
      </c>
      <c r="D653">
        <v>1001465469</v>
      </c>
      <c r="E653" t="s">
        <v>1044</v>
      </c>
      <c r="F653">
        <v>1407</v>
      </c>
      <c r="G653" t="s">
        <v>978</v>
      </c>
      <c r="H653" t="s">
        <v>1302</v>
      </c>
      <c r="I653">
        <v>366100</v>
      </c>
      <c r="J653">
        <v>2013</v>
      </c>
      <c r="K653">
        <v>3</v>
      </c>
      <c r="L653">
        <v>14</v>
      </c>
      <c r="M653">
        <v>1366417754</v>
      </c>
    </row>
    <row r="654" spans="1:13" x14ac:dyDescent="0.3">
      <c r="A654">
        <v>653</v>
      </c>
      <c r="B654" t="s">
        <v>245</v>
      </c>
      <c r="C654">
        <v>14600000</v>
      </c>
      <c r="D654">
        <v>5766647017</v>
      </c>
      <c r="E654" t="s">
        <v>996</v>
      </c>
      <c r="F654">
        <v>4009</v>
      </c>
      <c r="G654" t="s">
        <v>984</v>
      </c>
      <c r="H654" t="s">
        <v>1303</v>
      </c>
      <c r="I654">
        <v>7300000</v>
      </c>
      <c r="J654">
        <v>2012</v>
      </c>
      <c r="K654">
        <v>7</v>
      </c>
      <c r="L654">
        <v>4</v>
      </c>
      <c r="M654">
        <v>328239523</v>
      </c>
    </row>
    <row r="655" spans="1:13" x14ac:dyDescent="0.3">
      <c r="A655">
        <v>654</v>
      </c>
      <c r="B655" t="s">
        <v>245</v>
      </c>
      <c r="C655">
        <v>24000000</v>
      </c>
      <c r="D655">
        <v>8279004442</v>
      </c>
      <c r="E655" t="s">
        <v>996</v>
      </c>
      <c r="F655">
        <v>4009</v>
      </c>
      <c r="G655" t="s">
        <v>984</v>
      </c>
      <c r="H655" t="s">
        <v>1303</v>
      </c>
      <c r="I655">
        <v>7300000</v>
      </c>
      <c r="J655">
        <v>2012</v>
      </c>
      <c r="K655">
        <v>7</v>
      </c>
      <c r="L655">
        <v>4</v>
      </c>
      <c r="M655">
        <v>328239523</v>
      </c>
    </row>
    <row r="656" spans="1:13" x14ac:dyDescent="0.3">
      <c r="A656">
        <v>655</v>
      </c>
      <c r="B656" t="s">
        <v>104</v>
      </c>
      <c r="C656">
        <v>15700000</v>
      </c>
      <c r="D656">
        <v>8696631898</v>
      </c>
      <c r="E656" t="s">
        <v>988</v>
      </c>
      <c r="F656">
        <v>7090</v>
      </c>
      <c r="G656" t="s">
        <v>984</v>
      </c>
      <c r="H656" t="s">
        <v>1303</v>
      </c>
      <c r="I656">
        <v>16100000</v>
      </c>
      <c r="J656">
        <v>2016</v>
      </c>
      <c r="K656">
        <v>10</v>
      </c>
      <c r="L656">
        <v>3</v>
      </c>
      <c r="M656">
        <v>328239523</v>
      </c>
    </row>
    <row r="657" spans="1:13" x14ac:dyDescent="0.3">
      <c r="A657">
        <v>656</v>
      </c>
      <c r="B657" t="s">
        <v>73</v>
      </c>
      <c r="C657">
        <v>17800000</v>
      </c>
      <c r="D657">
        <v>11057945183</v>
      </c>
      <c r="E657" t="s">
        <v>994</v>
      </c>
      <c r="F657">
        <v>772</v>
      </c>
      <c r="G657" t="s">
        <v>978</v>
      </c>
      <c r="H657" t="s">
        <v>1302</v>
      </c>
      <c r="I657">
        <v>20700000</v>
      </c>
      <c r="J657">
        <v>2021</v>
      </c>
      <c r="K657">
        <v>4</v>
      </c>
      <c r="L657">
        <v>23</v>
      </c>
      <c r="M657">
        <v>1366417754</v>
      </c>
    </row>
    <row r="658" spans="1:13" x14ac:dyDescent="0.3">
      <c r="A658">
        <v>657</v>
      </c>
      <c r="B658" t="s">
        <v>363</v>
      </c>
      <c r="C658">
        <v>17000000</v>
      </c>
      <c r="D658">
        <v>10847948832</v>
      </c>
      <c r="E658" t="s">
        <v>977</v>
      </c>
      <c r="F658">
        <v>1015</v>
      </c>
      <c r="G658" t="s">
        <v>1013</v>
      </c>
      <c r="H658" t="s">
        <v>1304</v>
      </c>
      <c r="I658">
        <v>4500000</v>
      </c>
      <c r="J658">
        <v>2008</v>
      </c>
      <c r="K658">
        <v>7</v>
      </c>
      <c r="L658">
        <v>7</v>
      </c>
      <c r="M658">
        <v>66834405</v>
      </c>
    </row>
    <row r="659" spans="1:13" x14ac:dyDescent="0.3">
      <c r="A659">
        <v>658</v>
      </c>
      <c r="B659" t="s">
        <v>297</v>
      </c>
      <c r="C659">
        <v>21000000</v>
      </c>
      <c r="D659">
        <v>7762905663</v>
      </c>
      <c r="E659" t="s">
        <v>988</v>
      </c>
      <c r="F659">
        <v>2883</v>
      </c>
      <c r="G659" t="s">
        <v>1019</v>
      </c>
      <c r="H659" t="s">
        <v>1305</v>
      </c>
      <c r="I659">
        <v>5700000</v>
      </c>
      <c r="J659">
        <v>2015</v>
      </c>
      <c r="K659">
        <v>8</v>
      </c>
      <c r="L659">
        <v>26</v>
      </c>
      <c r="M659">
        <v>212559417</v>
      </c>
    </row>
    <row r="660" spans="1:13" x14ac:dyDescent="0.3">
      <c r="A660">
        <v>659</v>
      </c>
      <c r="B660" t="s">
        <v>230</v>
      </c>
      <c r="C660">
        <v>26500000</v>
      </c>
      <c r="D660">
        <v>15065753455</v>
      </c>
      <c r="E660" t="s">
        <v>1026</v>
      </c>
      <c r="F660">
        <v>10022</v>
      </c>
      <c r="G660" t="s">
        <v>1045</v>
      </c>
      <c r="H660" t="s">
        <v>1302</v>
      </c>
      <c r="I660">
        <v>7800000</v>
      </c>
      <c r="J660">
        <v>2016</v>
      </c>
      <c r="K660">
        <v>4</v>
      </c>
      <c r="L660">
        <v>20</v>
      </c>
      <c r="M660">
        <v>108116615</v>
      </c>
    </row>
    <row r="661" spans="1:13" x14ac:dyDescent="0.3">
      <c r="A661">
        <v>660</v>
      </c>
      <c r="B661" t="s">
        <v>135</v>
      </c>
      <c r="C661">
        <v>33500000</v>
      </c>
      <c r="D661">
        <v>14864294792</v>
      </c>
      <c r="E661" t="s">
        <v>977</v>
      </c>
      <c r="F661">
        <v>3741</v>
      </c>
      <c r="G661" t="s">
        <v>978</v>
      </c>
      <c r="H661" t="s">
        <v>1302</v>
      </c>
      <c r="I661">
        <v>13100000</v>
      </c>
      <c r="J661">
        <v>2006</v>
      </c>
      <c r="K661">
        <v>3</v>
      </c>
      <c r="L661">
        <v>24</v>
      </c>
      <c r="M661">
        <v>1366417754</v>
      </c>
    </row>
    <row r="662" spans="1:13" x14ac:dyDescent="0.3">
      <c r="A662">
        <v>661</v>
      </c>
      <c r="B662" t="s">
        <v>454</v>
      </c>
      <c r="C662">
        <v>25400000</v>
      </c>
      <c r="D662">
        <v>6430853035</v>
      </c>
      <c r="E662" t="s">
        <v>994</v>
      </c>
      <c r="F662">
        <v>3716</v>
      </c>
      <c r="G662" t="s">
        <v>1081</v>
      </c>
      <c r="H662" t="s">
        <v>1302</v>
      </c>
      <c r="I662">
        <v>2800000</v>
      </c>
      <c r="J662">
        <v>2015</v>
      </c>
      <c r="K662">
        <v>12</v>
      </c>
      <c r="L662">
        <v>27</v>
      </c>
      <c r="M662">
        <v>270203917</v>
      </c>
    </row>
    <row r="663" spans="1:13" x14ac:dyDescent="0.3">
      <c r="A663">
        <v>662</v>
      </c>
      <c r="B663" t="s">
        <v>709</v>
      </c>
      <c r="C663">
        <v>15100000</v>
      </c>
      <c r="D663">
        <v>1760131384</v>
      </c>
      <c r="E663" t="s">
        <v>994</v>
      </c>
      <c r="F663">
        <v>533</v>
      </c>
      <c r="G663" t="s">
        <v>1045</v>
      </c>
      <c r="H663" t="s">
        <v>1302</v>
      </c>
      <c r="I663">
        <v>594000</v>
      </c>
      <c r="J663">
        <v>2008</v>
      </c>
      <c r="K663">
        <v>4</v>
      </c>
      <c r="L663">
        <v>27</v>
      </c>
      <c r="M663">
        <v>108116615</v>
      </c>
    </row>
    <row r="664" spans="1:13" x14ac:dyDescent="0.3">
      <c r="A664">
        <v>663</v>
      </c>
      <c r="B664" t="s">
        <v>446</v>
      </c>
      <c r="C664">
        <v>13100000</v>
      </c>
      <c r="D664">
        <v>2879263916</v>
      </c>
      <c r="E664" t="s">
        <v>994</v>
      </c>
      <c r="F664">
        <v>1444</v>
      </c>
      <c r="G664" t="s">
        <v>1233</v>
      </c>
      <c r="H664" t="s">
        <v>1305</v>
      </c>
      <c r="I664">
        <v>3000000</v>
      </c>
      <c r="J664">
        <v>2016</v>
      </c>
      <c r="K664">
        <v>7</v>
      </c>
      <c r="L664">
        <v>16</v>
      </c>
      <c r="M664">
        <v>17373662</v>
      </c>
    </row>
    <row r="665" spans="1:13" x14ac:dyDescent="0.3">
      <c r="A665">
        <v>664</v>
      </c>
      <c r="B665" t="s">
        <v>180</v>
      </c>
      <c r="C665">
        <v>12900000</v>
      </c>
      <c r="D665">
        <v>11504090820</v>
      </c>
      <c r="E665" t="s">
        <v>977</v>
      </c>
      <c r="F665">
        <v>168</v>
      </c>
      <c r="G665" t="s">
        <v>1294</v>
      </c>
      <c r="H665" t="s">
        <v>1294</v>
      </c>
      <c r="I665">
        <v>9900000</v>
      </c>
      <c r="J665">
        <v>2014</v>
      </c>
      <c r="K665">
        <v>12</v>
      </c>
      <c r="L665">
        <v>11</v>
      </c>
      <c r="M665" t="s">
        <v>1294</v>
      </c>
    </row>
    <row r="666" spans="1:13" x14ac:dyDescent="0.3">
      <c r="A666">
        <v>665</v>
      </c>
      <c r="B666" t="s">
        <v>119</v>
      </c>
      <c r="C666">
        <v>15000000</v>
      </c>
      <c r="D666">
        <v>10239836582</v>
      </c>
      <c r="E666" t="s">
        <v>988</v>
      </c>
      <c r="F666">
        <v>1803</v>
      </c>
      <c r="G666" t="s">
        <v>984</v>
      </c>
      <c r="H666" t="s">
        <v>1303</v>
      </c>
      <c r="I666">
        <v>15000000</v>
      </c>
      <c r="J666">
        <v>2008</v>
      </c>
      <c r="K666">
        <v>5</v>
      </c>
      <c r="L666">
        <v>26</v>
      </c>
      <c r="M666">
        <v>328239523</v>
      </c>
    </row>
    <row r="667" spans="1:13" x14ac:dyDescent="0.3">
      <c r="A667">
        <v>666</v>
      </c>
      <c r="B667" t="s">
        <v>741</v>
      </c>
      <c r="C667">
        <v>14400000</v>
      </c>
      <c r="D667">
        <v>3900312631</v>
      </c>
      <c r="E667" t="s">
        <v>1044</v>
      </c>
      <c r="F667">
        <v>463</v>
      </c>
      <c r="G667" t="s">
        <v>984</v>
      </c>
      <c r="H667" t="s">
        <v>1303</v>
      </c>
      <c r="I667">
        <v>414500</v>
      </c>
      <c r="J667">
        <v>2010</v>
      </c>
      <c r="K667">
        <v>12</v>
      </c>
      <c r="L667">
        <v>14</v>
      </c>
      <c r="M667">
        <v>328239523</v>
      </c>
    </row>
    <row r="668" spans="1:13" x14ac:dyDescent="0.3">
      <c r="A668">
        <v>667</v>
      </c>
      <c r="B668" t="s">
        <v>899</v>
      </c>
      <c r="C668">
        <v>16400000</v>
      </c>
      <c r="D668">
        <v>13478392540</v>
      </c>
      <c r="E668" t="s">
        <v>988</v>
      </c>
      <c r="F668">
        <v>1</v>
      </c>
      <c r="G668" t="s">
        <v>1294</v>
      </c>
      <c r="H668" t="s">
        <v>1294</v>
      </c>
      <c r="I668">
        <v>0</v>
      </c>
      <c r="J668">
        <v>2020</v>
      </c>
      <c r="K668">
        <v>10</v>
      </c>
      <c r="L668">
        <v>19</v>
      </c>
      <c r="M668" t="s">
        <v>1294</v>
      </c>
    </row>
    <row r="669" spans="1:13" x14ac:dyDescent="0.3">
      <c r="A669">
        <v>668</v>
      </c>
      <c r="B669" t="s">
        <v>642</v>
      </c>
      <c r="C669">
        <v>20000000</v>
      </c>
      <c r="D669">
        <v>13154314376</v>
      </c>
      <c r="E669" t="s">
        <v>988</v>
      </c>
      <c r="F669">
        <v>4339</v>
      </c>
      <c r="G669" t="s">
        <v>984</v>
      </c>
      <c r="H669" t="s">
        <v>1303</v>
      </c>
      <c r="I669">
        <v>1100000</v>
      </c>
      <c r="J669">
        <v>2007</v>
      </c>
      <c r="K669">
        <v>6</v>
      </c>
      <c r="L669">
        <v>4</v>
      </c>
      <c r="M669">
        <v>328239523</v>
      </c>
    </row>
    <row r="670" spans="1:13" x14ac:dyDescent="0.3">
      <c r="A670">
        <v>669</v>
      </c>
      <c r="B670" t="s">
        <v>733</v>
      </c>
      <c r="C670">
        <v>14500000</v>
      </c>
      <c r="D670">
        <v>4260187928</v>
      </c>
      <c r="E670" t="s">
        <v>988</v>
      </c>
      <c r="F670">
        <v>1717</v>
      </c>
      <c r="G670" t="s">
        <v>984</v>
      </c>
      <c r="H670" t="s">
        <v>1303</v>
      </c>
      <c r="I670">
        <v>475700</v>
      </c>
      <c r="J670">
        <v>2015</v>
      </c>
      <c r="K670">
        <v>4</v>
      </c>
      <c r="L670">
        <v>25</v>
      </c>
      <c r="M670">
        <v>328239523</v>
      </c>
    </row>
    <row r="671" spans="1:13" x14ac:dyDescent="0.3">
      <c r="A671">
        <v>670</v>
      </c>
      <c r="B671" t="s">
        <v>1249</v>
      </c>
      <c r="C671">
        <v>14300000</v>
      </c>
      <c r="D671">
        <v>6388439235</v>
      </c>
      <c r="E671" t="s">
        <v>1044</v>
      </c>
      <c r="F671">
        <v>1</v>
      </c>
      <c r="G671" t="s">
        <v>984</v>
      </c>
      <c r="H671" t="s">
        <v>1303</v>
      </c>
      <c r="I671">
        <v>0</v>
      </c>
      <c r="J671">
        <v>2011</v>
      </c>
      <c r="K671">
        <v>8</v>
      </c>
      <c r="L671">
        <v>4</v>
      </c>
      <c r="M671">
        <v>328239523</v>
      </c>
    </row>
    <row r="672" spans="1:13" x14ac:dyDescent="0.3">
      <c r="A672">
        <v>671</v>
      </c>
      <c r="B672" t="s">
        <v>671</v>
      </c>
      <c r="C672">
        <v>13100000</v>
      </c>
      <c r="D672">
        <v>5333569294</v>
      </c>
      <c r="E672" t="s">
        <v>988</v>
      </c>
      <c r="F672">
        <v>36760</v>
      </c>
      <c r="G672" t="s">
        <v>1019</v>
      </c>
      <c r="H672" t="s">
        <v>1305</v>
      </c>
      <c r="I672">
        <v>844200</v>
      </c>
      <c r="J672">
        <v>2011</v>
      </c>
      <c r="K672">
        <v>10</v>
      </c>
      <c r="L672">
        <v>18</v>
      </c>
      <c r="M672">
        <v>212559417</v>
      </c>
    </row>
    <row r="673" spans="1:13" x14ac:dyDescent="0.3">
      <c r="A673">
        <v>672</v>
      </c>
      <c r="B673" t="s">
        <v>393</v>
      </c>
      <c r="C673">
        <v>26900000</v>
      </c>
      <c r="D673">
        <v>7938616641</v>
      </c>
      <c r="E673" t="s">
        <v>988</v>
      </c>
      <c r="F673">
        <v>3956</v>
      </c>
      <c r="G673" t="s">
        <v>1019</v>
      </c>
      <c r="H673" t="s">
        <v>1305</v>
      </c>
      <c r="I673">
        <v>4000000</v>
      </c>
      <c r="J673">
        <v>2011</v>
      </c>
      <c r="K673">
        <v>9</v>
      </c>
      <c r="L673">
        <v>29</v>
      </c>
      <c r="M673">
        <v>212559417</v>
      </c>
    </row>
    <row r="674" spans="1:13" x14ac:dyDescent="0.3">
      <c r="A674">
        <v>673</v>
      </c>
      <c r="B674" t="s">
        <v>525</v>
      </c>
      <c r="C674">
        <v>32100000</v>
      </c>
      <c r="D674">
        <v>13061739758</v>
      </c>
      <c r="E674" t="s">
        <v>996</v>
      </c>
      <c r="F674">
        <v>11882</v>
      </c>
      <c r="G674" t="s">
        <v>1019</v>
      </c>
      <c r="H674" t="s">
        <v>1305</v>
      </c>
      <c r="I674">
        <v>2100000</v>
      </c>
      <c r="J674">
        <v>2012</v>
      </c>
      <c r="K674">
        <v>2</v>
      </c>
      <c r="L674">
        <v>12</v>
      </c>
      <c r="M674">
        <v>212559417</v>
      </c>
    </row>
    <row r="675" spans="1:13" x14ac:dyDescent="0.3">
      <c r="A675">
        <v>674</v>
      </c>
      <c r="B675" t="s">
        <v>240</v>
      </c>
      <c r="C675">
        <v>33300000</v>
      </c>
      <c r="D675">
        <v>5994136760</v>
      </c>
      <c r="E675" t="s">
        <v>994</v>
      </c>
      <c r="F675">
        <v>2736</v>
      </c>
      <c r="G675" t="s">
        <v>1081</v>
      </c>
      <c r="H675" t="s">
        <v>1302</v>
      </c>
      <c r="I675">
        <v>7500000</v>
      </c>
      <c r="J675">
        <v>2016</v>
      </c>
      <c r="K675">
        <v>1</v>
      </c>
      <c r="L675">
        <v>15</v>
      </c>
      <c r="M675">
        <v>270203917</v>
      </c>
    </row>
    <row r="676" spans="1:13" x14ac:dyDescent="0.3">
      <c r="A676">
        <v>675</v>
      </c>
      <c r="B676" t="s">
        <v>174</v>
      </c>
      <c r="C676">
        <v>12800000</v>
      </c>
      <c r="D676">
        <v>7876740921</v>
      </c>
      <c r="E676" t="s">
        <v>990</v>
      </c>
      <c r="F676">
        <v>2044</v>
      </c>
      <c r="G676" t="s">
        <v>978</v>
      </c>
      <c r="H676" t="s">
        <v>1302</v>
      </c>
      <c r="I676">
        <v>10300000</v>
      </c>
      <c r="J676">
        <v>2020</v>
      </c>
      <c r="K676">
        <v>4</v>
      </c>
      <c r="L676">
        <v>23</v>
      </c>
      <c r="M676">
        <v>1366417754</v>
      </c>
    </row>
    <row r="677" spans="1:13" x14ac:dyDescent="0.3">
      <c r="A677">
        <v>676</v>
      </c>
      <c r="B677" t="s">
        <v>201</v>
      </c>
      <c r="C677">
        <v>41900000</v>
      </c>
      <c r="D677">
        <v>22477745835</v>
      </c>
      <c r="E677" t="s">
        <v>988</v>
      </c>
      <c r="F677">
        <v>84</v>
      </c>
      <c r="G677" t="s">
        <v>1055</v>
      </c>
      <c r="H677" t="s">
        <v>1303</v>
      </c>
      <c r="I677">
        <v>8800000</v>
      </c>
      <c r="J677">
        <v>2005</v>
      </c>
      <c r="K677">
        <v>11</v>
      </c>
      <c r="L677">
        <v>6</v>
      </c>
      <c r="M677">
        <v>287025</v>
      </c>
    </row>
    <row r="678" spans="1:13" x14ac:dyDescent="0.3">
      <c r="A678">
        <v>677</v>
      </c>
      <c r="B678" t="s">
        <v>364</v>
      </c>
      <c r="C678">
        <v>25100000</v>
      </c>
      <c r="D678">
        <v>19458807708</v>
      </c>
      <c r="E678" t="s">
        <v>977</v>
      </c>
      <c r="F678">
        <v>118</v>
      </c>
      <c r="G678" t="s">
        <v>984</v>
      </c>
      <c r="H678" t="s">
        <v>1303</v>
      </c>
      <c r="I678">
        <v>4500000</v>
      </c>
      <c r="J678">
        <v>2009</v>
      </c>
      <c r="K678">
        <v>5</v>
      </c>
      <c r="L678">
        <v>12</v>
      </c>
      <c r="M678">
        <v>328239523</v>
      </c>
    </row>
    <row r="679" spans="1:13" x14ac:dyDescent="0.3">
      <c r="A679">
        <v>678</v>
      </c>
      <c r="B679" t="s">
        <v>885</v>
      </c>
      <c r="C679">
        <v>19500000</v>
      </c>
      <c r="D679">
        <v>5234251168</v>
      </c>
      <c r="E679" t="s">
        <v>988</v>
      </c>
      <c r="F679">
        <v>847</v>
      </c>
      <c r="G679" t="s">
        <v>978</v>
      </c>
      <c r="H679" t="s">
        <v>1302</v>
      </c>
      <c r="I679">
        <v>0</v>
      </c>
      <c r="J679">
        <v>2014</v>
      </c>
      <c r="K679">
        <v>3</v>
      </c>
      <c r="L679">
        <v>14</v>
      </c>
      <c r="M679">
        <v>1366417754</v>
      </c>
    </row>
    <row r="680" spans="1:13" x14ac:dyDescent="0.3">
      <c r="A680">
        <v>679</v>
      </c>
      <c r="B680" t="s">
        <v>609</v>
      </c>
      <c r="C680">
        <v>17900000</v>
      </c>
      <c r="D680">
        <v>5168721499</v>
      </c>
      <c r="E680" t="s">
        <v>988</v>
      </c>
      <c r="F680">
        <v>1344</v>
      </c>
      <c r="G680" t="s">
        <v>1023</v>
      </c>
      <c r="H680" t="s">
        <v>1305</v>
      </c>
      <c r="I680">
        <v>1300000</v>
      </c>
      <c r="J680">
        <v>2013</v>
      </c>
      <c r="K680">
        <v>4</v>
      </c>
      <c r="L680">
        <v>15</v>
      </c>
      <c r="M680">
        <v>44938712</v>
      </c>
    </row>
    <row r="681" spans="1:13" x14ac:dyDescent="0.3">
      <c r="A681">
        <v>680</v>
      </c>
      <c r="B681" t="s">
        <v>767</v>
      </c>
      <c r="C681">
        <v>12300000</v>
      </c>
      <c r="D681">
        <v>374123483</v>
      </c>
      <c r="E681" t="s">
        <v>996</v>
      </c>
      <c r="F681">
        <v>39</v>
      </c>
      <c r="G681" t="s">
        <v>1147</v>
      </c>
      <c r="H681" t="s">
        <v>1304</v>
      </c>
      <c r="I681">
        <v>185800</v>
      </c>
      <c r="J681">
        <v>2012</v>
      </c>
      <c r="K681">
        <v>5</v>
      </c>
      <c r="L681">
        <v>9</v>
      </c>
      <c r="M681">
        <v>10285453</v>
      </c>
    </row>
    <row r="682" spans="1:13" x14ac:dyDescent="0.3">
      <c r="A682">
        <v>681</v>
      </c>
      <c r="B682" t="s">
        <v>1246</v>
      </c>
      <c r="C682">
        <v>14400000</v>
      </c>
      <c r="D682">
        <v>4035738731</v>
      </c>
      <c r="E682" t="s">
        <v>977</v>
      </c>
      <c r="F682">
        <v>450</v>
      </c>
      <c r="G682" t="s">
        <v>984</v>
      </c>
      <c r="H682" t="s">
        <v>1303</v>
      </c>
      <c r="I682">
        <v>170700</v>
      </c>
      <c r="J682">
        <v>2008</v>
      </c>
      <c r="K682">
        <v>6</v>
      </c>
      <c r="L682">
        <v>4</v>
      </c>
      <c r="M682">
        <v>328239523</v>
      </c>
    </row>
    <row r="683" spans="1:13" x14ac:dyDescent="0.3">
      <c r="A683">
        <v>682</v>
      </c>
      <c r="B683" t="s">
        <v>782</v>
      </c>
      <c r="C683">
        <v>15400000</v>
      </c>
      <c r="D683">
        <v>5469103954</v>
      </c>
      <c r="E683" t="s">
        <v>994</v>
      </c>
      <c r="F683">
        <v>1756</v>
      </c>
      <c r="G683" t="s">
        <v>984</v>
      </c>
      <c r="H683" t="s">
        <v>1303</v>
      </c>
      <c r="I683">
        <v>76000</v>
      </c>
      <c r="J683">
        <v>2013</v>
      </c>
      <c r="K683">
        <v>8</v>
      </c>
      <c r="L683">
        <v>12</v>
      </c>
      <c r="M683">
        <v>328239523</v>
      </c>
    </row>
    <row r="684" spans="1:13" x14ac:dyDescent="0.3">
      <c r="A684">
        <v>683</v>
      </c>
      <c r="B684" t="s">
        <v>1145</v>
      </c>
      <c r="C684">
        <v>20900000</v>
      </c>
      <c r="D684">
        <v>17324976752</v>
      </c>
      <c r="E684" t="s">
        <v>977</v>
      </c>
      <c r="F684">
        <v>6</v>
      </c>
      <c r="G684" t="s">
        <v>984</v>
      </c>
      <c r="H684" t="s">
        <v>1303</v>
      </c>
      <c r="I684">
        <v>5</v>
      </c>
      <c r="J684">
        <v>2006</v>
      </c>
      <c r="K684">
        <v>7</v>
      </c>
      <c r="L684">
        <v>31</v>
      </c>
      <c r="M684">
        <v>328239523</v>
      </c>
    </row>
    <row r="685" spans="1:13" x14ac:dyDescent="0.3">
      <c r="A685">
        <v>684</v>
      </c>
      <c r="B685" t="s">
        <v>608</v>
      </c>
      <c r="C685">
        <v>14400000</v>
      </c>
      <c r="D685">
        <v>4597228794</v>
      </c>
      <c r="E685" t="s">
        <v>1011</v>
      </c>
      <c r="F685">
        <v>1248</v>
      </c>
      <c r="G685" t="s">
        <v>984</v>
      </c>
      <c r="H685" t="s">
        <v>1303</v>
      </c>
      <c r="I685">
        <v>1300000</v>
      </c>
      <c r="J685">
        <v>2010</v>
      </c>
      <c r="K685">
        <v>4</v>
      </c>
      <c r="L685">
        <v>8</v>
      </c>
      <c r="M685">
        <v>328239523</v>
      </c>
    </row>
    <row r="686" spans="1:13" x14ac:dyDescent="0.3">
      <c r="A686">
        <v>685</v>
      </c>
      <c r="B686" t="s">
        <v>1137</v>
      </c>
      <c r="C686">
        <v>21800000</v>
      </c>
      <c r="D686">
        <v>19329351143</v>
      </c>
      <c r="E686" t="s">
        <v>977</v>
      </c>
      <c r="F686">
        <v>135</v>
      </c>
      <c r="G686" t="s">
        <v>1294</v>
      </c>
      <c r="H686" t="s">
        <v>1294</v>
      </c>
      <c r="I686">
        <v>507</v>
      </c>
      <c r="J686">
        <v>2011</v>
      </c>
      <c r="K686">
        <v>10</v>
      </c>
      <c r="L686">
        <v>27</v>
      </c>
      <c r="M686" t="s">
        <v>1294</v>
      </c>
    </row>
    <row r="687" spans="1:13" x14ac:dyDescent="0.3">
      <c r="A687">
        <v>686</v>
      </c>
      <c r="B687" t="s">
        <v>632</v>
      </c>
      <c r="C687">
        <v>15800000</v>
      </c>
      <c r="D687">
        <v>13116313599</v>
      </c>
      <c r="E687" t="s">
        <v>982</v>
      </c>
      <c r="F687">
        <v>10441</v>
      </c>
      <c r="G687" t="s">
        <v>984</v>
      </c>
      <c r="H687" t="s">
        <v>1303</v>
      </c>
      <c r="I687">
        <v>1200000</v>
      </c>
      <c r="J687">
        <v>2011</v>
      </c>
      <c r="K687">
        <v>4</v>
      </c>
      <c r="L687">
        <v>1</v>
      </c>
      <c r="M687">
        <v>328239523</v>
      </c>
    </row>
    <row r="688" spans="1:13" x14ac:dyDescent="0.3">
      <c r="A688">
        <v>687</v>
      </c>
      <c r="B688" t="s">
        <v>581</v>
      </c>
      <c r="C688">
        <v>30700000</v>
      </c>
      <c r="D688">
        <v>3145161634</v>
      </c>
      <c r="E688" t="s">
        <v>1044</v>
      </c>
      <c r="F688">
        <v>67</v>
      </c>
      <c r="G688" t="s">
        <v>978</v>
      </c>
      <c r="H688" t="s">
        <v>1302</v>
      </c>
      <c r="I688">
        <v>1500000</v>
      </c>
      <c r="J688">
        <v>2016</v>
      </c>
      <c r="K688">
        <v>10</v>
      </c>
      <c r="L688">
        <v>20</v>
      </c>
      <c r="M688">
        <v>1366417754</v>
      </c>
    </row>
    <row r="689" spans="1:13" x14ac:dyDescent="0.3">
      <c r="A689">
        <v>688</v>
      </c>
      <c r="B689" t="s">
        <v>177</v>
      </c>
      <c r="C689">
        <v>14400000</v>
      </c>
      <c r="D689">
        <v>8011977288</v>
      </c>
      <c r="E689" t="s">
        <v>988</v>
      </c>
      <c r="F689">
        <v>5628</v>
      </c>
      <c r="G689" t="s">
        <v>978</v>
      </c>
      <c r="H689" t="s">
        <v>1302</v>
      </c>
      <c r="I689">
        <v>10200000</v>
      </c>
      <c r="J689">
        <v>2020</v>
      </c>
      <c r="K689">
        <v>10</v>
      </c>
      <c r="L689">
        <v>24</v>
      </c>
      <c r="M689">
        <v>1366417754</v>
      </c>
    </row>
    <row r="690" spans="1:13" x14ac:dyDescent="0.3">
      <c r="A690">
        <v>689</v>
      </c>
      <c r="B690" t="s">
        <v>470</v>
      </c>
      <c r="C690">
        <v>18400000</v>
      </c>
      <c r="D690">
        <v>11544297793</v>
      </c>
      <c r="E690" t="s">
        <v>977</v>
      </c>
      <c r="F690">
        <v>3159</v>
      </c>
      <c r="G690" t="s">
        <v>1048</v>
      </c>
      <c r="H690" t="s">
        <v>1302</v>
      </c>
      <c r="I690">
        <v>2600000</v>
      </c>
      <c r="J690">
        <v>2011</v>
      </c>
      <c r="K690">
        <v>3</v>
      </c>
      <c r="L690">
        <v>8</v>
      </c>
      <c r="M690">
        <v>69625582</v>
      </c>
    </row>
    <row r="691" spans="1:13" x14ac:dyDescent="0.3">
      <c r="A691">
        <v>690</v>
      </c>
      <c r="B691" t="s">
        <v>56</v>
      </c>
      <c r="C691">
        <v>15100000</v>
      </c>
      <c r="D691">
        <v>9477021288</v>
      </c>
      <c r="E691" t="s">
        <v>1044</v>
      </c>
      <c r="F691">
        <v>921</v>
      </c>
      <c r="G691" t="s">
        <v>1023</v>
      </c>
      <c r="H691" t="s">
        <v>1305</v>
      </c>
      <c r="I691">
        <v>24600000</v>
      </c>
      <c r="J691">
        <v>2016</v>
      </c>
      <c r="K691">
        <v>8</v>
      </c>
      <c r="L691">
        <v>2</v>
      </c>
      <c r="M691">
        <v>44938712</v>
      </c>
    </row>
    <row r="692" spans="1:13" x14ac:dyDescent="0.3">
      <c r="A692">
        <v>691</v>
      </c>
      <c r="B692" t="s">
        <v>825</v>
      </c>
      <c r="C692">
        <v>13100000</v>
      </c>
      <c r="D692">
        <v>2182651464</v>
      </c>
      <c r="E692" t="s">
        <v>988</v>
      </c>
      <c r="F692">
        <v>33</v>
      </c>
      <c r="G692" t="s">
        <v>984</v>
      </c>
      <c r="H692" t="s">
        <v>1303</v>
      </c>
      <c r="I692">
        <v>12</v>
      </c>
      <c r="J692">
        <v>2022</v>
      </c>
      <c r="K692">
        <v>6</v>
      </c>
      <c r="L692">
        <v>27</v>
      </c>
      <c r="M692">
        <v>328239523</v>
      </c>
    </row>
    <row r="693" spans="1:13" x14ac:dyDescent="0.3">
      <c r="A693">
        <v>692</v>
      </c>
      <c r="B693" t="s">
        <v>157</v>
      </c>
      <c r="C693">
        <v>35200000</v>
      </c>
      <c r="D693">
        <v>55299840198</v>
      </c>
      <c r="E693" t="s">
        <v>988</v>
      </c>
      <c r="F693">
        <v>2453</v>
      </c>
      <c r="G693" t="s">
        <v>984</v>
      </c>
      <c r="H693" t="s">
        <v>1303</v>
      </c>
      <c r="I693">
        <v>11500000</v>
      </c>
      <c r="J693">
        <v>2015</v>
      </c>
      <c r="K693">
        <v>3</v>
      </c>
      <c r="L693">
        <v>17</v>
      </c>
      <c r="M693">
        <v>328239523</v>
      </c>
    </row>
    <row r="694" spans="1:13" x14ac:dyDescent="0.3">
      <c r="A694">
        <v>693</v>
      </c>
      <c r="B694" t="s">
        <v>555</v>
      </c>
      <c r="C694">
        <v>14500000</v>
      </c>
      <c r="D694">
        <v>4315486422</v>
      </c>
      <c r="E694" t="s">
        <v>977</v>
      </c>
      <c r="F694">
        <v>176</v>
      </c>
      <c r="G694" t="s">
        <v>1238</v>
      </c>
      <c r="H694" t="s">
        <v>1307</v>
      </c>
      <c r="I694">
        <v>1800000</v>
      </c>
      <c r="J694">
        <v>2012</v>
      </c>
      <c r="K694">
        <v>12</v>
      </c>
      <c r="L694">
        <v>22</v>
      </c>
      <c r="M694">
        <v>36910560</v>
      </c>
    </row>
    <row r="695" spans="1:13" x14ac:dyDescent="0.3">
      <c r="A695">
        <v>694</v>
      </c>
      <c r="B695" t="s">
        <v>791</v>
      </c>
      <c r="C695">
        <v>12400000</v>
      </c>
      <c r="D695">
        <v>1113066203</v>
      </c>
      <c r="E695" t="s">
        <v>988</v>
      </c>
      <c r="F695">
        <v>409</v>
      </c>
      <c r="G695" t="s">
        <v>1081</v>
      </c>
      <c r="H695" t="s">
        <v>1302</v>
      </c>
      <c r="I695">
        <v>38700</v>
      </c>
      <c r="J695">
        <v>2012</v>
      </c>
      <c r="K695">
        <v>4</v>
      </c>
      <c r="L695">
        <v>28</v>
      </c>
      <c r="M695">
        <v>270203917</v>
      </c>
    </row>
    <row r="696" spans="1:13" x14ac:dyDescent="0.3">
      <c r="A696">
        <v>695</v>
      </c>
      <c r="B696" t="s">
        <v>413</v>
      </c>
      <c r="C696">
        <v>16000000</v>
      </c>
      <c r="D696">
        <v>6543629679</v>
      </c>
      <c r="E696" t="s">
        <v>994</v>
      </c>
      <c r="F696">
        <v>453</v>
      </c>
      <c r="G696" t="s">
        <v>1294</v>
      </c>
      <c r="H696" t="s">
        <v>1294</v>
      </c>
      <c r="I696">
        <v>3600000</v>
      </c>
      <c r="J696">
        <v>2017</v>
      </c>
      <c r="K696">
        <v>6</v>
      </c>
      <c r="L696">
        <v>30</v>
      </c>
      <c r="M696" t="s">
        <v>1294</v>
      </c>
    </row>
    <row r="697" spans="1:13" x14ac:dyDescent="0.3">
      <c r="A697">
        <v>696</v>
      </c>
      <c r="B697" t="s">
        <v>39</v>
      </c>
      <c r="C697">
        <v>22000000</v>
      </c>
      <c r="D697">
        <v>18347969186</v>
      </c>
      <c r="E697" t="s">
        <v>988</v>
      </c>
      <c r="F697">
        <v>6274</v>
      </c>
      <c r="G697" t="s">
        <v>997</v>
      </c>
      <c r="H697" t="s">
        <v>1302</v>
      </c>
      <c r="I697">
        <v>34100000</v>
      </c>
      <c r="J697">
        <v>2021</v>
      </c>
      <c r="K697">
        <v>2</v>
      </c>
      <c r="L697">
        <v>13</v>
      </c>
      <c r="M697">
        <v>126226568</v>
      </c>
    </row>
    <row r="698" spans="1:13" x14ac:dyDescent="0.3">
      <c r="A698">
        <v>697</v>
      </c>
      <c r="B698" t="s">
        <v>1195</v>
      </c>
      <c r="C698">
        <v>16700000</v>
      </c>
      <c r="D698">
        <v>10393037902</v>
      </c>
      <c r="E698" t="s">
        <v>988</v>
      </c>
      <c r="F698">
        <v>3</v>
      </c>
      <c r="G698" t="s">
        <v>1294</v>
      </c>
      <c r="H698" t="s">
        <v>1294</v>
      </c>
      <c r="I698">
        <v>0.34</v>
      </c>
      <c r="J698">
        <v>2022</v>
      </c>
      <c r="K698">
        <v>5</v>
      </c>
      <c r="L698">
        <v>14</v>
      </c>
      <c r="M698" t="s">
        <v>1294</v>
      </c>
    </row>
    <row r="699" spans="1:13" x14ac:dyDescent="0.3">
      <c r="A699">
        <v>698</v>
      </c>
      <c r="B699" t="s">
        <v>387</v>
      </c>
      <c r="C699">
        <v>16300000</v>
      </c>
      <c r="D699">
        <v>10170264839</v>
      </c>
      <c r="E699" t="s">
        <v>977</v>
      </c>
      <c r="F699">
        <v>230</v>
      </c>
      <c r="G699" t="s">
        <v>1013</v>
      </c>
      <c r="H699" t="s">
        <v>1304</v>
      </c>
      <c r="I699">
        <v>4100000</v>
      </c>
      <c r="J699">
        <v>2012</v>
      </c>
      <c r="K699">
        <v>9</v>
      </c>
      <c r="L699">
        <v>14</v>
      </c>
      <c r="M699">
        <v>66834405</v>
      </c>
    </row>
    <row r="700" spans="1:13" x14ac:dyDescent="0.3">
      <c r="A700">
        <v>699</v>
      </c>
      <c r="B700" t="s">
        <v>1111</v>
      </c>
      <c r="C700">
        <v>27800000</v>
      </c>
      <c r="D700">
        <v>2303069221</v>
      </c>
      <c r="E700" t="s">
        <v>994</v>
      </c>
      <c r="F700">
        <v>0</v>
      </c>
      <c r="G700" t="s">
        <v>1112</v>
      </c>
      <c r="H700" t="s">
        <v>1302</v>
      </c>
      <c r="I700">
        <v>0</v>
      </c>
      <c r="J700">
        <v>2008</v>
      </c>
      <c r="K700">
        <v>1</v>
      </c>
      <c r="L700">
        <v>2</v>
      </c>
      <c r="M700">
        <v>5703569</v>
      </c>
    </row>
    <row r="701" spans="1:13" x14ac:dyDescent="0.3">
      <c r="A701">
        <v>700</v>
      </c>
      <c r="B701" t="s">
        <v>669</v>
      </c>
      <c r="C701">
        <v>16400000</v>
      </c>
      <c r="D701">
        <v>3955426159</v>
      </c>
      <c r="E701" t="s">
        <v>1011</v>
      </c>
      <c r="F701">
        <v>1091</v>
      </c>
      <c r="G701" t="s">
        <v>984</v>
      </c>
      <c r="H701" t="s">
        <v>1303</v>
      </c>
      <c r="I701">
        <v>865300</v>
      </c>
      <c r="J701">
        <v>2011</v>
      </c>
      <c r="K701">
        <v>9</v>
      </c>
      <c r="L701">
        <v>27</v>
      </c>
      <c r="M701">
        <v>328239523</v>
      </c>
    </row>
    <row r="702" spans="1:13" x14ac:dyDescent="0.3">
      <c r="A702">
        <v>701</v>
      </c>
      <c r="B702" t="s">
        <v>208</v>
      </c>
      <c r="C702">
        <v>13500000</v>
      </c>
      <c r="D702">
        <v>3912334359</v>
      </c>
      <c r="E702" t="s">
        <v>988</v>
      </c>
      <c r="F702">
        <v>1793</v>
      </c>
      <c r="G702" t="s">
        <v>978</v>
      </c>
      <c r="H702" t="s">
        <v>1302</v>
      </c>
      <c r="I702">
        <v>8600000</v>
      </c>
      <c r="J702">
        <v>2015</v>
      </c>
      <c r="K702">
        <v>4</v>
      </c>
      <c r="L702">
        <v>29</v>
      </c>
      <c r="M702">
        <v>1366417754</v>
      </c>
    </row>
    <row r="703" spans="1:13" x14ac:dyDescent="0.3">
      <c r="A703">
        <v>702</v>
      </c>
      <c r="B703" t="s">
        <v>54</v>
      </c>
      <c r="C703">
        <v>35500000</v>
      </c>
      <c r="D703">
        <v>15657673422</v>
      </c>
      <c r="E703" t="s">
        <v>988</v>
      </c>
      <c r="F703">
        <v>7566</v>
      </c>
      <c r="G703" t="s">
        <v>978</v>
      </c>
      <c r="H703" t="s">
        <v>1302</v>
      </c>
      <c r="I703">
        <v>25600000</v>
      </c>
      <c r="J703">
        <v>2013</v>
      </c>
      <c r="K703">
        <v>1</v>
      </c>
      <c r="L703">
        <v>4</v>
      </c>
      <c r="M703">
        <v>1366417754</v>
      </c>
    </row>
    <row r="704" spans="1:13" x14ac:dyDescent="0.3">
      <c r="A704">
        <v>703</v>
      </c>
      <c r="B704" t="s">
        <v>463</v>
      </c>
      <c r="C704">
        <v>13600000</v>
      </c>
      <c r="D704">
        <v>14717282742</v>
      </c>
      <c r="E704" t="s">
        <v>988</v>
      </c>
      <c r="F704">
        <v>8335</v>
      </c>
      <c r="G704" t="s">
        <v>984</v>
      </c>
      <c r="H704" t="s">
        <v>1303</v>
      </c>
      <c r="I704">
        <v>2700000</v>
      </c>
      <c r="J704">
        <v>2013</v>
      </c>
      <c r="K704">
        <v>7</v>
      </c>
      <c r="L704">
        <v>23</v>
      </c>
      <c r="M704">
        <v>328239523</v>
      </c>
    </row>
    <row r="705" spans="1:13" x14ac:dyDescent="0.3">
      <c r="A705">
        <v>704</v>
      </c>
      <c r="B705" t="s">
        <v>824</v>
      </c>
      <c r="C705">
        <v>19700000</v>
      </c>
      <c r="D705">
        <v>9808676159</v>
      </c>
      <c r="E705" t="s">
        <v>988</v>
      </c>
      <c r="F705">
        <v>267</v>
      </c>
      <c r="G705" t="s">
        <v>1013</v>
      </c>
      <c r="H705" t="s">
        <v>1304</v>
      </c>
      <c r="I705">
        <v>16</v>
      </c>
      <c r="J705">
        <v>2006</v>
      </c>
      <c r="K705">
        <v>3</v>
      </c>
      <c r="L705">
        <v>25</v>
      </c>
      <c r="M705">
        <v>66834405</v>
      </c>
    </row>
    <row r="706" spans="1:13" x14ac:dyDescent="0.3">
      <c r="A706">
        <v>705</v>
      </c>
      <c r="B706" t="s">
        <v>315</v>
      </c>
      <c r="C706">
        <v>18000000</v>
      </c>
      <c r="D706">
        <v>10463166404</v>
      </c>
      <c r="E706" t="s">
        <v>1026</v>
      </c>
      <c r="F706">
        <v>237</v>
      </c>
      <c r="G706" t="s">
        <v>984</v>
      </c>
      <c r="H706" t="s">
        <v>1303</v>
      </c>
      <c r="I706">
        <v>5300000</v>
      </c>
      <c r="J706">
        <v>2013</v>
      </c>
      <c r="K706">
        <v>3</v>
      </c>
      <c r="L706">
        <v>30</v>
      </c>
      <c r="M706">
        <v>328239523</v>
      </c>
    </row>
    <row r="707" spans="1:13" x14ac:dyDescent="0.3">
      <c r="A707">
        <v>706</v>
      </c>
      <c r="B707" t="s">
        <v>300</v>
      </c>
      <c r="C707">
        <v>33600000</v>
      </c>
      <c r="D707">
        <v>13013567335</v>
      </c>
      <c r="E707" t="s">
        <v>982</v>
      </c>
      <c r="F707">
        <v>188</v>
      </c>
      <c r="G707" t="s">
        <v>984</v>
      </c>
      <c r="H707" t="s">
        <v>1303</v>
      </c>
      <c r="I707">
        <v>5600000</v>
      </c>
      <c r="J707">
        <v>2008</v>
      </c>
      <c r="K707">
        <v>2</v>
      </c>
      <c r="L707">
        <v>8</v>
      </c>
      <c r="M707">
        <v>328239523</v>
      </c>
    </row>
    <row r="708" spans="1:13" x14ac:dyDescent="0.3">
      <c r="A708">
        <v>707</v>
      </c>
      <c r="B708" t="s">
        <v>373</v>
      </c>
      <c r="C708">
        <v>14400000</v>
      </c>
      <c r="D708">
        <v>11423792969</v>
      </c>
      <c r="E708" t="s">
        <v>977</v>
      </c>
      <c r="F708">
        <v>186</v>
      </c>
      <c r="G708" t="s">
        <v>984</v>
      </c>
      <c r="H708" t="s">
        <v>1303</v>
      </c>
      <c r="I708">
        <v>4300000</v>
      </c>
      <c r="J708">
        <v>2009</v>
      </c>
      <c r="K708">
        <v>11</v>
      </c>
      <c r="L708">
        <v>24</v>
      </c>
      <c r="M708">
        <v>328239523</v>
      </c>
    </row>
    <row r="709" spans="1:13" x14ac:dyDescent="0.3">
      <c r="A709">
        <v>708</v>
      </c>
      <c r="B709" t="s">
        <v>292</v>
      </c>
      <c r="C709">
        <v>23300000</v>
      </c>
      <c r="D709">
        <v>22471357411</v>
      </c>
      <c r="E709" t="s">
        <v>988</v>
      </c>
      <c r="F709">
        <v>3657</v>
      </c>
      <c r="G709" t="s">
        <v>984</v>
      </c>
      <c r="H709" t="s">
        <v>1303</v>
      </c>
      <c r="I709">
        <v>6000000</v>
      </c>
      <c r="J709">
        <v>2006</v>
      </c>
      <c r="K709">
        <v>1</v>
      </c>
      <c r="L709">
        <v>16</v>
      </c>
      <c r="M709">
        <v>328239523</v>
      </c>
    </row>
    <row r="710" spans="1:13" x14ac:dyDescent="0.3">
      <c r="A710">
        <v>709</v>
      </c>
      <c r="B710" t="s">
        <v>4</v>
      </c>
      <c r="C710">
        <v>159000000</v>
      </c>
      <c r="D710" s="1">
        <v>148000000000</v>
      </c>
      <c r="E710" t="s">
        <v>992</v>
      </c>
      <c r="F710">
        <v>116536</v>
      </c>
      <c r="G710" t="s">
        <v>978</v>
      </c>
      <c r="H710" t="s">
        <v>1302</v>
      </c>
      <c r="I710">
        <v>87500000</v>
      </c>
      <c r="J710">
        <v>2006</v>
      </c>
      <c r="K710">
        <v>9</v>
      </c>
      <c r="L710">
        <v>20</v>
      </c>
      <c r="M710">
        <v>1366417754</v>
      </c>
    </row>
    <row r="711" spans="1:13" x14ac:dyDescent="0.3">
      <c r="A711">
        <v>710</v>
      </c>
      <c r="B711" t="s">
        <v>95</v>
      </c>
      <c r="C711">
        <v>14200000</v>
      </c>
      <c r="D711">
        <v>10238593147</v>
      </c>
      <c r="E711" t="s">
        <v>1044</v>
      </c>
      <c r="F711">
        <v>872</v>
      </c>
      <c r="G711" t="s">
        <v>978</v>
      </c>
      <c r="H711" t="s">
        <v>1302</v>
      </c>
      <c r="I711">
        <v>17700000</v>
      </c>
      <c r="J711">
        <v>2018</v>
      </c>
      <c r="K711">
        <v>6</v>
      </c>
      <c r="L711">
        <v>4</v>
      </c>
      <c r="M711">
        <v>1366417754</v>
      </c>
    </row>
    <row r="712" spans="1:13" x14ac:dyDescent="0.3">
      <c r="A712">
        <v>711</v>
      </c>
      <c r="B712" t="s">
        <v>98</v>
      </c>
      <c r="C712">
        <v>43500000</v>
      </c>
      <c r="D712">
        <v>27568757295</v>
      </c>
      <c r="E712" t="s">
        <v>994</v>
      </c>
      <c r="F712">
        <v>326</v>
      </c>
      <c r="G712" t="s">
        <v>1051</v>
      </c>
      <c r="H712" t="s">
        <v>1305</v>
      </c>
      <c r="I712">
        <v>17000000</v>
      </c>
      <c r="J712">
        <v>2005</v>
      </c>
      <c r="K712">
        <v>10</v>
      </c>
      <c r="L712">
        <v>16</v>
      </c>
      <c r="M712">
        <v>50339443</v>
      </c>
    </row>
    <row r="713" spans="1:13" x14ac:dyDescent="0.3">
      <c r="A713">
        <v>712</v>
      </c>
      <c r="B713" t="s">
        <v>138</v>
      </c>
      <c r="C713">
        <v>18400000</v>
      </c>
      <c r="D713">
        <v>25367126292</v>
      </c>
      <c r="E713" t="s">
        <v>977</v>
      </c>
      <c r="F713">
        <v>197</v>
      </c>
      <c r="G713" t="s">
        <v>984</v>
      </c>
      <c r="H713" t="s">
        <v>1303</v>
      </c>
      <c r="I713">
        <v>12800000</v>
      </c>
      <c r="J713">
        <v>2009</v>
      </c>
      <c r="K713">
        <v>9</v>
      </c>
      <c r="L713">
        <v>2</v>
      </c>
      <c r="M713">
        <v>328239523</v>
      </c>
    </row>
    <row r="714" spans="1:13" x14ac:dyDescent="0.3">
      <c r="A714">
        <v>713</v>
      </c>
      <c r="B714" t="s">
        <v>775</v>
      </c>
      <c r="C714">
        <v>19200000</v>
      </c>
      <c r="D714">
        <v>4329121104</v>
      </c>
      <c r="E714" t="s">
        <v>994</v>
      </c>
      <c r="F714">
        <v>570</v>
      </c>
      <c r="G714" t="s">
        <v>984</v>
      </c>
      <c r="H714" t="s">
        <v>1303</v>
      </c>
      <c r="I714">
        <v>131100</v>
      </c>
      <c r="J714">
        <v>2005</v>
      </c>
      <c r="K714">
        <v>9</v>
      </c>
      <c r="L714">
        <v>22</v>
      </c>
      <c r="M714">
        <v>328239523</v>
      </c>
    </row>
    <row r="715" spans="1:13" x14ac:dyDescent="0.3">
      <c r="A715">
        <v>714</v>
      </c>
      <c r="B715" t="s">
        <v>371</v>
      </c>
      <c r="C715">
        <v>30000000</v>
      </c>
      <c r="D715">
        <v>12831200855</v>
      </c>
      <c r="E715" t="s">
        <v>977</v>
      </c>
      <c r="F715">
        <v>133</v>
      </c>
      <c r="G715" t="s">
        <v>1017</v>
      </c>
      <c r="H715" t="s">
        <v>1303</v>
      </c>
      <c r="I715">
        <v>4300000</v>
      </c>
      <c r="J715">
        <v>2011</v>
      </c>
      <c r="K715">
        <v>1</v>
      </c>
      <c r="L715">
        <v>19</v>
      </c>
      <c r="M715">
        <v>36991981</v>
      </c>
    </row>
    <row r="716" spans="1:13" x14ac:dyDescent="0.3">
      <c r="A716">
        <v>715</v>
      </c>
      <c r="B716" t="s">
        <v>164</v>
      </c>
      <c r="C716">
        <v>47400000</v>
      </c>
      <c r="D716">
        <v>22519705183</v>
      </c>
      <c r="E716" t="s">
        <v>988</v>
      </c>
      <c r="F716">
        <v>11451</v>
      </c>
      <c r="G716" t="s">
        <v>978</v>
      </c>
      <c r="H716" t="s">
        <v>1302</v>
      </c>
      <c r="I716">
        <v>11200000</v>
      </c>
      <c r="J716">
        <v>2007</v>
      </c>
      <c r="K716">
        <v>9</v>
      </c>
      <c r="L716">
        <v>1</v>
      </c>
      <c r="M716">
        <v>1366417754</v>
      </c>
    </row>
    <row r="717" spans="1:13" x14ac:dyDescent="0.3">
      <c r="A717">
        <v>716</v>
      </c>
      <c r="B717" t="s">
        <v>336</v>
      </c>
      <c r="C717">
        <v>18600000</v>
      </c>
      <c r="D717">
        <v>6047584292</v>
      </c>
      <c r="E717" t="s">
        <v>988</v>
      </c>
      <c r="F717">
        <v>4487</v>
      </c>
      <c r="G717" t="s">
        <v>978</v>
      </c>
      <c r="H717" t="s">
        <v>1302</v>
      </c>
      <c r="I717">
        <v>4900000</v>
      </c>
      <c r="J717">
        <v>2007</v>
      </c>
      <c r="K717">
        <v>1</v>
      </c>
      <c r="L717">
        <v>31</v>
      </c>
      <c r="M717">
        <v>1366417754</v>
      </c>
    </row>
    <row r="718" spans="1:13" x14ac:dyDescent="0.3">
      <c r="A718">
        <v>717</v>
      </c>
      <c r="B718" t="s">
        <v>150</v>
      </c>
      <c r="C718">
        <v>65600000</v>
      </c>
      <c r="D718">
        <v>28648024439</v>
      </c>
      <c r="E718" t="s">
        <v>977</v>
      </c>
      <c r="F718">
        <v>8502</v>
      </c>
      <c r="G718" t="s">
        <v>978</v>
      </c>
      <c r="H718" t="s">
        <v>1302</v>
      </c>
      <c r="I718">
        <v>12200000</v>
      </c>
      <c r="J718">
        <v>2010</v>
      </c>
      <c r="K718">
        <v>6</v>
      </c>
      <c r="L718">
        <v>11</v>
      </c>
      <c r="M718">
        <v>1366417754</v>
      </c>
    </row>
    <row r="719" spans="1:13" x14ac:dyDescent="0.3">
      <c r="A719">
        <v>718</v>
      </c>
      <c r="B719" t="s">
        <v>197</v>
      </c>
      <c r="C719">
        <v>28200000</v>
      </c>
      <c r="D719">
        <v>7600740993</v>
      </c>
      <c r="E719" t="s">
        <v>988</v>
      </c>
      <c r="F719">
        <v>3009</v>
      </c>
      <c r="G719" t="s">
        <v>978</v>
      </c>
      <c r="H719" t="s">
        <v>1302</v>
      </c>
      <c r="I719">
        <v>8900000</v>
      </c>
      <c r="J719">
        <v>2011</v>
      </c>
      <c r="K719">
        <v>3</v>
      </c>
      <c r="L719">
        <v>1</v>
      </c>
      <c r="M719">
        <v>1366417754</v>
      </c>
    </row>
    <row r="720" spans="1:13" x14ac:dyDescent="0.3">
      <c r="A720">
        <v>719</v>
      </c>
      <c r="B720" t="s">
        <v>244</v>
      </c>
      <c r="C720">
        <v>24200000</v>
      </c>
      <c r="D720">
        <v>15724160183</v>
      </c>
      <c r="E720" t="s">
        <v>1294</v>
      </c>
      <c r="F720">
        <v>469</v>
      </c>
      <c r="G720" t="s">
        <v>1062</v>
      </c>
      <c r="H720" t="s">
        <v>1302</v>
      </c>
      <c r="I720">
        <v>7300000</v>
      </c>
      <c r="J720">
        <v>2019</v>
      </c>
      <c r="K720">
        <v>4</v>
      </c>
      <c r="L720">
        <v>1</v>
      </c>
      <c r="M720">
        <v>9770529</v>
      </c>
    </row>
    <row r="721" spans="1:13" x14ac:dyDescent="0.3">
      <c r="A721">
        <v>720</v>
      </c>
      <c r="B721" t="s">
        <v>153</v>
      </c>
      <c r="C721">
        <v>39700000</v>
      </c>
      <c r="D721">
        <v>23884824160</v>
      </c>
      <c r="E721" t="s">
        <v>994</v>
      </c>
      <c r="F721">
        <v>1596</v>
      </c>
      <c r="G721" t="s">
        <v>1062</v>
      </c>
      <c r="H721" t="s">
        <v>1302</v>
      </c>
      <c r="I721">
        <v>11900000</v>
      </c>
      <c r="J721">
        <v>2017</v>
      </c>
      <c r="K721">
        <v>11</v>
      </c>
      <c r="L721">
        <v>6</v>
      </c>
      <c r="M721">
        <v>9770529</v>
      </c>
    </row>
    <row r="722" spans="1:13" x14ac:dyDescent="0.3">
      <c r="A722">
        <v>721</v>
      </c>
      <c r="B722" t="s">
        <v>1106</v>
      </c>
      <c r="C722">
        <v>29000000</v>
      </c>
      <c r="D722">
        <v>19466238065</v>
      </c>
      <c r="E722" t="s">
        <v>1044</v>
      </c>
      <c r="F722">
        <v>42</v>
      </c>
      <c r="G722" t="s">
        <v>1294</v>
      </c>
      <c r="H722" t="s">
        <v>1294</v>
      </c>
      <c r="I722">
        <v>2900</v>
      </c>
      <c r="J722">
        <v>2021</v>
      </c>
      <c r="K722">
        <v>1</v>
      </c>
      <c r="L722">
        <v>28</v>
      </c>
      <c r="M722" t="s">
        <v>1294</v>
      </c>
    </row>
    <row r="723" spans="1:13" x14ac:dyDescent="0.3">
      <c r="A723">
        <v>722</v>
      </c>
      <c r="B723" t="s">
        <v>359</v>
      </c>
      <c r="C723">
        <v>22600000</v>
      </c>
      <c r="D723">
        <v>13405849040</v>
      </c>
      <c r="E723" t="s">
        <v>977</v>
      </c>
      <c r="F723">
        <v>171</v>
      </c>
      <c r="G723" t="s">
        <v>984</v>
      </c>
      <c r="H723" t="s">
        <v>1303</v>
      </c>
      <c r="I723">
        <v>4600000</v>
      </c>
      <c r="J723">
        <v>2007</v>
      </c>
      <c r="K723">
        <v>11</v>
      </c>
      <c r="L723">
        <v>19</v>
      </c>
      <c r="M723">
        <v>328239523</v>
      </c>
    </row>
    <row r="724" spans="1:13" x14ac:dyDescent="0.3">
      <c r="A724">
        <v>723</v>
      </c>
      <c r="B724" t="s">
        <v>402</v>
      </c>
      <c r="C724">
        <v>18800000</v>
      </c>
      <c r="D724">
        <v>5257834105</v>
      </c>
      <c r="E724" t="s">
        <v>988</v>
      </c>
      <c r="F724">
        <v>312</v>
      </c>
      <c r="G724" t="s">
        <v>1013</v>
      </c>
      <c r="H724" t="s">
        <v>1304</v>
      </c>
      <c r="I724">
        <v>3800000</v>
      </c>
      <c r="J724">
        <v>2015</v>
      </c>
      <c r="K724">
        <v>6</v>
      </c>
      <c r="L724">
        <v>14</v>
      </c>
      <c r="M724">
        <v>66834405</v>
      </c>
    </row>
    <row r="725" spans="1:13" x14ac:dyDescent="0.3">
      <c r="A725">
        <v>724</v>
      </c>
      <c r="B725" t="s">
        <v>232</v>
      </c>
      <c r="C725">
        <v>21400000</v>
      </c>
      <c r="D725">
        <v>6264261757</v>
      </c>
      <c r="E725" t="s">
        <v>977</v>
      </c>
      <c r="F725">
        <v>114</v>
      </c>
      <c r="G725" t="s">
        <v>978</v>
      </c>
      <c r="H725" t="s">
        <v>1302</v>
      </c>
      <c r="I725">
        <v>7700000</v>
      </c>
      <c r="J725">
        <v>2017</v>
      </c>
      <c r="K725">
        <v>10</v>
      </c>
      <c r="L725">
        <v>30</v>
      </c>
      <c r="M725">
        <v>1366417754</v>
      </c>
    </row>
    <row r="726" spans="1:13" x14ac:dyDescent="0.3">
      <c r="A726">
        <v>725</v>
      </c>
      <c r="B726" t="s">
        <v>1250</v>
      </c>
      <c r="C726">
        <v>14200000</v>
      </c>
      <c r="D726">
        <v>6973932553</v>
      </c>
      <c r="E726" t="s">
        <v>988</v>
      </c>
      <c r="F726">
        <v>60</v>
      </c>
      <c r="G726" t="s">
        <v>1152</v>
      </c>
      <c r="H726" t="s">
        <v>1304</v>
      </c>
      <c r="I726">
        <v>5</v>
      </c>
      <c r="J726">
        <v>2016</v>
      </c>
      <c r="K726">
        <v>8</v>
      </c>
      <c r="L726">
        <v>3</v>
      </c>
      <c r="M726">
        <v>44385155</v>
      </c>
    </row>
    <row r="727" spans="1:13" x14ac:dyDescent="0.3">
      <c r="A727">
        <v>726</v>
      </c>
      <c r="B727" t="s">
        <v>630</v>
      </c>
      <c r="C727">
        <v>20100000</v>
      </c>
      <c r="D727">
        <v>6618524158</v>
      </c>
      <c r="E727" t="s">
        <v>977</v>
      </c>
      <c r="F727">
        <v>241</v>
      </c>
      <c r="G727" t="s">
        <v>984</v>
      </c>
      <c r="H727" t="s">
        <v>1303</v>
      </c>
      <c r="I727">
        <v>1200000</v>
      </c>
      <c r="J727">
        <v>2010</v>
      </c>
      <c r="K727">
        <v>4</v>
      </c>
      <c r="L727">
        <v>6</v>
      </c>
      <c r="M727">
        <v>328239523</v>
      </c>
    </row>
    <row r="728" spans="1:13" x14ac:dyDescent="0.3">
      <c r="A728">
        <v>727</v>
      </c>
      <c r="B728" t="s">
        <v>596</v>
      </c>
      <c r="C728">
        <v>20400000</v>
      </c>
      <c r="D728">
        <v>4707412332</v>
      </c>
      <c r="E728" t="s">
        <v>988</v>
      </c>
      <c r="F728">
        <v>462</v>
      </c>
      <c r="G728" t="s">
        <v>1152</v>
      </c>
      <c r="H728" t="s">
        <v>1304</v>
      </c>
      <c r="I728">
        <v>1400000</v>
      </c>
      <c r="J728">
        <v>2012</v>
      </c>
      <c r="K728">
        <v>12</v>
      </c>
      <c r="L728">
        <v>11</v>
      </c>
      <c r="M728">
        <v>44385155</v>
      </c>
    </row>
    <row r="729" spans="1:13" x14ac:dyDescent="0.3">
      <c r="A729">
        <v>728</v>
      </c>
      <c r="B729" t="s">
        <v>1133</v>
      </c>
      <c r="C729">
        <v>22300000</v>
      </c>
      <c r="D729">
        <v>8663830163</v>
      </c>
      <c r="E729" t="s">
        <v>994</v>
      </c>
      <c r="F729">
        <v>34</v>
      </c>
      <c r="G729" t="s">
        <v>1134</v>
      </c>
      <c r="H729" t="s">
        <v>1304</v>
      </c>
      <c r="I729">
        <v>35</v>
      </c>
      <c r="J729">
        <v>2019</v>
      </c>
      <c r="K729">
        <v>11</v>
      </c>
      <c r="L729">
        <v>3</v>
      </c>
      <c r="M729">
        <v>67059887</v>
      </c>
    </row>
    <row r="730" spans="1:13" x14ac:dyDescent="0.3">
      <c r="A730">
        <v>729</v>
      </c>
      <c r="B730" t="s">
        <v>522</v>
      </c>
      <c r="C730">
        <v>18600000</v>
      </c>
      <c r="D730">
        <v>7008250496</v>
      </c>
      <c r="E730" t="s">
        <v>1294</v>
      </c>
      <c r="F730">
        <v>457</v>
      </c>
      <c r="G730" t="s">
        <v>984</v>
      </c>
      <c r="H730" t="s">
        <v>1303</v>
      </c>
      <c r="I730">
        <v>2100000</v>
      </c>
      <c r="J730">
        <v>2019</v>
      </c>
      <c r="K730">
        <v>6</v>
      </c>
      <c r="L730">
        <v>19</v>
      </c>
      <c r="M730">
        <v>328239523</v>
      </c>
    </row>
    <row r="731" spans="1:13" x14ac:dyDescent="0.3">
      <c r="A731">
        <v>730</v>
      </c>
      <c r="B731" t="s">
        <v>427</v>
      </c>
      <c r="C731">
        <v>26100000</v>
      </c>
      <c r="D731">
        <v>10435474336</v>
      </c>
      <c r="E731" t="s">
        <v>1044</v>
      </c>
      <c r="F731">
        <v>1619</v>
      </c>
      <c r="G731" t="s">
        <v>984</v>
      </c>
      <c r="H731" t="s">
        <v>1303</v>
      </c>
      <c r="I731">
        <v>3300000</v>
      </c>
      <c r="J731">
        <v>2005</v>
      </c>
      <c r="K731">
        <v>11</v>
      </c>
      <c r="L731">
        <v>19</v>
      </c>
      <c r="M731">
        <v>328239523</v>
      </c>
    </row>
    <row r="732" spans="1:13" x14ac:dyDescent="0.3">
      <c r="A732">
        <v>731</v>
      </c>
      <c r="B732" t="s">
        <v>161</v>
      </c>
      <c r="C732">
        <v>31900000</v>
      </c>
      <c r="D732">
        <v>27330239663</v>
      </c>
      <c r="E732" t="s">
        <v>977</v>
      </c>
      <c r="F732">
        <v>4158</v>
      </c>
      <c r="G732" t="s">
        <v>1294</v>
      </c>
      <c r="H732" t="s">
        <v>1294</v>
      </c>
      <c r="I732">
        <v>11200000</v>
      </c>
      <c r="J732">
        <v>2006</v>
      </c>
      <c r="K732">
        <v>3</v>
      </c>
      <c r="L732">
        <v>18</v>
      </c>
      <c r="M732" t="s">
        <v>1294</v>
      </c>
    </row>
    <row r="733" spans="1:13" x14ac:dyDescent="0.3">
      <c r="A733">
        <v>732</v>
      </c>
      <c r="B733" t="s">
        <v>598</v>
      </c>
      <c r="C733">
        <v>19200000</v>
      </c>
      <c r="D733">
        <v>7590582024</v>
      </c>
      <c r="E733" t="s">
        <v>988</v>
      </c>
      <c r="F733">
        <v>8285</v>
      </c>
      <c r="G733" t="s">
        <v>978</v>
      </c>
      <c r="H733" t="s">
        <v>1302</v>
      </c>
      <c r="I733">
        <v>1400000</v>
      </c>
      <c r="J733">
        <v>2011</v>
      </c>
      <c r="K733">
        <v>1</v>
      </c>
      <c r="L733">
        <v>11</v>
      </c>
      <c r="M733">
        <v>1366417754</v>
      </c>
    </row>
    <row r="734" spans="1:13" x14ac:dyDescent="0.3">
      <c r="A734">
        <v>733</v>
      </c>
      <c r="B734" t="s">
        <v>631</v>
      </c>
      <c r="C734">
        <v>13200000</v>
      </c>
      <c r="D734">
        <v>3789736218</v>
      </c>
      <c r="E734" t="s">
        <v>988</v>
      </c>
      <c r="F734">
        <v>8019</v>
      </c>
      <c r="G734" t="s">
        <v>978</v>
      </c>
      <c r="H734" t="s">
        <v>1302</v>
      </c>
      <c r="I734">
        <v>1200000</v>
      </c>
      <c r="J734">
        <v>2010</v>
      </c>
      <c r="K734">
        <v>12</v>
      </c>
      <c r="L734">
        <v>27</v>
      </c>
      <c r="M734">
        <v>1366417754</v>
      </c>
    </row>
    <row r="735" spans="1:13" x14ac:dyDescent="0.3">
      <c r="A735">
        <v>734</v>
      </c>
      <c r="B735" t="s">
        <v>132</v>
      </c>
      <c r="C735">
        <v>19600000</v>
      </c>
      <c r="D735">
        <v>13930021471</v>
      </c>
      <c r="E735" t="s">
        <v>992</v>
      </c>
      <c r="F735">
        <v>18661</v>
      </c>
      <c r="G735" t="s">
        <v>984</v>
      </c>
      <c r="H735" t="s">
        <v>1303</v>
      </c>
      <c r="I735">
        <v>13200000</v>
      </c>
      <c r="J735">
        <v>2013</v>
      </c>
      <c r="K735">
        <v>11</v>
      </c>
      <c r="L735">
        <v>13</v>
      </c>
      <c r="M735">
        <v>328239523</v>
      </c>
    </row>
    <row r="736" spans="1:13" x14ac:dyDescent="0.3">
      <c r="A736">
        <v>735</v>
      </c>
      <c r="B736" t="s">
        <v>179</v>
      </c>
      <c r="C736">
        <v>15200000</v>
      </c>
      <c r="D736">
        <v>7151683497</v>
      </c>
      <c r="E736" t="s">
        <v>988</v>
      </c>
      <c r="F736">
        <v>11099</v>
      </c>
      <c r="G736" t="s">
        <v>978</v>
      </c>
      <c r="H736" t="s">
        <v>1302</v>
      </c>
      <c r="I736">
        <v>10100000</v>
      </c>
      <c r="J736">
        <v>2014</v>
      </c>
      <c r="K736">
        <v>5</v>
      </c>
      <c r="L736">
        <v>2</v>
      </c>
      <c r="M736">
        <v>1366417754</v>
      </c>
    </row>
    <row r="737" spans="1:13" x14ac:dyDescent="0.3">
      <c r="A737">
        <v>736</v>
      </c>
      <c r="B737" t="s">
        <v>148</v>
      </c>
      <c r="C737">
        <v>57200000</v>
      </c>
      <c r="D737">
        <v>28837144516</v>
      </c>
      <c r="E737" t="s">
        <v>977</v>
      </c>
      <c r="F737">
        <v>3882</v>
      </c>
      <c r="G737" t="s">
        <v>978</v>
      </c>
      <c r="H737" t="s">
        <v>1302</v>
      </c>
      <c r="I737">
        <v>12400000</v>
      </c>
      <c r="J737">
        <v>2009</v>
      </c>
      <c r="K737">
        <v>9</v>
      </c>
      <c r="L737">
        <v>2</v>
      </c>
      <c r="M737">
        <v>1366417754</v>
      </c>
    </row>
    <row r="738" spans="1:13" x14ac:dyDescent="0.3">
      <c r="A738">
        <v>737</v>
      </c>
      <c r="B738" t="s">
        <v>156</v>
      </c>
      <c r="C738">
        <v>15000000</v>
      </c>
      <c r="D738">
        <v>9978734160</v>
      </c>
      <c r="E738" t="s">
        <v>977</v>
      </c>
      <c r="F738">
        <v>2726</v>
      </c>
      <c r="G738" t="s">
        <v>978</v>
      </c>
      <c r="H738" t="s">
        <v>1302</v>
      </c>
      <c r="I738">
        <v>11600000</v>
      </c>
      <c r="J738">
        <v>2014</v>
      </c>
      <c r="K738">
        <v>8</v>
      </c>
      <c r="L738">
        <v>6</v>
      </c>
      <c r="M738">
        <v>1366417754</v>
      </c>
    </row>
    <row r="739" spans="1:13" x14ac:dyDescent="0.3">
      <c r="A739">
        <v>738</v>
      </c>
      <c r="B739" t="s">
        <v>80</v>
      </c>
      <c r="C739">
        <v>38200000</v>
      </c>
      <c r="D739">
        <v>28519339489</v>
      </c>
      <c r="E739" t="s">
        <v>992</v>
      </c>
      <c r="F739">
        <v>24089</v>
      </c>
      <c r="G739" t="s">
        <v>978</v>
      </c>
      <c r="H739" t="s">
        <v>1302</v>
      </c>
      <c r="I739">
        <v>20000000</v>
      </c>
      <c r="J739">
        <v>2014</v>
      </c>
      <c r="K739">
        <v>5</v>
      </c>
      <c r="L739">
        <v>9</v>
      </c>
      <c r="M739">
        <v>1366417754</v>
      </c>
    </row>
    <row r="740" spans="1:13" x14ac:dyDescent="0.3">
      <c r="A740">
        <v>739</v>
      </c>
      <c r="B740" t="s">
        <v>7</v>
      </c>
      <c r="C740">
        <v>83000000</v>
      </c>
      <c r="D740" s="1">
        <v>101000000000</v>
      </c>
      <c r="E740" t="s">
        <v>992</v>
      </c>
      <c r="F740">
        <v>71270</v>
      </c>
      <c r="G740" t="s">
        <v>978</v>
      </c>
      <c r="H740" t="s">
        <v>1302</v>
      </c>
      <c r="I740">
        <v>79600000</v>
      </c>
      <c r="J740">
        <v>2007</v>
      </c>
      <c r="K740">
        <v>8</v>
      </c>
      <c r="L740">
        <v>4</v>
      </c>
      <c r="M740">
        <v>1366417754</v>
      </c>
    </row>
    <row r="741" spans="1:13" x14ac:dyDescent="0.3">
      <c r="A741">
        <v>740</v>
      </c>
      <c r="B741" t="s">
        <v>118</v>
      </c>
      <c r="C741">
        <v>46600000</v>
      </c>
      <c r="D741">
        <v>27286058807</v>
      </c>
      <c r="E741" t="s">
        <v>977</v>
      </c>
      <c r="F741">
        <v>3444</v>
      </c>
      <c r="G741" t="s">
        <v>984</v>
      </c>
      <c r="H741" t="s">
        <v>1303</v>
      </c>
      <c r="I741">
        <v>15100000</v>
      </c>
      <c r="J741">
        <v>2009</v>
      </c>
      <c r="K741">
        <v>9</v>
      </c>
      <c r="L741">
        <v>2</v>
      </c>
      <c r="M741">
        <v>328239523</v>
      </c>
    </row>
    <row r="742" spans="1:13" x14ac:dyDescent="0.3">
      <c r="A742">
        <v>741</v>
      </c>
      <c r="B742" t="s">
        <v>147</v>
      </c>
      <c r="C742">
        <v>18000000</v>
      </c>
      <c r="D742">
        <v>17921124985</v>
      </c>
      <c r="E742" t="s">
        <v>977</v>
      </c>
      <c r="F742">
        <v>5692</v>
      </c>
      <c r="G742" t="s">
        <v>984</v>
      </c>
      <c r="H742" t="s">
        <v>1303</v>
      </c>
      <c r="I742">
        <v>12400000</v>
      </c>
      <c r="J742">
        <v>2014</v>
      </c>
      <c r="K742">
        <v>7</v>
      </c>
      <c r="L742">
        <v>14</v>
      </c>
      <c r="M742">
        <v>328239523</v>
      </c>
    </row>
    <row r="743" spans="1:13" x14ac:dyDescent="0.3">
      <c r="A743">
        <v>742</v>
      </c>
      <c r="B743" t="s">
        <v>143</v>
      </c>
      <c r="C743">
        <v>21700000</v>
      </c>
      <c r="D743">
        <v>9392093496</v>
      </c>
      <c r="E743" t="s">
        <v>994</v>
      </c>
      <c r="F743">
        <v>1390</v>
      </c>
      <c r="G743" t="s">
        <v>1294</v>
      </c>
      <c r="H743" t="s">
        <v>1294</v>
      </c>
      <c r="I743">
        <v>12700000</v>
      </c>
      <c r="J743">
        <v>2019</v>
      </c>
      <c r="K743">
        <v>2</v>
      </c>
      <c r="L743">
        <v>19</v>
      </c>
      <c r="M743" t="s">
        <v>1294</v>
      </c>
    </row>
    <row r="744" spans="1:13" x14ac:dyDescent="0.3">
      <c r="A744">
        <v>743</v>
      </c>
      <c r="B744" t="s">
        <v>233</v>
      </c>
      <c r="C744">
        <v>42500000</v>
      </c>
      <c r="D744">
        <v>26820902622</v>
      </c>
      <c r="E744" t="s">
        <v>977</v>
      </c>
      <c r="F744">
        <v>10938</v>
      </c>
      <c r="G744" t="s">
        <v>978</v>
      </c>
      <c r="H744" t="s">
        <v>1302</v>
      </c>
      <c r="I744">
        <v>7700000</v>
      </c>
      <c r="J744">
        <v>2012</v>
      </c>
      <c r="K744">
        <v>11</v>
      </c>
      <c r="L744">
        <v>22</v>
      </c>
      <c r="M744">
        <v>1366417754</v>
      </c>
    </row>
    <row r="745" spans="1:13" x14ac:dyDescent="0.3">
      <c r="A745">
        <v>744</v>
      </c>
      <c r="B745" t="s">
        <v>32</v>
      </c>
      <c r="C745">
        <v>24000000</v>
      </c>
      <c r="D745">
        <v>13943030228</v>
      </c>
      <c r="E745" t="s">
        <v>1044</v>
      </c>
      <c r="F745">
        <v>901</v>
      </c>
      <c r="G745" t="s">
        <v>1019</v>
      </c>
      <c r="H745" t="s">
        <v>1305</v>
      </c>
      <c r="I745">
        <v>36500000</v>
      </c>
      <c r="J745">
        <v>2020</v>
      </c>
      <c r="K745">
        <v>5</v>
      </c>
      <c r="L745">
        <v>18</v>
      </c>
      <c r="M745">
        <v>212559417</v>
      </c>
    </row>
    <row r="746" spans="1:13" x14ac:dyDescent="0.3">
      <c r="A746">
        <v>745</v>
      </c>
      <c r="B746" t="s">
        <v>342</v>
      </c>
      <c r="C746">
        <v>30100000</v>
      </c>
      <c r="D746">
        <v>19607009165</v>
      </c>
      <c r="E746" t="s">
        <v>977</v>
      </c>
      <c r="F746">
        <v>11501</v>
      </c>
      <c r="G746" t="s">
        <v>1101</v>
      </c>
      <c r="H746" t="s">
        <v>1304</v>
      </c>
      <c r="I746">
        <v>4800000</v>
      </c>
      <c r="J746">
        <v>2007</v>
      </c>
      <c r="K746">
        <v>7</v>
      </c>
      <c r="L746">
        <v>12</v>
      </c>
      <c r="M746">
        <v>17332850</v>
      </c>
    </row>
    <row r="747" spans="1:13" x14ac:dyDescent="0.3">
      <c r="A747">
        <v>746</v>
      </c>
      <c r="B747" t="s">
        <v>1016</v>
      </c>
      <c r="C747">
        <v>75000000</v>
      </c>
      <c r="D747">
        <v>0</v>
      </c>
      <c r="E747" t="s">
        <v>1294</v>
      </c>
      <c r="F747">
        <v>3</v>
      </c>
      <c r="G747" t="s">
        <v>984</v>
      </c>
      <c r="H747" t="s">
        <v>1303</v>
      </c>
      <c r="I747">
        <v>0.77</v>
      </c>
      <c r="J747">
        <v>2006</v>
      </c>
      <c r="K747">
        <v>1</v>
      </c>
      <c r="L747">
        <v>30</v>
      </c>
      <c r="M747">
        <v>328239523</v>
      </c>
    </row>
    <row r="748" spans="1:13" x14ac:dyDescent="0.3">
      <c r="A748">
        <v>747</v>
      </c>
      <c r="B748" t="s">
        <v>497</v>
      </c>
      <c r="C748">
        <v>18100000</v>
      </c>
      <c r="D748">
        <v>9983065083</v>
      </c>
      <c r="E748" t="s">
        <v>996</v>
      </c>
      <c r="F748">
        <v>1521</v>
      </c>
      <c r="G748" t="s">
        <v>1134</v>
      </c>
      <c r="H748" t="s">
        <v>1304</v>
      </c>
      <c r="I748">
        <v>2300000</v>
      </c>
      <c r="J748">
        <v>2011</v>
      </c>
      <c r="K748">
        <v>1</v>
      </c>
      <c r="L748">
        <v>9</v>
      </c>
      <c r="M748">
        <v>67059887</v>
      </c>
    </row>
    <row r="749" spans="1:13" x14ac:dyDescent="0.3">
      <c r="A749">
        <v>748</v>
      </c>
      <c r="B749" t="s">
        <v>241</v>
      </c>
      <c r="C749">
        <v>16600000</v>
      </c>
      <c r="D749">
        <v>9439857193</v>
      </c>
      <c r="E749" t="s">
        <v>988</v>
      </c>
      <c r="F749">
        <v>20102</v>
      </c>
      <c r="G749" t="s">
        <v>978</v>
      </c>
      <c r="H749" t="s">
        <v>1302</v>
      </c>
      <c r="I749">
        <v>7400000</v>
      </c>
      <c r="J749">
        <v>2011</v>
      </c>
      <c r="K749">
        <v>9</v>
      </c>
      <c r="L749">
        <v>29</v>
      </c>
      <c r="M749">
        <v>1366417754</v>
      </c>
    </row>
    <row r="750" spans="1:13" x14ac:dyDescent="0.3">
      <c r="A750">
        <v>749</v>
      </c>
      <c r="B750" t="s">
        <v>1278</v>
      </c>
      <c r="C750">
        <v>13000000</v>
      </c>
      <c r="D750">
        <v>5057163256</v>
      </c>
      <c r="E750" t="s">
        <v>988</v>
      </c>
      <c r="F750">
        <v>8</v>
      </c>
      <c r="G750" t="s">
        <v>978</v>
      </c>
      <c r="H750" t="s">
        <v>1302</v>
      </c>
      <c r="I750">
        <v>0.1</v>
      </c>
      <c r="J750">
        <v>2021</v>
      </c>
      <c r="K750">
        <v>3</v>
      </c>
      <c r="L750">
        <v>18</v>
      </c>
      <c r="M750">
        <v>1366417754</v>
      </c>
    </row>
    <row r="751" spans="1:13" x14ac:dyDescent="0.3">
      <c r="A751">
        <v>750</v>
      </c>
      <c r="B751" t="s">
        <v>455</v>
      </c>
      <c r="C751">
        <v>15200000</v>
      </c>
      <c r="D751">
        <v>6391679636</v>
      </c>
      <c r="E751" t="s">
        <v>977</v>
      </c>
      <c r="F751">
        <v>5056</v>
      </c>
      <c r="G751" t="s">
        <v>978</v>
      </c>
      <c r="H751" t="s">
        <v>1302</v>
      </c>
      <c r="I751">
        <v>2800000</v>
      </c>
      <c r="J751">
        <v>2012</v>
      </c>
      <c r="K751">
        <v>3</v>
      </c>
      <c r="L751">
        <v>16</v>
      </c>
      <c r="M751">
        <v>1366417754</v>
      </c>
    </row>
    <row r="752" spans="1:13" x14ac:dyDescent="0.3">
      <c r="A752">
        <v>751</v>
      </c>
      <c r="B752" t="s">
        <v>178</v>
      </c>
      <c r="C752">
        <v>33700000</v>
      </c>
      <c r="D752">
        <v>23492684419</v>
      </c>
      <c r="E752" t="s">
        <v>996</v>
      </c>
      <c r="F752">
        <v>3366</v>
      </c>
      <c r="G752" t="s">
        <v>984</v>
      </c>
      <c r="H752" t="s">
        <v>1303</v>
      </c>
      <c r="I752">
        <v>10100000</v>
      </c>
      <c r="J752">
        <v>2013</v>
      </c>
      <c r="K752">
        <v>1</v>
      </c>
      <c r="L752">
        <v>20</v>
      </c>
      <c r="M752">
        <v>328239523</v>
      </c>
    </row>
    <row r="753" spans="1:13" x14ac:dyDescent="0.3">
      <c r="A753">
        <v>752</v>
      </c>
      <c r="B753" t="s">
        <v>216</v>
      </c>
      <c r="C753">
        <v>22500000</v>
      </c>
      <c r="D753">
        <v>13835173331</v>
      </c>
      <c r="E753" t="s">
        <v>996</v>
      </c>
      <c r="F753">
        <v>3315</v>
      </c>
      <c r="G753" t="s">
        <v>984</v>
      </c>
      <c r="H753" t="s">
        <v>1303</v>
      </c>
      <c r="I753">
        <v>8400000</v>
      </c>
      <c r="J753">
        <v>2009</v>
      </c>
      <c r="K753">
        <v>11</v>
      </c>
      <c r="L753">
        <v>28</v>
      </c>
      <c r="M753">
        <v>328239523</v>
      </c>
    </row>
    <row r="754" spans="1:13" x14ac:dyDescent="0.3">
      <c r="A754">
        <v>753</v>
      </c>
      <c r="B754" t="s">
        <v>6</v>
      </c>
      <c r="C754">
        <v>32000000</v>
      </c>
      <c r="D754">
        <v>26800674545</v>
      </c>
      <c r="E754" t="s">
        <v>988</v>
      </c>
      <c r="F754">
        <v>44892</v>
      </c>
      <c r="G754" t="s">
        <v>978</v>
      </c>
      <c r="H754" t="s">
        <v>1302</v>
      </c>
      <c r="I754">
        <v>80000000</v>
      </c>
      <c r="J754">
        <v>2006</v>
      </c>
      <c r="K754">
        <v>5</v>
      </c>
      <c r="L754">
        <v>19</v>
      </c>
      <c r="M754">
        <v>1366417754</v>
      </c>
    </row>
    <row r="755" spans="1:13" x14ac:dyDescent="0.3">
      <c r="A755">
        <v>754</v>
      </c>
      <c r="B755" t="s">
        <v>186</v>
      </c>
      <c r="C755">
        <v>21800000</v>
      </c>
      <c r="D755">
        <v>4469711607</v>
      </c>
      <c r="E755" t="s">
        <v>994</v>
      </c>
      <c r="F755">
        <v>257</v>
      </c>
      <c r="G755" t="s">
        <v>984</v>
      </c>
      <c r="H755" t="s">
        <v>1303</v>
      </c>
      <c r="I755">
        <v>9500000</v>
      </c>
      <c r="J755">
        <v>2008</v>
      </c>
      <c r="K755">
        <v>4</v>
      </c>
      <c r="L755">
        <v>11</v>
      </c>
      <c r="M755">
        <v>328239523</v>
      </c>
    </row>
    <row r="756" spans="1:13" x14ac:dyDescent="0.3">
      <c r="A756">
        <v>755</v>
      </c>
      <c r="B756" t="s">
        <v>1267</v>
      </c>
      <c r="C756">
        <v>13300000</v>
      </c>
      <c r="D756">
        <v>3364230487</v>
      </c>
      <c r="E756" t="s">
        <v>994</v>
      </c>
      <c r="F756">
        <v>3</v>
      </c>
      <c r="G756" t="s">
        <v>1294</v>
      </c>
      <c r="H756" t="s">
        <v>1294</v>
      </c>
      <c r="I756">
        <v>0.1</v>
      </c>
      <c r="J756">
        <v>2007</v>
      </c>
      <c r="K756">
        <v>3</v>
      </c>
      <c r="L756">
        <v>17</v>
      </c>
      <c r="M756" t="s">
        <v>1294</v>
      </c>
    </row>
    <row r="757" spans="1:13" x14ac:dyDescent="0.3">
      <c r="A757">
        <v>756</v>
      </c>
      <c r="B757" t="s">
        <v>789</v>
      </c>
      <c r="C757">
        <v>17300000</v>
      </c>
      <c r="D757">
        <v>902225615</v>
      </c>
      <c r="E757" t="s">
        <v>982</v>
      </c>
      <c r="F757">
        <v>287</v>
      </c>
      <c r="G757" t="s">
        <v>978</v>
      </c>
      <c r="H757" t="s">
        <v>1302</v>
      </c>
      <c r="I757">
        <v>40200</v>
      </c>
      <c r="J757">
        <v>2016</v>
      </c>
      <c r="K757">
        <v>9</v>
      </c>
      <c r="L757">
        <v>5</v>
      </c>
      <c r="M757">
        <v>1366417754</v>
      </c>
    </row>
    <row r="758" spans="1:13" x14ac:dyDescent="0.3">
      <c r="A758">
        <v>757</v>
      </c>
      <c r="B758" t="s">
        <v>414</v>
      </c>
      <c r="C758">
        <v>14700000</v>
      </c>
      <c r="D758">
        <v>4029253667</v>
      </c>
      <c r="E758" t="s">
        <v>990</v>
      </c>
      <c r="F758">
        <v>43564</v>
      </c>
      <c r="G758" t="s">
        <v>978</v>
      </c>
      <c r="H758" t="s">
        <v>1302</v>
      </c>
      <c r="I758">
        <v>3600000</v>
      </c>
      <c r="J758">
        <v>2015</v>
      </c>
      <c r="K758">
        <v>6</v>
      </c>
      <c r="L758">
        <v>22</v>
      </c>
      <c r="M758">
        <v>1366417754</v>
      </c>
    </row>
    <row r="759" spans="1:13" x14ac:dyDescent="0.3">
      <c r="A759">
        <v>758</v>
      </c>
      <c r="B759" t="s">
        <v>23</v>
      </c>
      <c r="C759">
        <v>22600000</v>
      </c>
      <c r="D759">
        <v>20847038152</v>
      </c>
      <c r="E759" t="s">
        <v>994</v>
      </c>
      <c r="F759">
        <v>60964</v>
      </c>
      <c r="G759" t="s">
        <v>978</v>
      </c>
      <c r="H759" t="s">
        <v>1302</v>
      </c>
      <c r="I759">
        <v>47100000</v>
      </c>
      <c r="J759">
        <v>2016</v>
      </c>
      <c r="K759">
        <v>2</v>
      </c>
      <c r="L759">
        <v>26</v>
      </c>
      <c r="M759">
        <v>1366417754</v>
      </c>
    </row>
    <row r="760" spans="1:13" x14ac:dyDescent="0.3">
      <c r="A760">
        <v>759</v>
      </c>
      <c r="B760" t="s">
        <v>109</v>
      </c>
      <c r="C760">
        <v>24100000</v>
      </c>
      <c r="D760">
        <v>329774870</v>
      </c>
      <c r="E760" t="s">
        <v>1294</v>
      </c>
      <c r="F760">
        <v>36</v>
      </c>
      <c r="G760" t="s">
        <v>984</v>
      </c>
      <c r="H760" t="s">
        <v>1303</v>
      </c>
      <c r="I760">
        <v>15800000</v>
      </c>
      <c r="J760">
        <v>2019</v>
      </c>
      <c r="K760">
        <v>5</v>
      </c>
      <c r="L760">
        <v>31</v>
      </c>
      <c r="M760">
        <v>328239523</v>
      </c>
    </row>
    <row r="761" spans="1:13" x14ac:dyDescent="0.3">
      <c r="A761">
        <v>760</v>
      </c>
      <c r="B761" t="s">
        <v>794</v>
      </c>
      <c r="C761">
        <v>14300000</v>
      </c>
      <c r="D761">
        <v>4776507159</v>
      </c>
      <c r="E761" t="s">
        <v>994</v>
      </c>
      <c r="F761">
        <v>576</v>
      </c>
      <c r="G761" t="s">
        <v>984</v>
      </c>
      <c r="H761" t="s">
        <v>1303</v>
      </c>
      <c r="I761">
        <v>19900</v>
      </c>
      <c r="J761">
        <v>2014</v>
      </c>
      <c r="K761">
        <v>7</v>
      </c>
      <c r="L761">
        <v>8</v>
      </c>
      <c r="M761">
        <v>328239523</v>
      </c>
    </row>
    <row r="762" spans="1:13" x14ac:dyDescent="0.3">
      <c r="A762">
        <v>761</v>
      </c>
      <c r="B762" t="s">
        <v>888</v>
      </c>
      <c r="C762">
        <v>15500000</v>
      </c>
      <c r="D762">
        <v>5070970714</v>
      </c>
      <c r="E762" t="s">
        <v>988</v>
      </c>
      <c r="F762">
        <v>0</v>
      </c>
      <c r="G762" t="s">
        <v>1294</v>
      </c>
      <c r="H762" t="s">
        <v>1294</v>
      </c>
      <c r="I762">
        <v>0</v>
      </c>
      <c r="J762">
        <v>2017</v>
      </c>
      <c r="K762">
        <v>7</v>
      </c>
      <c r="L762">
        <v>27</v>
      </c>
      <c r="M762" t="s">
        <v>1294</v>
      </c>
    </row>
    <row r="763" spans="1:13" x14ac:dyDescent="0.3">
      <c r="A763">
        <v>762</v>
      </c>
      <c r="B763" t="s">
        <v>49</v>
      </c>
      <c r="C763">
        <v>39200000</v>
      </c>
      <c r="D763">
        <v>44900897958</v>
      </c>
      <c r="E763" t="s">
        <v>990</v>
      </c>
      <c r="F763">
        <v>744</v>
      </c>
      <c r="G763" t="s">
        <v>1017</v>
      </c>
      <c r="H763" t="s">
        <v>1303</v>
      </c>
      <c r="I763">
        <v>26900000</v>
      </c>
      <c r="J763">
        <v>2006</v>
      </c>
      <c r="K763">
        <v>9</v>
      </c>
      <c r="L763">
        <v>8</v>
      </c>
      <c r="M763">
        <v>36991981</v>
      </c>
    </row>
    <row r="764" spans="1:13" x14ac:dyDescent="0.3">
      <c r="A764">
        <v>763</v>
      </c>
      <c r="B764" t="s">
        <v>294</v>
      </c>
      <c r="C764">
        <v>19000000</v>
      </c>
      <c r="D764">
        <v>7229175322</v>
      </c>
      <c r="E764" t="s">
        <v>1011</v>
      </c>
      <c r="F764">
        <v>903</v>
      </c>
      <c r="G764" t="s">
        <v>1058</v>
      </c>
      <c r="H764" t="s">
        <v>1305</v>
      </c>
      <c r="I764">
        <v>5900000</v>
      </c>
      <c r="J764">
        <v>2018</v>
      </c>
      <c r="K764">
        <v>1</v>
      </c>
      <c r="L764">
        <v>23</v>
      </c>
      <c r="M764">
        <v>126014024</v>
      </c>
    </row>
    <row r="765" spans="1:13" x14ac:dyDescent="0.3">
      <c r="A765">
        <v>764</v>
      </c>
      <c r="B765" t="s">
        <v>99</v>
      </c>
      <c r="C765">
        <v>14100000</v>
      </c>
      <c r="D765">
        <v>5405563355</v>
      </c>
      <c r="E765" t="s">
        <v>1139</v>
      </c>
      <c r="F765">
        <v>855</v>
      </c>
      <c r="G765" t="s">
        <v>1062</v>
      </c>
      <c r="H765" t="s">
        <v>1302</v>
      </c>
      <c r="I765">
        <v>17000000</v>
      </c>
      <c r="J765">
        <v>2007</v>
      </c>
      <c r="K765">
        <v>9</v>
      </c>
      <c r="L765">
        <v>12</v>
      </c>
      <c r="M765">
        <v>9770529</v>
      </c>
    </row>
    <row r="766" spans="1:13" x14ac:dyDescent="0.3">
      <c r="A766">
        <v>765</v>
      </c>
      <c r="B766" t="s">
        <v>94</v>
      </c>
      <c r="C766">
        <v>13000000</v>
      </c>
      <c r="D766">
        <v>6270909026</v>
      </c>
      <c r="E766" t="s">
        <v>988</v>
      </c>
      <c r="F766">
        <v>1299</v>
      </c>
      <c r="G766" t="s">
        <v>1058</v>
      </c>
      <c r="H766" t="s">
        <v>1305</v>
      </c>
      <c r="I766">
        <v>17700000</v>
      </c>
      <c r="J766">
        <v>2017</v>
      </c>
      <c r="K766">
        <v>3</v>
      </c>
      <c r="L766">
        <v>18</v>
      </c>
      <c r="M766">
        <v>126014024</v>
      </c>
    </row>
    <row r="767" spans="1:13" x14ac:dyDescent="0.3">
      <c r="A767">
        <v>766</v>
      </c>
      <c r="B767" t="s">
        <v>1079</v>
      </c>
      <c r="C767">
        <v>34600000</v>
      </c>
      <c r="D767">
        <v>21306315429</v>
      </c>
      <c r="E767" t="s">
        <v>977</v>
      </c>
      <c r="F767">
        <v>0</v>
      </c>
      <c r="G767" t="s">
        <v>1294</v>
      </c>
      <c r="H767" t="s">
        <v>1294</v>
      </c>
      <c r="I767">
        <v>0</v>
      </c>
      <c r="J767">
        <v>2020</v>
      </c>
      <c r="K767">
        <v>7</v>
      </c>
      <c r="L767">
        <v>9</v>
      </c>
      <c r="M767" t="s">
        <v>1294</v>
      </c>
    </row>
    <row r="768" spans="1:13" x14ac:dyDescent="0.3">
      <c r="A768">
        <v>767</v>
      </c>
      <c r="B768" t="s">
        <v>1021</v>
      </c>
      <c r="C768">
        <v>61000000</v>
      </c>
      <c r="D768">
        <v>29533230328</v>
      </c>
      <c r="E768" t="s">
        <v>977</v>
      </c>
      <c r="F768">
        <v>13</v>
      </c>
      <c r="G768" t="s">
        <v>978</v>
      </c>
      <c r="H768" t="s">
        <v>1302</v>
      </c>
      <c r="I768">
        <v>0.48</v>
      </c>
      <c r="J768">
        <v>2018</v>
      </c>
      <c r="K768">
        <v>8</v>
      </c>
      <c r="L768">
        <v>3</v>
      </c>
      <c r="M768">
        <v>1366417754</v>
      </c>
    </row>
    <row r="769" spans="1:13" x14ac:dyDescent="0.3">
      <c r="A769">
        <v>768</v>
      </c>
      <c r="B769" t="s">
        <v>577</v>
      </c>
      <c r="C769">
        <v>16200000</v>
      </c>
      <c r="D769">
        <v>2990185467</v>
      </c>
      <c r="E769" t="s">
        <v>1044</v>
      </c>
      <c r="F769">
        <v>1930</v>
      </c>
      <c r="G769" t="s">
        <v>1019</v>
      </c>
      <c r="H769" t="s">
        <v>1305</v>
      </c>
      <c r="I769">
        <v>1600000</v>
      </c>
      <c r="J769">
        <v>2012</v>
      </c>
      <c r="K769">
        <v>1</v>
      </c>
      <c r="L769">
        <v>16</v>
      </c>
      <c r="M769">
        <v>212559417</v>
      </c>
    </row>
    <row r="770" spans="1:13" x14ac:dyDescent="0.3">
      <c r="A770">
        <v>769</v>
      </c>
      <c r="B770" t="s">
        <v>107</v>
      </c>
      <c r="C770">
        <v>17300000</v>
      </c>
      <c r="D770">
        <v>11371738047</v>
      </c>
      <c r="E770" t="s">
        <v>988</v>
      </c>
      <c r="F770">
        <v>4778</v>
      </c>
      <c r="G770" t="s">
        <v>978</v>
      </c>
      <c r="H770" t="s">
        <v>1302</v>
      </c>
      <c r="I770">
        <v>15900000</v>
      </c>
      <c r="J770">
        <v>2014</v>
      </c>
      <c r="K770">
        <v>8</v>
      </c>
      <c r="L770">
        <v>4</v>
      </c>
      <c r="M770">
        <v>1366417754</v>
      </c>
    </row>
    <row r="771" spans="1:13" x14ac:dyDescent="0.3">
      <c r="A771">
        <v>770</v>
      </c>
      <c r="B771" t="s">
        <v>317</v>
      </c>
      <c r="C771">
        <v>19600000</v>
      </c>
      <c r="D771">
        <v>8779729549</v>
      </c>
      <c r="E771" t="s">
        <v>988</v>
      </c>
      <c r="F771">
        <v>1306</v>
      </c>
      <c r="G771" t="s">
        <v>1085</v>
      </c>
      <c r="H771" t="s">
        <v>1304</v>
      </c>
      <c r="I771">
        <v>5300000</v>
      </c>
      <c r="J771">
        <v>2020</v>
      </c>
      <c r="K771">
        <v>4</v>
      </c>
      <c r="L771">
        <v>17</v>
      </c>
      <c r="M771">
        <v>83429615</v>
      </c>
    </row>
    <row r="772" spans="1:13" x14ac:dyDescent="0.3">
      <c r="A772">
        <v>771</v>
      </c>
      <c r="B772" t="s">
        <v>612</v>
      </c>
      <c r="C772">
        <v>12800000</v>
      </c>
      <c r="D772">
        <v>3632438963</v>
      </c>
      <c r="E772" t="s">
        <v>988</v>
      </c>
      <c r="F772">
        <v>233</v>
      </c>
      <c r="G772" t="s">
        <v>1013</v>
      </c>
      <c r="H772" t="s">
        <v>1304</v>
      </c>
      <c r="I772">
        <v>1300000</v>
      </c>
      <c r="J772">
        <v>2014</v>
      </c>
      <c r="K772">
        <v>9</v>
      </c>
      <c r="L772">
        <v>2</v>
      </c>
      <c r="M772">
        <v>66834405</v>
      </c>
    </row>
    <row r="773" spans="1:13" x14ac:dyDescent="0.3">
      <c r="A773">
        <v>772</v>
      </c>
      <c r="B773" t="s">
        <v>611</v>
      </c>
      <c r="C773">
        <v>15500000</v>
      </c>
      <c r="D773">
        <v>6396049701</v>
      </c>
      <c r="E773" t="s">
        <v>988</v>
      </c>
      <c r="F773">
        <v>417</v>
      </c>
      <c r="G773" t="s">
        <v>984</v>
      </c>
      <c r="H773" t="s">
        <v>1303</v>
      </c>
      <c r="I773">
        <v>1300000</v>
      </c>
      <c r="J773">
        <v>2010</v>
      </c>
      <c r="K773">
        <v>10</v>
      </c>
      <c r="L773">
        <v>14</v>
      </c>
      <c r="M773">
        <v>328239523</v>
      </c>
    </row>
    <row r="774" spans="1:13" x14ac:dyDescent="0.3">
      <c r="A774">
        <v>773</v>
      </c>
      <c r="B774" t="s">
        <v>1096</v>
      </c>
      <c r="C774">
        <v>30200000</v>
      </c>
      <c r="D774">
        <v>15199330166</v>
      </c>
      <c r="E774" t="s">
        <v>1044</v>
      </c>
      <c r="F774">
        <v>2</v>
      </c>
      <c r="G774" t="s">
        <v>984</v>
      </c>
      <c r="H774" t="s">
        <v>1303</v>
      </c>
      <c r="I774">
        <v>0</v>
      </c>
      <c r="J774">
        <v>2008</v>
      </c>
      <c r="K774">
        <v>6</v>
      </c>
      <c r="L774">
        <v>27</v>
      </c>
      <c r="M774">
        <v>328239523</v>
      </c>
    </row>
    <row r="775" spans="1:13" x14ac:dyDescent="0.3">
      <c r="A775">
        <v>774</v>
      </c>
      <c r="B775" t="s">
        <v>500</v>
      </c>
      <c r="C775">
        <v>17700000</v>
      </c>
      <c r="D775">
        <v>3647267655</v>
      </c>
      <c r="E775" t="s">
        <v>994</v>
      </c>
      <c r="F775">
        <v>739</v>
      </c>
      <c r="G775" t="s">
        <v>1081</v>
      </c>
      <c r="H775" t="s">
        <v>1302</v>
      </c>
      <c r="I775">
        <v>2300000</v>
      </c>
      <c r="J775">
        <v>2016</v>
      </c>
      <c r="K775">
        <v>10</v>
      </c>
      <c r="L775">
        <v>27</v>
      </c>
      <c r="M775">
        <v>270203917</v>
      </c>
    </row>
    <row r="776" spans="1:13" x14ac:dyDescent="0.3">
      <c r="A776">
        <v>775</v>
      </c>
      <c r="B776" t="s">
        <v>629</v>
      </c>
      <c r="C776">
        <v>21100000</v>
      </c>
      <c r="D776">
        <v>5783557209</v>
      </c>
      <c r="E776" t="s">
        <v>1011</v>
      </c>
      <c r="F776">
        <v>4728</v>
      </c>
      <c r="G776" t="s">
        <v>984</v>
      </c>
      <c r="H776" t="s">
        <v>1303</v>
      </c>
      <c r="I776">
        <v>1200000</v>
      </c>
      <c r="J776">
        <v>2016</v>
      </c>
      <c r="K776">
        <v>1</v>
      </c>
      <c r="L776">
        <v>22</v>
      </c>
      <c r="M776">
        <v>328239523</v>
      </c>
    </row>
    <row r="777" spans="1:13" x14ac:dyDescent="0.3">
      <c r="A777">
        <v>776</v>
      </c>
      <c r="B777" t="s">
        <v>55</v>
      </c>
      <c r="C777">
        <v>52900000</v>
      </c>
      <c r="D777">
        <v>29884657286</v>
      </c>
      <c r="E777" t="s">
        <v>977</v>
      </c>
      <c r="F777">
        <v>216</v>
      </c>
      <c r="G777" t="s">
        <v>984</v>
      </c>
      <c r="H777" t="s">
        <v>1303</v>
      </c>
      <c r="I777">
        <v>25400000</v>
      </c>
      <c r="J777">
        <v>2006</v>
      </c>
      <c r="K777">
        <v>9</v>
      </c>
      <c r="L777">
        <v>20</v>
      </c>
      <c r="M777">
        <v>328239523</v>
      </c>
    </row>
    <row r="778" spans="1:13" x14ac:dyDescent="0.3">
      <c r="A778">
        <v>777</v>
      </c>
      <c r="B778" t="s">
        <v>116</v>
      </c>
      <c r="C778">
        <v>25600000</v>
      </c>
      <c r="D778">
        <v>25592378292</v>
      </c>
      <c r="E778" t="s">
        <v>977</v>
      </c>
      <c r="F778">
        <v>287</v>
      </c>
      <c r="G778" t="s">
        <v>984</v>
      </c>
      <c r="H778" t="s">
        <v>1303</v>
      </c>
      <c r="I778">
        <v>15300000</v>
      </c>
      <c r="J778">
        <v>2009</v>
      </c>
      <c r="K778">
        <v>5</v>
      </c>
      <c r="L778">
        <v>12</v>
      </c>
      <c r="M778">
        <v>328239523</v>
      </c>
    </row>
    <row r="779" spans="1:13" x14ac:dyDescent="0.3">
      <c r="A779">
        <v>778</v>
      </c>
      <c r="B779" t="s">
        <v>547</v>
      </c>
      <c r="C779">
        <v>14900000</v>
      </c>
      <c r="D779">
        <v>5956193599</v>
      </c>
      <c r="E779" t="s">
        <v>996</v>
      </c>
      <c r="F779">
        <v>4175</v>
      </c>
      <c r="G779" t="s">
        <v>1019</v>
      </c>
      <c r="H779" t="s">
        <v>1305</v>
      </c>
      <c r="I779">
        <v>1900000</v>
      </c>
      <c r="J779">
        <v>2011</v>
      </c>
      <c r="K779">
        <v>7</v>
      </c>
      <c r="L779">
        <v>13</v>
      </c>
      <c r="M779">
        <v>212559417</v>
      </c>
    </row>
    <row r="780" spans="1:13" x14ac:dyDescent="0.3">
      <c r="A780">
        <v>779</v>
      </c>
      <c r="B780" t="s">
        <v>584</v>
      </c>
      <c r="C780">
        <v>15700000</v>
      </c>
      <c r="D780">
        <v>6626563508</v>
      </c>
      <c r="E780" t="s">
        <v>977</v>
      </c>
      <c r="F780">
        <v>19703</v>
      </c>
      <c r="G780" t="s">
        <v>978</v>
      </c>
      <c r="H780" t="s">
        <v>1302</v>
      </c>
      <c r="I780">
        <v>1500000</v>
      </c>
      <c r="J780">
        <v>2014</v>
      </c>
      <c r="K780">
        <v>7</v>
      </c>
      <c r="L780">
        <v>18</v>
      </c>
      <c r="M780">
        <v>1366417754</v>
      </c>
    </row>
    <row r="781" spans="1:13" x14ac:dyDescent="0.3">
      <c r="A781">
        <v>780</v>
      </c>
      <c r="B781" t="s">
        <v>643</v>
      </c>
      <c r="C781">
        <v>23000000</v>
      </c>
      <c r="D781">
        <v>3378047383</v>
      </c>
      <c r="E781" t="s">
        <v>1088</v>
      </c>
      <c r="F781">
        <v>5041</v>
      </c>
      <c r="G781" t="s">
        <v>978</v>
      </c>
      <c r="H781" t="s">
        <v>1302</v>
      </c>
      <c r="I781">
        <v>1100000</v>
      </c>
      <c r="J781">
        <v>2015</v>
      </c>
      <c r="K781">
        <v>10</v>
      </c>
      <c r="L781">
        <v>19</v>
      </c>
      <c r="M781">
        <v>1366417754</v>
      </c>
    </row>
    <row r="782" spans="1:13" x14ac:dyDescent="0.3">
      <c r="A782">
        <v>781</v>
      </c>
      <c r="B782" t="s">
        <v>670</v>
      </c>
      <c r="C782">
        <v>16300000</v>
      </c>
      <c r="D782">
        <v>1656452554</v>
      </c>
      <c r="E782" t="s">
        <v>996</v>
      </c>
      <c r="F782">
        <v>989</v>
      </c>
      <c r="G782" t="s">
        <v>984</v>
      </c>
      <c r="H782" t="s">
        <v>1303</v>
      </c>
      <c r="I782">
        <v>861300</v>
      </c>
      <c r="J782">
        <v>2013</v>
      </c>
      <c r="K782">
        <v>10</v>
      </c>
      <c r="L782">
        <v>28</v>
      </c>
      <c r="M782">
        <v>328239523</v>
      </c>
    </row>
    <row r="783" spans="1:13" x14ac:dyDescent="0.3">
      <c r="A783">
        <v>782</v>
      </c>
      <c r="B783" t="s">
        <v>1080</v>
      </c>
      <c r="C783">
        <v>34400000</v>
      </c>
      <c r="D783">
        <v>9690499664</v>
      </c>
      <c r="E783" t="s">
        <v>996</v>
      </c>
      <c r="F783">
        <v>1</v>
      </c>
      <c r="G783" t="s">
        <v>1294</v>
      </c>
      <c r="H783" t="s">
        <v>1294</v>
      </c>
      <c r="I783">
        <v>4</v>
      </c>
      <c r="J783">
        <v>2010</v>
      </c>
      <c r="K783">
        <v>5</v>
      </c>
      <c r="L783">
        <v>19</v>
      </c>
      <c r="M783" t="s">
        <v>1294</v>
      </c>
    </row>
    <row r="784" spans="1:13" x14ac:dyDescent="0.3">
      <c r="A784">
        <v>783</v>
      </c>
      <c r="B784" t="s">
        <v>666</v>
      </c>
      <c r="C784">
        <v>13200000</v>
      </c>
      <c r="D784">
        <v>1138262456</v>
      </c>
      <c r="E784" t="s">
        <v>1088</v>
      </c>
      <c r="F784">
        <v>1022</v>
      </c>
      <c r="G784" t="s">
        <v>978</v>
      </c>
      <c r="H784" t="s">
        <v>1302</v>
      </c>
      <c r="I784">
        <v>888900</v>
      </c>
      <c r="J784">
        <v>2015</v>
      </c>
      <c r="K784">
        <v>11</v>
      </c>
      <c r="L784">
        <v>17</v>
      </c>
      <c r="M784">
        <v>1366417754</v>
      </c>
    </row>
    <row r="785" spans="1:13" x14ac:dyDescent="0.3">
      <c r="A785">
        <v>784</v>
      </c>
      <c r="B785" t="s">
        <v>705</v>
      </c>
      <c r="C785">
        <v>23100000</v>
      </c>
      <c r="D785">
        <v>2551113422</v>
      </c>
      <c r="E785" t="s">
        <v>994</v>
      </c>
      <c r="F785">
        <v>4445</v>
      </c>
      <c r="G785" t="s">
        <v>984</v>
      </c>
      <c r="H785" t="s">
        <v>1303</v>
      </c>
      <c r="I785">
        <v>635800</v>
      </c>
      <c r="J785">
        <v>2006</v>
      </c>
      <c r="K785">
        <v>12</v>
      </c>
      <c r="L785">
        <v>6</v>
      </c>
      <c r="M785">
        <v>328239523</v>
      </c>
    </row>
    <row r="786" spans="1:13" x14ac:dyDescent="0.3">
      <c r="A786">
        <v>785</v>
      </c>
      <c r="B786" t="s">
        <v>593</v>
      </c>
      <c r="C786">
        <v>18800000</v>
      </c>
      <c r="D786">
        <v>3654621568</v>
      </c>
      <c r="E786" t="s">
        <v>990</v>
      </c>
      <c r="F786">
        <v>2072</v>
      </c>
      <c r="G786" t="s">
        <v>984</v>
      </c>
      <c r="H786" t="s">
        <v>1303</v>
      </c>
      <c r="I786">
        <v>1400000</v>
      </c>
      <c r="J786">
        <v>2011</v>
      </c>
      <c r="K786">
        <v>3</v>
      </c>
      <c r="L786">
        <v>1</v>
      </c>
      <c r="M786">
        <v>328239523</v>
      </c>
    </row>
    <row r="787" spans="1:13" x14ac:dyDescent="0.3">
      <c r="A787">
        <v>786</v>
      </c>
      <c r="B787" t="s">
        <v>509</v>
      </c>
      <c r="C787">
        <v>38600000</v>
      </c>
      <c r="D787">
        <v>7339333120</v>
      </c>
      <c r="E787" t="s">
        <v>1067</v>
      </c>
      <c r="F787">
        <v>200933</v>
      </c>
      <c r="G787" t="s">
        <v>984</v>
      </c>
      <c r="H787" t="s">
        <v>1303</v>
      </c>
      <c r="I787">
        <v>2200000</v>
      </c>
      <c r="J787">
        <v>2009</v>
      </c>
      <c r="K787">
        <v>6</v>
      </c>
      <c r="L787">
        <v>23</v>
      </c>
      <c r="M787">
        <v>328239523</v>
      </c>
    </row>
    <row r="788" spans="1:13" x14ac:dyDescent="0.3">
      <c r="A788">
        <v>787</v>
      </c>
      <c r="B788" t="s">
        <v>307</v>
      </c>
      <c r="C788">
        <v>21500000</v>
      </c>
      <c r="D788">
        <v>5890180734</v>
      </c>
      <c r="E788" t="s">
        <v>994</v>
      </c>
      <c r="F788">
        <v>51</v>
      </c>
      <c r="G788" t="s">
        <v>984</v>
      </c>
      <c r="H788" t="s">
        <v>1303</v>
      </c>
      <c r="I788">
        <v>5400000</v>
      </c>
      <c r="J788">
        <v>2018</v>
      </c>
      <c r="K788">
        <v>4</v>
      </c>
      <c r="L788">
        <v>6</v>
      </c>
      <c r="M788">
        <v>328239523</v>
      </c>
    </row>
    <row r="789" spans="1:13" x14ac:dyDescent="0.3">
      <c r="A789">
        <v>788</v>
      </c>
      <c r="B789" t="s">
        <v>499</v>
      </c>
      <c r="C789">
        <v>14500000</v>
      </c>
      <c r="D789">
        <v>8582696157</v>
      </c>
      <c r="E789" t="s">
        <v>988</v>
      </c>
      <c r="F789">
        <v>19201</v>
      </c>
      <c r="G789" t="s">
        <v>984</v>
      </c>
      <c r="H789" t="s">
        <v>1303</v>
      </c>
      <c r="I789">
        <v>2300000</v>
      </c>
      <c r="J789">
        <v>2007</v>
      </c>
      <c r="K789">
        <v>1</v>
      </c>
      <c r="L789">
        <v>3</v>
      </c>
      <c r="M789">
        <v>328239523</v>
      </c>
    </row>
    <row r="790" spans="1:13" x14ac:dyDescent="0.3">
      <c r="A790">
        <v>789</v>
      </c>
      <c r="B790" t="s">
        <v>1166</v>
      </c>
      <c r="C790">
        <v>18800000</v>
      </c>
      <c r="D790">
        <v>7762077012</v>
      </c>
      <c r="E790" t="s">
        <v>1294</v>
      </c>
      <c r="F790">
        <v>2</v>
      </c>
      <c r="G790" t="s">
        <v>1294</v>
      </c>
      <c r="H790" t="s">
        <v>1294</v>
      </c>
      <c r="I790">
        <v>0</v>
      </c>
      <c r="J790">
        <v>2021</v>
      </c>
      <c r="K790">
        <v>12</v>
      </c>
      <c r="L790">
        <v>21</v>
      </c>
      <c r="M790" t="s">
        <v>1294</v>
      </c>
    </row>
    <row r="791" spans="1:13" x14ac:dyDescent="0.3">
      <c r="A791">
        <v>790</v>
      </c>
      <c r="B791" t="s">
        <v>171</v>
      </c>
      <c r="C791">
        <v>16200000</v>
      </c>
      <c r="D791">
        <v>14563841315</v>
      </c>
      <c r="E791" t="s">
        <v>1026</v>
      </c>
      <c r="F791">
        <v>244899</v>
      </c>
      <c r="G791" t="s">
        <v>1048</v>
      </c>
      <c r="H791" t="s">
        <v>1302</v>
      </c>
      <c r="I791">
        <v>10800000</v>
      </c>
      <c r="J791">
        <v>2010</v>
      </c>
      <c r="K791">
        <v>9</v>
      </c>
      <c r="L791">
        <v>27</v>
      </c>
      <c r="M791">
        <v>69625582</v>
      </c>
    </row>
    <row r="792" spans="1:13" x14ac:dyDescent="0.3">
      <c r="A792">
        <v>791</v>
      </c>
      <c r="B792" t="s">
        <v>34</v>
      </c>
      <c r="C792">
        <v>23700000</v>
      </c>
      <c r="D792">
        <v>20289689389</v>
      </c>
      <c r="E792" t="s">
        <v>1128</v>
      </c>
      <c r="F792">
        <v>769</v>
      </c>
      <c r="G792" t="s">
        <v>984</v>
      </c>
      <c r="H792" t="s">
        <v>1303</v>
      </c>
      <c r="I792">
        <v>36200000</v>
      </c>
      <c r="J792">
        <v>2020</v>
      </c>
      <c r="K792">
        <v>8</v>
      </c>
      <c r="L792">
        <v>29</v>
      </c>
      <c r="M792">
        <v>328239523</v>
      </c>
    </row>
    <row r="793" spans="1:13" x14ac:dyDescent="0.3">
      <c r="A793">
        <v>792</v>
      </c>
      <c r="B793" t="s">
        <v>774</v>
      </c>
      <c r="C793">
        <v>18500000</v>
      </c>
      <c r="D793">
        <v>4558380251</v>
      </c>
      <c r="E793" t="s">
        <v>994</v>
      </c>
      <c r="F793">
        <v>712</v>
      </c>
      <c r="G793" t="s">
        <v>1294</v>
      </c>
      <c r="H793" t="s">
        <v>1294</v>
      </c>
      <c r="I793">
        <v>136100</v>
      </c>
      <c r="J793">
        <v>2016</v>
      </c>
      <c r="K793">
        <v>1</v>
      </c>
      <c r="L793">
        <v>10</v>
      </c>
      <c r="M793" t="s">
        <v>1294</v>
      </c>
    </row>
    <row r="794" spans="1:13" x14ac:dyDescent="0.3">
      <c r="A794">
        <v>793</v>
      </c>
      <c r="B794" t="s">
        <v>335</v>
      </c>
      <c r="C794">
        <v>15000000</v>
      </c>
      <c r="D794">
        <v>8658553456</v>
      </c>
      <c r="E794" t="s">
        <v>988</v>
      </c>
      <c r="F794">
        <v>965</v>
      </c>
      <c r="G794" t="s">
        <v>978</v>
      </c>
      <c r="H794" t="s">
        <v>1302</v>
      </c>
      <c r="I794">
        <v>4900000</v>
      </c>
      <c r="J794">
        <v>2016</v>
      </c>
      <c r="K794">
        <v>10</v>
      </c>
      <c r="L794">
        <v>9</v>
      </c>
      <c r="M794">
        <v>1366417754</v>
      </c>
    </row>
    <row r="795" spans="1:13" x14ac:dyDescent="0.3">
      <c r="A795">
        <v>794</v>
      </c>
      <c r="B795" t="s">
        <v>399</v>
      </c>
      <c r="C795">
        <v>22600000</v>
      </c>
      <c r="D795">
        <v>14231943358</v>
      </c>
      <c r="E795" t="s">
        <v>977</v>
      </c>
      <c r="F795">
        <v>180</v>
      </c>
      <c r="G795" t="s">
        <v>984</v>
      </c>
      <c r="H795" t="s">
        <v>1303</v>
      </c>
      <c r="I795">
        <v>3900000</v>
      </c>
      <c r="J795">
        <v>2012</v>
      </c>
      <c r="K795">
        <v>9</v>
      </c>
      <c r="L795">
        <v>22</v>
      </c>
      <c r="M795">
        <v>328239523</v>
      </c>
    </row>
    <row r="796" spans="1:13" x14ac:dyDescent="0.3">
      <c r="A796">
        <v>795</v>
      </c>
      <c r="B796" t="s">
        <v>481</v>
      </c>
      <c r="C796">
        <v>13200000</v>
      </c>
      <c r="D796">
        <v>5263540904</v>
      </c>
      <c r="E796" t="s">
        <v>990</v>
      </c>
      <c r="F796">
        <v>4279</v>
      </c>
      <c r="G796" t="s">
        <v>984</v>
      </c>
      <c r="H796" t="s">
        <v>1303</v>
      </c>
      <c r="I796">
        <v>2500000</v>
      </c>
      <c r="J796">
        <v>2011</v>
      </c>
      <c r="K796">
        <v>2</v>
      </c>
      <c r="L796">
        <v>26</v>
      </c>
      <c r="M796">
        <v>328239523</v>
      </c>
    </row>
    <row r="797" spans="1:13" x14ac:dyDescent="0.3">
      <c r="A797">
        <v>796</v>
      </c>
      <c r="B797" t="s">
        <v>897</v>
      </c>
      <c r="C797">
        <v>13000000</v>
      </c>
      <c r="D797">
        <v>4637474071</v>
      </c>
      <c r="E797" t="s">
        <v>1044</v>
      </c>
      <c r="F797">
        <v>612</v>
      </c>
      <c r="G797" t="s">
        <v>984</v>
      </c>
      <c r="H797" t="s">
        <v>1303</v>
      </c>
      <c r="I797">
        <v>0</v>
      </c>
      <c r="J797">
        <v>2012</v>
      </c>
      <c r="K797">
        <v>8</v>
      </c>
      <c r="L797">
        <v>24</v>
      </c>
      <c r="M797">
        <v>328239523</v>
      </c>
    </row>
    <row r="798" spans="1:13" x14ac:dyDescent="0.3">
      <c r="A798">
        <v>797</v>
      </c>
      <c r="B798" t="s">
        <v>134</v>
      </c>
      <c r="C798">
        <v>25200000</v>
      </c>
      <c r="D798">
        <v>10409352249</v>
      </c>
      <c r="E798" t="s">
        <v>1026</v>
      </c>
      <c r="F798">
        <v>51129</v>
      </c>
      <c r="G798" t="s">
        <v>978</v>
      </c>
      <c r="H798" t="s">
        <v>1302</v>
      </c>
      <c r="I798">
        <v>13100000</v>
      </c>
      <c r="J798">
        <v>2015</v>
      </c>
      <c r="K798">
        <v>3</v>
      </c>
      <c r="L798">
        <v>23</v>
      </c>
      <c r="M798">
        <v>1366417754</v>
      </c>
    </row>
    <row r="799" spans="1:13" x14ac:dyDescent="0.3">
      <c r="A799">
        <v>798</v>
      </c>
      <c r="B799" t="s">
        <v>614</v>
      </c>
      <c r="C799">
        <v>28400000</v>
      </c>
      <c r="D799">
        <v>9956764048</v>
      </c>
      <c r="E799" t="s">
        <v>988</v>
      </c>
      <c r="F799">
        <v>5809</v>
      </c>
      <c r="G799" t="s">
        <v>984</v>
      </c>
      <c r="H799" t="s">
        <v>1303</v>
      </c>
      <c r="I799">
        <v>1300000</v>
      </c>
      <c r="J799">
        <v>2006</v>
      </c>
      <c r="K799">
        <v>11</v>
      </c>
      <c r="L799">
        <v>21</v>
      </c>
      <c r="M799">
        <v>328239523</v>
      </c>
    </row>
    <row r="800" spans="1:13" x14ac:dyDescent="0.3">
      <c r="A800">
        <v>799</v>
      </c>
      <c r="B800" t="s">
        <v>347</v>
      </c>
      <c r="C800">
        <v>15200000</v>
      </c>
      <c r="D800">
        <v>4503880875</v>
      </c>
      <c r="E800" t="s">
        <v>1044</v>
      </c>
      <c r="F800">
        <v>106</v>
      </c>
      <c r="G800" t="s">
        <v>978</v>
      </c>
      <c r="H800" t="s">
        <v>1302</v>
      </c>
      <c r="I800">
        <v>4700000</v>
      </c>
      <c r="J800">
        <v>2015</v>
      </c>
      <c r="K800">
        <v>3</v>
      </c>
      <c r="L800">
        <v>14</v>
      </c>
      <c r="M800">
        <v>1366417754</v>
      </c>
    </row>
    <row r="801" spans="1:13" x14ac:dyDescent="0.3">
      <c r="A801">
        <v>800</v>
      </c>
      <c r="B801" t="s">
        <v>234</v>
      </c>
      <c r="C801">
        <v>21300000</v>
      </c>
      <c r="D801">
        <v>6269945014</v>
      </c>
      <c r="E801" t="s">
        <v>994</v>
      </c>
      <c r="F801">
        <v>733</v>
      </c>
      <c r="G801" t="s">
        <v>984</v>
      </c>
      <c r="H801" t="s">
        <v>1303</v>
      </c>
      <c r="I801">
        <v>7700000</v>
      </c>
      <c r="J801">
        <v>2017</v>
      </c>
      <c r="K801">
        <v>4</v>
      </c>
      <c r="L801">
        <v>13</v>
      </c>
      <c r="M801">
        <v>328239523</v>
      </c>
    </row>
    <row r="802" spans="1:13" x14ac:dyDescent="0.3">
      <c r="A802">
        <v>801</v>
      </c>
      <c r="B802" t="s">
        <v>790</v>
      </c>
      <c r="C802">
        <v>12900000</v>
      </c>
      <c r="D802">
        <v>2848466522</v>
      </c>
      <c r="E802" t="s">
        <v>990</v>
      </c>
      <c r="F802">
        <v>2337</v>
      </c>
      <c r="G802" t="s">
        <v>1081</v>
      </c>
      <c r="H802" t="s">
        <v>1302</v>
      </c>
      <c r="I802">
        <v>40200</v>
      </c>
      <c r="J802">
        <v>2016</v>
      </c>
      <c r="K802">
        <v>10</v>
      </c>
      <c r="L802">
        <v>26</v>
      </c>
      <c r="M802">
        <v>270203917</v>
      </c>
    </row>
    <row r="803" spans="1:13" x14ac:dyDescent="0.3">
      <c r="A803">
        <v>802</v>
      </c>
      <c r="B803" t="s">
        <v>664</v>
      </c>
      <c r="C803">
        <v>14700000</v>
      </c>
      <c r="D803">
        <v>2465473772</v>
      </c>
      <c r="E803" t="s">
        <v>988</v>
      </c>
      <c r="F803">
        <v>317</v>
      </c>
      <c r="G803" t="s">
        <v>984</v>
      </c>
      <c r="H803" t="s">
        <v>1303</v>
      </c>
      <c r="I803">
        <v>911000</v>
      </c>
      <c r="J803">
        <v>2010</v>
      </c>
      <c r="K803">
        <v>8</v>
      </c>
      <c r="L803">
        <v>15</v>
      </c>
      <c r="M803">
        <v>328239523</v>
      </c>
    </row>
    <row r="804" spans="1:13" x14ac:dyDescent="0.3">
      <c r="A804">
        <v>803</v>
      </c>
      <c r="B804" t="s">
        <v>883</v>
      </c>
      <c r="C804">
        <v>31200000</v>
      </c>
      <c r="D804">
        <v>17111726160</v>
      </c>
      <c r="E804" t="s">
        <v>1044</v>
      </c>
      <c r="F804">
        <v>8976</v>
      </c>
      <c r="G804" t="s">
        <v>984</v>
      </c>
      <c r="H804" t="s">
        <v>1303</v>
      </c>
      <c r="I804">
        <v>0</v>
      </c>
      <c r="J804">
        <v>2006</v>
      </c>
      <c r="K804">
        <v>1</v>
      </c>
      <c r="L804">
        <v>8</v>
      </c>
      <c r="M804">
        <v>328239523</v>
      </c>
    </row>
    <row r="805" spans="1:13" x14ac:dyDescent="0.3">
      <c r="A805">
        <v>804</v>
      </c>
      <c r="B805" t="s">
        <v>91</v>
      </c>
      <c r="C805">
        <v>13700000</v>
      </c>
      <c r="D805">
        <v>9596430464</v>
      </c>
      <c r="E805" t="s">
        <v>1044</v>
      </c>
      <c r="F805">
        <v>1040</v>
      </c>
      <c r="G805" t="s">
        <v>978</v>
      </c>
      <c r="H805" t="s">
        <v>1302</v>
      </c>
      <c r="I805">
        <v>18200000</v>
      </c>
      <c r="J805">
        <v>2021</v>
      </c>
      <c r="K805">
        <v>8</v>
      </c>
      <c r="L805">
        <v>15</v>
      </c>
      <c r="M805">
        <v>1366417754</v>
      </c>
    </row>
    <row r="806" spans="1:13" x14ac:dyDescent="0.3">
      <c r="A806">
        <v>805</v>
      </c>
      <c r="B806" t="s">
        <v>92</v>
      </c>
      <c r="C806">
        <v>32600000</v>
      </c>
      <c r="D806">
        <v>23379969006</v>
      </c>
      <c r="E806" t="s">
        <v>977</v>
      </c>
      <c r="F806">
        <v>169</v>
      </c>
      <c r="G806" t="s">
        <v>1017</v>
      </c>
      <c r="H806" t="s">
        <v>1303</v>
      </c>
      <c r="I806">
        <v>17900000</v>
      </c>
      <c r="J806">
        <v>2011</v>
      </c>
      <c r="K806">
        <v>2</v>
      </c>
      <c r="L806">
        <v>25</v>
      </c>
      <c r="M806">
        <v>36991981</v>
      </c>
    </row>
    <row r="807" spans="1:13" x14ac:dyDescent="0.3">
      <c r="A807">
        <v>806</v>
      </c>
      <c r="B807" t="s">
        <v>786</v>
      </c>
      <c r="C807">
        <v>13400000</v>
      </c>
      <c r="D807">
        <v>2139769210</v>
      </c>
      <c r="E807" t="s">
        <v>994</v>
      </c>
      <c r="F807">
        <v>1028</v>
      </c>
      <c r="G807" t="s">
        <v>978</v>
      </c>
      <c r="H807" t="s">
        <v>1302</v>
      </c>
      <c r="I807">
        <v>50100</v>
      </c>
      <c r="J807">
        <v>2016</v>
      </c>
      <c r="K807">
        <v>9</v>
      </c>
      <c r="L807">
        <v>9</v>
      </c>
      <c r="M807">
        <v>1366417754</v>
      </c>
    </row>
    <row r="808" spans="1:13" x14ac:dyDescent="0.3">
      <c r="A808">
        <v>807</v>
      </c>
      <c r="B808" t="s">
        <v>554</v>
      </c>
      <c r="C808">
        <v>17100000</v>
      </c>
      <c r="D808">
        <v>4448334716</v>
      </c>
      <c r="E808" t="s">
        <v>1044</v>
      </c>
      <c r="F808">
        <v>498</v>
      </c>
      <c r="G808" t="s">
        <v>1000</v>
      </c>
      <c r="H808" t="s">
        <v>1302</v>
      </c>
      <c r="I808">
        <v>1800000</v>
      </c>
      <c r="J808">
        <v>2012</v>
      </c>
      <c r="K808">
        <v>6</v>
      </c>
      <c r="L808">
        <v>4</v>
      </c>
      <c r="M808">
        <v>144373535</v>
      </c>
    </row>
    <row r="809" spans="1:13" x14ac:dyDescent="0.3">
      <c r="A809">
        <v>808</v>
      </c>
      <c r="B809" t="s">
        <v>193</v>
      </c>
      <c r="C809">
        <v>31200000</v>
      </c>
      <c r="D809">
        <v>6187804950</v>
      </c>
      <c r="E809" t="s">
        <v>988</v>
      </c>
      <c r="F809">
        <v>3027</v>
      </c>
      <c r="G809" t="s">
        <v>1023</v>
      </c>
      <c r="H809" t="s">
        <v>1305</v>
      </c>
      <c r="I809">
        <v>9200000</v>
      </c>
      <c r="J809">
        <v>2015</v>
      </c>
      <c r="K809">
        <v>2</v>
      </c>
      <c r="L809">
        <v>17</v>
      </c>
      <c r="M809">
        <v>44938712</v>
      </c>
    </row>
    <row r="810" spans="1:13" x14ac:dyDescent="0.3">
      <c r="A810">
        <v>809</v>
      </c>
      <c r="B810" t="s">
        <v>653</v>
      </c>
      <c r="C810">
        <v>38200000</v>
      </c>
      <c r="D810">
        <v>22756581750</v>
      </c>
      <c r="E810" t="s">
        <v>988</v>
      </c>
      <c r="F810">
        <v>15672</v>
      </c>
      <c r="G810" t="s">
        <v>984</v>
      </c>
      <c r="H810" t="s">
        <v>1303</v>
      </c>
      <c r="I810">
        <v>1000000</v>
      </c>
      <c r="J810">
        <v>2006</v>
      </c>
      <c r="K810">
        <v>11</v>
      </c>
      <c r="L810">
        <v>21</v>
      </c>
      <c r="M810">
        <v>328239523</v>
      </c>
    </row>
    <row r="811" spans="1:13" x14ac:dyDescent="0.3">
      <c r="A811">
        <v>810</v>
      </c>
      <c r="B811" t="s">
        <v>520</v>
      </c>
      <c r="C811">
        <v>18000000</v>
      </c>
      <c r="D811">
        <v>6404852037</v>
      </c>
      <c r="E811" t="s">
        <v>996</v>
      </c>
      <c r="F811">
        <v>3566</v>
      </c>
      <c r="G811" t="s">
        <v>1065</v>
      </c>
      <c r="H811" t="s">
        <v>1304</v>
      </c>
      <c r="I811">
        <v>2100000</v>
      </c>
      <c r="J811">
        <v>2012</v>
      </c>
      <c r="K811">
        <v>1</v>
      </c>
      <c r="L811">
        <v>30</v>
      </c>
      <c r="M811">
        <v>47076781</v>
      </c>
    </row>
    <row r="812" spans="1:13" x14ac:dyDescent="0.3">
      <c r="A812">
        <v>811</v>
      </c>
      <c r="B812" t="s">
        <v>582</v>
      </c>
      <c r="C812">
        <v>19100000</v>
      </c>
      <c r="D812">
        <v>4566120190</v>
      </c>
      <c r="E812" t="s">
        <v>1044</v>
      </c>
      <c r="F812">
        <v>139</v>
      </c>
      <c r="G812" t="s">
        <v>984</v>
      </c>
      <c r="H812" t="s">
        <v>1303</v>
      </c>
      <c r="I812">
        <v>1500000</v>
      </c>
      <c r="J812">
        <v>2014</v>
      </c>
      <c r="K812">
        <v>8</v>
      </c>
      <c r="L812">
        <v>30</v>
      </c>
      <c r="M812">
        <v>328239523</v>
      </c>
    </row>
    <row r="813" spans="1:13" x14ac:dyDescent="0.3">
      <c r="A813">
        <v>812</v>
      </c>
      <c r="B813" t="s">
        <v>685</v>
      </c>
      <c r="C813">
        <v>13300000</v>
      </c>
      <c r="D813">
        <v>6050102764</v>
      </c>
      <c r="E813" t="s">
        <v>996</v>
      </c>
      <c r="F813">
        <v>8195</v>
      </c>
      <c r="G813" t="s">
        <v>984</v>
      </c>
      <c r="H813" t="s">
        <v>1303</v>
      </c>
      <c r="I813">
        <v>753300</v>
      </c>
      <c r="J813">
        <v>2006</v>
      </c>
      <c r="K813">
        <v>11</v>
      </c>
      <c r="L813">
        <v>27</v>
      </c>
      <c r="M813">
        <v>328239523</v>
      </c>
    </row>
    <row r="814" spans="1:13" x14ac:dyDescent="0.3">
      <c r="A814">
        <v>813</v>
      </c>
      <c r="B814" t="s">
        <v>1222</v>
      </c>
      <c r="C814">
        <v>15000000</v>
      </c>
      <c r="D814">
        <v>2730879024</v>
      </c>
      <c r="E814" t="s">
        <v>990</v>
      </c>
      <c r="F814">
        <v>0</v>
      </c>
      <c r="G814" t="s">
        <v>984</v>
      </c>
      <c r="H814" t="s">
        <v>1303</v>
      </c>
      <c r="I814">
        <v>0</v>
      </c>
      <c r="J814">
        <v>2006</v>
      </c>
      <c r="K814">
        <v>5</v>
      </c>
      <c r="L814">
        <v>25</v>
      </c>
      <c r="M814">
        <v>328239523</v>
      </c>
    </row>
    <row r="815" spans="1:13" x14ac:dyDescent="0.3">
      <c r="A815">
        <v>814</v>
      </c>
      <c r="B815" t="s">
        <v>719</v>
      </c>
      <c r="C815">
        <v>18400000</v>
      </c>
      <c r="D815">
        <v>7038827526</v>
      </c>
      <c r="E815" t="s">
        <v>1044</v>
      </c>
      <c r="F815">
        <v>6943</v>
      </c>
      <c r="G815" t="s">
        <v>1065</v>
      </c>
      <c r="H815" t="s">
        <v>1304</v>
      </c>
      <c r="I815">
        <v>528200</v>
      </c>
      <c r="J815">
        <v>2011</v>
      </c>
      <c r="K815">
        <v>1</v>
      </c>
      <c r="L815">
        <v>26</v>
      </c>
      <c r="M815">
        <v>47076781</v>
      </c>
    </row>
    <row r="816" spans="1:13" x14ac:dyDescent="0.3">
      <c r="A816">
        <v>815</v>
      </c>
      <c r="B816" t="s">
        <v>173</v>
      </c>
      <c r="C816">
        <v>13800000</v>
      </c>
      <c r="D816">
        <v>11039343563</v>
      </c>
      <c r="E816" t="s">
        <v>977</v>
      </c>
      <c r="F816">
        <v>4978</v>
      </c>
      <c r="G816" t="s">
        <v>978</v>
      </c>
      <c r="H816" t="s">
        <v>1302</v>
      </c>
      <c r="I816">
        <v>10400000</v>
      </c>
      <c r="J816">
        <v>2009</v>
      </c>
      <c r="K816">
        <v>8</v>
      </c>
      <c r="L816">
        <v>15</v>
      </c>
      <c r="M816">
        <v>1366417754</v>
      </c>
    </row>
    <row r="817" spans="1:13" x14ac:dyDescent="0.3">
      <c r="A817">
        <v>816</v>
      </c>
      <c r="B817" t="s">
        <v>1126</v>
      </c>
      <c r="C817">
        <v>24000000</v>
      </c>
      <c r="D817">
        <v>5652938599</v>
      </c>
      <c r="E817" t="s">
        <v>982</v>
      </c>
      <c r="F817">
        <v>3</v>
      </c>
      <c r="G817" t="s">
        <v>1294</v>
      </c>
      <c r="H817" t="s">
        <v>1294</v>
      </c>
      <c r="I817">
        <v>0.14000000000000001</v>
      </c>
      <c r="J817">
        <v>2018</v>
      </c>
      <c r="K817">
        <v>4</v>
      </c>
      <c r="L817">
        <v>30</v>
      </c>
      <c r="M817" t="s">
        <v>1294</v>
      </c>
    </row>
    <row r="818" spans="1:13" x14ac:dyDescent="0.3">
      <c r="A818">
        <v>817</v>
      </c>
      <c r="B818" t="s">
        <v>96</v>
      </c>
      <c r="C818">
        <v>23400000</v>
      </c>
      <c r="D818">
        <v>9465863821</v>
      </c>
      <c r="E818" t="s">
        <v>982</v>
      </c>
      <c r="F818">
        <v>6672</v>
      </c>
      <c r="G818" t="s">
        <v>978</v>
      </c>
      <c r="H818" t="s">
        <v>1302</v>
      </c>
      <c r="I818">
        <v>17600000</v>
      </c>
      <c r="J818">
        <v>2020</v>
      </c>
      <c r="K818">
        <v>10</v>
      </c>
      <c r="L818">
        <v>10</v>
      </c>
      <c r="M818">
        <v>1366417754</v>
      </c>
    </row>
    <row r="819" spans="1:13" x14ac:dyDescent="0.3">
      <c r="A819">
        <v>818</v>
      </c>
      <c r="B819" t="s">
        <v>633</v>
      </c>
      <c r="C819">
        <v>12400000</v>
      </c>
      <c r="D819">
        <v>2840137980</v>
      </c>
      <c r="E819" t="s">
        <v>996</v>
      </c>
      <c r="F819">
        <v>1024</v>
      </c>
      <c r="G819" t="s">
        <v>1065</v>
      </c>
      <c r="H819" t="s">
        <v>1304</v>
      </c>
      <c r="I819">
        <v>1200000</v>
      </c>
      <c r="J819">
        <v>2012</v>
      </c>
      <c r="K819">
        <v>6</v>
      </c>
      <c r="L819">
        <v>16</v>
      </c>
      <c r="M819">
        <v>47076781</v>
      </c>
    </row>
    <row r="820" spans="1:13" x14ac:dyDescent="0.3">
      <c r="A820">
        <v>819</v>
      </c>
      <c r="B820" t="s">
        <v>1160</v>
      </c>
      <c r="C820">
        <v>19800000</v>
      </c>
      <c r="D820">
        <v>12293479945</v>
      </c>
      <c r="E820" t="s">
        <v>1026</v>
      </c>
      <c r="F820">
        <v>9930</v>
      </c>
      <c r="G820" t="s">
        <v>984</v>
      </c>
      <c r="H820" t="s">
        <v>1303</v>
      </c>
      <c r="I820">
        <v>779</v>
      </c>
      <c r="J820">
        <v>2013</v>
      </c>
      <c r="K820">
        <v>11</v>
      </c>
      <c r="L820">
        <v>16</v>
      </c>
      <c r="M820">
        <v>328239523</v>
      </c>
    </row>
    <row r="821" spans="1:13" x14ac:dyDescent="0.3">
      <c r="A821">
        <v>820</v>
      </c>
      <c r="B821" t="s">
        <v>77</v>
      </c>
      <c r="C821">
        <v>59300000</v>
      </c>
      <c r="D821">
        <v>33431802698</v>
      </c>
      <c r="E821" t="s">
        <v>977</v>
      </c>
      <c r="F821">
        <v>4741</v>
      </c>
      <c r="G821" t="s">
        <v>978</v>
      </c>
      <c r="H821" t="s">
        <v>1302</v>
      </c>
      <c r="I821">
        <v>20300000</v>
      </c>
      <c r="J821">
        <v>2007</v>
      </c>
      <c r="K821">
        <v>5</v>
      </c>
      <c r="L821">
        <v>22</v>
      </c>
      <c r="M821">
        <v>1366417754</v>
      </c>
    </row>
    <row r="822" spans="1:13" x14ac:dyDescent="0.3">
      <c r="A822">
        <v>821</v>
      </c>
      <c r="B822" t="s">
        <v>1291</v>
      </c>
      <c r="C822">
        <v>12400000</v>
      </c>
      <c r="D822">
        <v>3392022527</v>
      </c>
      <c r="E822" t="s">
        <v>990</v>
      </c>
      <c r="F822">
        <v>0</v>
      </c>
      <c r="G822" t="s">
        <v>1294</v>
      </c>
      <c r="H822" t="s">
        <v>1294</v>
      </c>
      <c r="I822">
        <v>0</v>
      </c>
      <c r="J822">
        <v>2006</v>
      </c>
      <c r="K822">
        <v>8</v>
      </c>
      <c r="L822">
        <v>16</v>
      </c>
      <c r="M822" t="s">
        <v>1294</v>
      </c>
    </row>
    <row r="823" spans="1:13" x14ac:dyDescent="0.3">
      <c r="A823">
        <v>822</v>
      </c>
      <c r="B823" t="s">
        <v>1140</v>
      </c>
      <c r="C823">
        <v>21500000</v>
      </c>
      <c r="D823">
        <v>15013096899</v>
      </c>
      <c r="E823" t="s">
        <v>1026</v>
      </c>
      <c r="F823">
        <v>158</v>
      </c>
      <c r="G823" t="s">
        <v>1058</v>
      </c>
      <c r="H823" t="s">
        <v>1305</v>
      </c>
      <c r="I823">
        <v>742</v>
      </c>
      <c r="J823">
        <v>2014</v>
      </c>
      <c r="K823">
        <v>1</v>
      </c>
      <c r="L823">
        <v>2</v>
      </c>
      <c r="M823">
        <v>126014024</v>
      </c>
    </row>
    <row r="824" spans="1:13" x14ac:dyDescent="0.3">
      <c r="A824">
        <v>823</v>
      </c>
      <c r="B824" t="s">
        <v>1266</v>
      </c>
      <c r="C824">
        <v>13400000</v>
      </c>
      <c r="D824">
        <v>4306212515</v>
      </c>
      <c r="E824" t="s">
        <v>994</v>
      </c>
      <c r="F824">
        <v>96</v>
      </c>
      <c r="G824" t="s">
        <v>984</v>
      </c>
      <c r="H824" t="s">
        <v>1303</v>
      </c>
      <c r="I824">
        <v>0.14000000000000001</v>
      </c>
      <c r="J824">
        <v>2006</v>
      </c>
      <c r="K824">
        <v>1</v>
      </c>
      <c r="L824">
        <v>17</v>
      </c>
      <c r="M824">
        <v>328239523</v>
      </c>
    </row>
    <row r="825" spans="1:13" x14ac:dyDescent="0.3">
      <c r="A825">
        <v>824</v>
      </c>
      <c r="B825" t="s">
        <v>473</v>
      </c>
      <c r="C825">
        <v>14200000</v>
      </c>
      <c r="D825">
        <v>2084791147</v>
      </c>
      <c r="E825" t="s">
        <v>996</v>
      </c>
      <c r="F825">
        <v>342</v>
      </c>
      <c r="G825" t="s">
        <v>1013</v>
      </c>
      <c r="H825" t="s">
        <v>1304</v>
      </c>
      <c r="I825">
        <v>2600000</v>
      </c>
      <c r="J825">
        <v>2015</v>
      </c>
      <c r="K825">
        <v>12</v>
      </c>
      <c r="L825">
        <v>24</v>
      </c>
      <c r="M825">
        <v>66834405</v>
      </c>
    </row>
    <row r="826" spans="1:13" x14ac:dyDescent="0.3">
      <c r="A826">
        <v>825</v>
      </c>
      <c r="B826" t="s">
        <v>594</v>
      </c>
      <c r="C826">
        <v>12900000</v>
      </c>
      <c r="D826">
        <v>3643698504</v>
      </c>
      <c r="E826" t="s">
        <v>988</v>
      </c>
      <c r="F826">
        <v>1598</v>
      </c>
      <c r="G826" t="s">
        <v>984</v>
      </c>
      <c r="H826" t="s">
        <v>1303</v>
      </c>
      <c r="I826">
        <v>1400000</v>
      </c>
      <c r="J826">
        <v>2014</v>
      </c>
      <c r="K826">
        <v>1</v>
      </c>
      <c r="L826">
        <v>2</v>
      </c>
      <c r="M826">
        <v>328239523</v>
      </c>
    </row>
    <row r="827" spans="1:13" x14ac:dyDescent="0.3">
      <c r="A827">
        <v>826</v>
      </c>
      <c r="B827" t="s">
        <v>40</v>
      </c>
      <c r="C827">
        <v>21900000</v>
      </c>
      <c r="D827">
        <v>15552070846</v>
      </c>
      <c r="E827" t="s">
        <v>1044</v>
      </c>
      <c r="F827">
        <v>816</v>
      </c>
      <c r="G827" t="s">
        <v>984</v>
      </c>
      <c r="H827" t="s">
        <v>1303</v>
      </c>
      <c r="I827">
        <v>33000000</v>
      </c>
      <c r="J827">
        <v>2014</v>
      </c>
      <c r="K827">
        <v>7</v>
      </c>
      <c r="L827">
        <v>9</v>
      </c>
      <c r="M827">
        <v>328239523</v>
      </c>
    </row>
    <row r="828" spans="1:13" x14ac:dyDescent="0.3">
      <c r="A828">
        <v>827</v>
      </c>
      <c r="B828" t="s">
        <v>1076</v>
      </c>
      <c r="C828">
        <v>35400000</v>
      </c>
      <c r="D828">
        <v>5556364230</v>
      </c>
      <c r="E828" t="s">
        <v>996</v>
      </c>
      <c r="F828">
        <v>1</v>
      </c>
      <c r="G828" t="s">
        <v>1294</v>
      </c>
      <c r="H828" t="s">
        <v>1294</v>
      </c>
      <c r="I828">
        <v>3</v>
      </c>
      <c r="J828">
        <v>2006</v>
      </c>
      <c r="K828">
        <v>7</v>
      </c>
      <c r="L828">
        <v>15</v>
      </c>
      <c r="M828" t="s">
        <v>1294</v>
      </c>
    </row>
    <row r="829" spans="1:13" x14ac:dyDescent="0.3">
      <c r="A829">
        <v>828</v>
      </c>
      <c r="B829" t="s">
        <v>306</v>
      </c>
      <c r="C829">
        <v>16000000</v>
      </c>
      <c r="D829">
        <v>5997599089</v>
      </c>
      <c r="E829" t="s">
        <v>982</v>
      </c>
      <c r="F829">
        <v>344</v>
      </c>
      <c r="G829" t="s">
        <v>1058</v>
      </c>
      <c r="H829" t="s">
        <v>1305</v>
      </c>
      <c r="I829">
        <v>5400000</v>
      </c>
      <c r="J829">
        <v>2017</v>
      </c>
      <c r="K829">
        <v>9</v>
      </c>
      <c r="L829">
        <v>7</v>
      </c>
      <c r="M829">
        <v>126014024</v>
      </c>
    </row>
    <row r="830" spans="1:13" x14ac:dyDescent="0.3">
      <c r="A830">
        <v>829</v>
      </c>
      <c r="B830" t="s">
        <v>545</v>
      </c>
      <c r="C830">
        <v>20400000</v>
      </c>
      <c r="D830">
        <v>1796227417</v>
      </c>
      <c r="E830" t="s">
        <v>982</v>
      </c>
      <c r="F830">
        <v>206</v>
      </c>
      <c r="G830" t="s">
        <v>1019</v>
      </c>
      <c r="H830" t="s">
        <v>1305</v>
      </c>
      <c r="I830">
        <v>1900000</v>
      </c>
      <c r="J830">
        <v>2014</v>
      </c>
      <c r="K830">
        <v>12</v>
      </c>
      <c r="L830">
        <v>2</v>
      </c>
      <c r="M830">
        <v>212559417</v>
      </c>
    </row>
    <row r="831" spans="1:13" x14ac:dyDescent="0.3">
      <c r="A831">
        <v>830</v>
      </c>
      <c r="B831" t="s">
        <v>218</v>
      </c>
      <c r="C831">
        <v>27700000</v>
      </c>
      <c r="D831">
        <v>15777682516</v>
      </c>
      <c r="E831" t="s">
        <v>977</v>
      </c>
      <c r="F831">
        <v>619</v>
      </c>
      <c r="G831" t="s">
        <v>1051</v>
      </c>
      <c r="H831" t="s">
        <v>1305</v>
      </c>
      <c r="I831">
        <v>8300000</v>
      </c>
      <c r="J831">
        <v>2009</v>
      </c>
      <c r="K831">
        <v>7</v>
      </c>
      <c r="L831">
        <v>7</v>
      </c>
      <c r="M831">
        <v>50339443</v>
      </c>
    </row>
    <row r="832" spans="1:13" x14ac:dyDescent="0.3">
      <c r="A832">
        <v>831</v>
      </c>
      <c r="B832" t="s">
        <v>221</v>
      </c>
      <c r="C832">
        <v>22900000</v>
      </c>
      <c r="D832">
        <v>16298342829</v>
      </c>
      <c r="E832" t="s">
        <v>977</v>
      </c>
      <c r="F832">
        <v>1159</v>
      </c>
      <c r="G832" t="s">
        <v>1098</v>
      </c>
      <c r="H832" t="s">
        <v>1302</v>
      </c>
      <c r="I832">
        <v>8100000</v>
      </c>
      <c r="J832">
        <v>2012</v>
      </c>
      <c r="K832">
        <v>11</v>
      </c>
      <c r="L832">
        <v>1</v>
      </c>
      <c r="M832">
        <v>10101694</v>
      </c>
    </row>
    <row r="833" spans="1:13" x14ac:dyDescent="0.3">
      <c r="A833">
        <v>832</v>
      </c>
      <c r="B833" t="s">
        <v>1118</v>
      </c>
      <c r="C833">
        <v>27100000</v>
      </c>
      <c r="D833">
        <v>15916882228</v>
      </c>
      <c r="E833" t="s">
        <v>988</v>
      </c>
      <c r="F833">
        <v>2</v>
      </c>
      <c r="G833" t="s">
        <v>1294</v>
      </c>
      <c r="H833" t="s">
        <v>1294</v>
      </c>
      <c r="I833">
        <v>0.67</v>
      </c>
      <c r="J833">
        <v>2017</v>
      </c>
      <c r="K833">
        <v>6</v>
      </c>
      <c r="L833">
        <v>7</v>
      </c>
      <c r="M833" t="s">
        <v>1294</v>
      </c>
    </row>
    <row r="834" spans="1:13" x14ac:dyDescent="0.3">
      <c r="A834">
        <v>833</v>
      </c>
      <c r="B834" t="s">
        <v>1061</v>
      </c>
      <c r="C834">
        <v>40300000</v>
      </c>
      <c r="D834">
        <v>47005053156</v>
      </c>
      <c r="E834" t="s">
        <v>988</v>
      </c>
      <c r="F834">
        <v>4</v>
      </c>
      <c r="G834" t="s">
        <v>1294</v>
      </c>
      <c r="H834" t="s">
        <v>1294</v>
      </c>
      <c r="I834">
        <v>0.24</v>
      </c>
      <c r="J834">
        <v>2018</v>
      </c>
      <c r="K834">
        <v>6</v>
      </c>
      <c r="L834">
        <v>14</v>
      </c>
      <c r="M834" t="s">
        <v>1294</v>
      </c>
    </row>
    <row r="835" spans="1:13" x14ac:dyDescent="0.3">
      <c r="A835">
        <v>834</v>
      </c>
      <c r="B835" t="s">
        <v>523</v>
      </c>
      <c r="C835">
        <v>13300000</v>
      </c>
      <c r="D835">
        <v>2262690743</v>
      </c>
      <c r="E835" t="s">
        <v>1088</v>
      </c>
      <c r="F835">
        <v>3640</v>
      </c>
      <c r="G835" t="s">
        <v>978</v>
      </c>
      <c r="H835" t="s">
        <v>1302</v>
      </c>
      <c r="I835">
        <v>2100000</v>
      </c>
      <c r="J835">
        <v>2011</v>
      </c>
      <c r="K835">
        <v>11</v>
      </c>
      <c r="L835">
        <v>2</v>
      </c>
      <c r="M835">
        <v>1366417754</v>
      </c>
    </row>
    <row r="836" spans="1:13" x14ac:dyDescent="0.3">
      <c r="A836">
        <v>835</v>
      </c>
      <c r="B836" t="s">
        <v>508</v>
      </c>
      <c r="C836">
        <v>17100000</v>
      </c>
      <c r="D836">
        <v>9710962528</v>
      </c>
      <c r="E836" t="s">
        <v>988</v>
      </c>
      <c r="F836">
        <v>148225</v>
      </c>
      <c r="G836" t="s">
        <v>1081</v>
      </c>
      <c r="H836" t="s">
        <v>1302</v>
      </c>
      <c r="I836">
        <v>2200000</v>
      </c>
      <c r="J836">
        <v>2014</v>
      </c>
      <c r="K836">
        <v>9</v>
      </c>
      <c r="L836">
        <v>2</v>
      </c>
      <c r="M836">
        <v>270203917</v>
      </c>
    </row>
    <row r="837" spans="1:13" x14ac:dyDescent="0.3">
      <c r="A837">
        <v>836</v>
      </c>
      <c r="B837" t="s">
        <v>293</v>
      </c>
      <c r="C837">
        <v>25000000</v>
      </c>
      <c r="D837">
        <v>14169516119</v>
      </c>
      <c r="E837" t="s">
        <v>988</v>
      </c>
      <c r="F837">
        <v>89179</v>
      </c>
      <c r="G837" t="s">
        <v>1081</v>
      </c>
      <c r="H837" t="s">
        <v>1302</v>
      </c>
      <c r="I837">
        <v>5900000</v>
      </c>
      <c r="J837">
        <v>2014</v>
      </c>
      <c r="K837">
        <v>9</v>
      </c>
      <c r="L837">
        <v>4</v>
      </c>
      <c r="M837">
        <v>270203917</v>
      </c>
    </row>
    <row r="838" spans="1:13" x14ac:dyDescent="0.3">
      <c r="A838">
        <v>837</v>
      </c>
      <c r="B838" t="s">
        <v>510</v>
      </c>
      <c r="C838">
        <v>30400000</v>
      </c>
      <c r="D838">
        <v>14037426379</v>
      </c>
      <c r="E838" t="s">
        <v>977</v>
      </c>
      <c r="F838">
        <v>2725</v>
      </c>
      <c r="G838" t="s">
        <v>984</v>
      </c>
      <c r="H838" t="s">
        <v>1303</v>
      </c>
      <c r="I838">
        <v>2200000</v>
      </c>
      <c r="J838">
        <v>2012</v>
      </c>
      <c r="K838">
        <v>9</v>
      </c>
      <c r="L838">
        <v>23</v>
      </c>
      <c r="M838">
        <v>328239523</v>
      </c>
    </row>
    <row r="839" spans="1:13" x14ac:dyDescent="0.3">
      <c r="A839">
        <v>838</v>
      </c>
      <c r="B839" t="s">
        <v>1254</v>
      </c>
      <c r="C839">
        <v>14100000</v>
      </c>
      <c r="D839">
        <v>5129529846</v>
      </c>
      <c r="E839" t="s">
        <v>977</v>
      </c>
      <c r="F839">
        <v>3</v>
      </c>
      <c r="G839" t="s">
        <v>1114</v>
      </c>
      <c r="H839" t="s">
        <v>1114</v>
      </c>
      <c r="I839">
        <v>7</v>
      </c>
      <c r="J839">
        <v>2015</v>
      </c>
      <c r="K839">
        <v>11</v>
      </c>
      <c r="L839">
        <v>4</v>
      </c>
      <c r="M839">
        <v>25766605</v>
      </c>
    </row>
    <row r="840" spans="1:13" x14ac:dyDescent="0.3">
      <c r="A840">
        <v>839</v>
      </c>
      <c r="B840" t="s">
        <v>802</v>
      </c>
      <c r="C840">
        <v>16700000</v>
      </c>
      <c r="D840">
        <v>7979736581</v>
      </c>
      <c r="E840" t="s">
        <v>977</v>
      </c>
      <c r="F840">
        <v>13</v>
      </c>
      <c r="G840" t="s">
        <v>984</v>
      </c>
      <c r="H840" t="s">
        <v>1303</v>
      </c>
      <c r="I840">
        <v>1800</v>
      </c>
      <c r="J840">
        <v>2010</v>
      </c>
      <c r="K840">
        <v>9</v>
      </c>
      <c r="L840">
        <v>1</v>
      </c>
      <c r="M840">
        <v>328239523</v>
      </c>
    </row>
    <row r="841" spans="1:13" x14ac:dyDescent="0.3">
      <c r="A841">
        <v>840</v>
      </c>
      <c r="B841" t="s">
        <v>322</v>
      </c>
      <c r="C841">
        <v>18800000</v>
      </c>
      <c r="D841">
        <v>3276891538</v>
      </c>
      <c r="E841" t="s">
        <v>1044</v>
      </c>
      <c r="F841">
        <v>304</v>
      </c>
      <c r="G841" t="s">
        <v>978</v>
      </c>
      <c r="H841" t="s">
        <v>1302</v>
      </c>
      <c r="I841">
        <v>5200000</v>
      </c>
      <c r="J841">
        <v>2014</v>
      </c>
      <c r="K841">
        <v>7</v>
      </c>
      <c r="L841">
        <v>17</v>
      </c>
      <c r="M841">
        <v>1366417754</v>
      </c>
    </row>
    <row r="842" spans="1:13" x14ac:dyDescent="0.3">
      <c r="A842">
        <v>841</v>
      </c>
      <c r="B842" t="s">
        <v>349</v>
      </c>
      <c r="C842">
        <v>23800000</v>
      </c>
      <c r="D842">
        <v>10414479943</v>
      </c>
      <c r="E842" t="s">
        <v>1011</v>
      </c>
      <c r="F842">
        <v>2425</v>
      </c>
      <c r="G842" t="s">
        <v>984</v>
      </c>
      <c r="H842" t="s">
        <v>1303</v>
      </c>
      <c r="I842">
        <v>4700000</v>
      </c>
      <c r="J842">
        <v>2015</v>
      </c>
      <c r="K842">
        <v>9</v>
      </c>
      <c r="L842">
        <v>12</v>
      </c>
      <c r="M842">
        <v>328239523</v>
      </c>
    </row>
    <row r="843" spans="1:13" x14ac:dyDescent="0.3">
      <c r="A843">
        <v>842</v>
      </c>
      <c r="B843" t="s">
        <v>595</v>
      </c>
      <c r="C843">
        <v>19700000</v>
      </c>
      <c r="D843">
        <v>7452667615</v>
      </c>
      <c r="E843" t="s">
        <v>994</v>
      </c>
      <c r="F843">
        <v>2912</v>
      </c>
      <c r="G843" t="s">
        <v>1294</v>
      </c>
      <c r="H843" t="s">
        <v>1294</v>
      </c>
      <c r="I843">
        <v>1400000</v>
      </c>
      <c r="J843">
        <v>2016</v>
      </c>
      <c r="K843">
        <v>2</v>
      </c>
      <c r="L843">
        <v>5</v>
      </c>
      <c r="M843" t="s">
        <v>1294</v>
      </c>
    </row>
    <row r="844" spans="1:13" x14ac:dyDescent="0.3">
      <c r="A844">
        <v>843</v>
      </c>
      <c r="B844" t="s">
        <v>673</v>
      </c>
      <c r="C844">
        <v>12800000</v>
      </c>
      <c r="D844">
        <v>6804072897</v>
      </c>
      <c r="E844" t="s">
        <v>1011</v>
      </c>
      <c r="F844">
        <v>2385</v>
      </c>
      <c r="G844" t="s">
        <v>1294</v>
      </c>
      <c r="H844" t="s">
        <v>1294</v>
      </c>
      <c r="I844">
        <v>829000</v>
      </c>
      <c r="J844">
        <v>2015</v>
      </c>
      <c r="K844">
        <v>4</v>
      </c>
      <c r="L844">
        <v>19</v>
      </c>
      <c r="M844" t="s">
        <v>1294</v>
      </c>
    </row>
    <row r="845" spans="1:13" x14ac:dyDescent="0.3">
      <c r="A845">
        <v>844</v>
      </c>
      <c r="B845" t="s">
        <v>1286</v>
      </c>
      <c r="C845">
        <v>12500000</v>
      </c>
      <c r="D845">
        <v>5379684248</v>
      </c>
      <c r="E845" t="s">
        <v>994</v>
      </c>
      <c r="F845">
        <v>8</v>
      </c>
      <c r="G845" t="s">
        <v>1294</v>
      </c>
      <c r="H845" t="s">
        <v>1294</v>
      </c>
      <c r="I845">
        <v>0.05</v>
      </c>
      <c r="J845">
        <v>2020</v>
      </c>
      <c r="K845">
        <v>7</v>
      </c>
      <c r="L845">
        <v>29</v>
      </c>
      <c r="M845" t="s">
        <v>1294</v>
      </c>
    </row>
    <row r="846" spans="1:13" x14ac:dyDescent="0.3">
      <c r="A846">
        <v>845</v>
      </c>
      <c r="B846" t="s">
        <v>703</v>
      </c>
      <c r="C846">
        <v>12500000</v>
      </c>
      <c r="D846">
        <v>4384177908</v>
      </c>
      <c r="E846" t="s">
        <v>1011</v>
      </c>
      <c r="F846">
        <v>2738</v>
      </c>
      <c r="G846" t="s">
        <v>1294</v>
      </c>
      <c r="H846" t="s">
        <v>1294</v>
      </c>
      <c r="I846">
        <v>648100</v>
      </c>
      <c r="J846">
        <v>2015</v>
      </c>
      <c r="K846">
        <v>4</v>
      </c>
      <c r="L846">
        <v>19</v>
      </c>
      <c r="M846" t="s">
        <v>1294</v>
      </c>
    </row>
    <row r="847" spans="1:13" x14ac:dyDescent="0.3">
      <c r="A847">
        <v>846</v>
      </c>
      <c r="B847" t="s">
        <v>1</v>
      </c>
      <c r="C847">
        <v>245000000</v>
      </c>
      <c r="D847" s="1">
        <v>228000000000</v>
      </c>
      <c r="E847" t="s">
        <v>977</v>
      </c>
      <c r="F847">
        <v>20082</v>
      </c>
      <c r="G847" t="s">
        <v>978</v>
      </c>
      <c r="H847" t="s">
        <v>1302</v>
      </c>
      <c r="I847">
        <v>108400000</v>
      </c>
      <c r="J847">
        <v>2006</v>
      </c>
      <c r="K847">
        <v>3</v>
      </c>
      <c r="L847">
        <v>13</v>
      </c>
      <c r="M847">
        <v>1366417754</v>
      </c>
    </row>
    <row r="848" spans="1:13" x14ac:dyDescent="0.3">
      <c r="A848">
        <v>847</v>
      </c>
      <c r="B848" t="s">
        <v>106</v>
      </c>
      <c r="C848">
        <v>35400000</v>
      </c>
      <c r="D848">
        <v>22637783517</v>
      </c>
      <c r="E848" t="s">
        <v>977</v>
      </c>
      <c r="F848">
        <v>2010</v>
      </c>
      <c r="G848" t="s">
        <v>978</v>
      </c>
      <c r="H848" t="s">
        <v>1302</v>
      </c>
      <c r="I848">
        <v>15900000</v>
      </c>
      <c r="J848">
        <v>2012</v>
      </c>
      <c r="K848">
        <v>4</v>
      </c>
      <c r="L848">
        <v>2</v>
      </c>
      <c r="M848">
        <v>1366417754</v>
      </c>
    </row>
    <row r="849" spans="1:13" x14ac:dyDescent="0.3">
      <c r="A849">
        <v>848</v>
      </c>
      <c r="B849" t="s">
        <v>327</v>
      </c>
      <c r="C849">
        <v>15200000</v>
      </c>
      <c r="D849">
        <v>7564652648</v>
      </c>
      <c r="E849" t="s">
        <v>988</v>
      </c>
      <c r="F849">
        <v>9862</v>
      </c>
      <c r="G849" t="s">
        <v>978</v>
      </c>
      <c r="H849" t="s">
        <v>1302</v>
      </c>
      <c r="I849">
        <v>5100000</v>
      </c>
      <c r="J849">
        <v>2011</v>
      </c>
      <c r="K849">
        <v>11</v>
      </c>
      <c r="L849">
        <v>1</v>
      </c>
      <c r="M849">
        <v>1366417754</v>
      </c>
    </row>
    <row r="850" spans="1:13" x14ac:dyDescent="0.3">
      <c r="A850">
        <v>849</v>
      </c>
      <c r="B850" t="s">
        <v>574</v>
      </c>
      <c r="C850">
        <v>13900000</v>
      </c>
      <c r="D850">
        <v>5217553897</v>
      </c>
      <c r="E850" t="s">
        <v>988</v>
      </c>
      <c r="F850">
        <v>15075</v>
      </c>
      <c r="G850" t="s">
        <v>978</v>
      </c>
      <c r="H850" t="s">
        <v>1302</v>
      </c>
      <c r="I850">
        <v>1600000</v>
      </c>
      <c r="J850">
        <v>2011</v>
      </c>
      <c r="K850">
        <v>2</v>
      </c>
      <c r="L850">
        <v>14</v>
      </c>
      <c r="M850">
        <v>1366417754</v>
      </c>
    </row>
    <row r="851" spans="1:13" x14ac:dyDescent="0.3">
      <c r="A851">
        <v>850</v>
      </c>
      <c r="B851" t="s">
        <v>33</v>
      </c>
      <c r="C851">
        <v>23000000</v>
      </c>
      <c r="D851">
        <v>31494513067</v>
      </c>
      <c r="E851" t="s">
        <v>988</v>
      </c>
      <c r="F851">
        <v>2905</v>
      </c>
      <c r="G851" t="s">
        <v>1130</v>
      </c>
      <c r="H851" t="s">
        <v>1304</v>
      </c>
      <c r="I851">
        <v>36300000</v>
      </c>
      <c r="J851">
        <v>2019</v>
      </c>
      <c r="K851">
        <v>7</v>
      </c>
      <c r="L851">
        <v>10</v>
      </c>
      <c r="M851">
        <v>83132799</v>
      </c>
    </row>
    <row r="852" spans="1:13" x14ac:dyDescent="0.3">
      <c r="A852">
        <v>851</v>
      </c>
      <c r="B852" t="s">
        <v>682</v>
      </c>
      <c r="C852">
        <v>16700000</v>
      </c>
      <c r="D852">
        <v>5089284369</v>
      </c>
      <c r="E852" t="s">
        <v>994</v>
      </c>
      <c r="F852">
        <v>8741</v>
      </c>
      <c r="G852" t="s">
        <v>1058</v>
      </c>
      <c r="H852" t="s">
        <v>1305</v>
      </c>
      <c r="I852">
        <v>774700</v>
      </c>
      <c r="J852">
        <v>2014</v>
      </c>
      <c r="K852">
        <v>8</v>
      </c>
      <c r="L852">
        <v>28</v>
      </c>
      <c r="M852">
        <v>126014024</v>
      </c>
    </row>
    <row r="853" spans="1:13" x14ac:dyDescent="0.3">
      <c r="A853">
        <v>852</v>
      </c>
      <c r="B853" t="s">
        <v>409</v>
      </c>
      <c r="C853">
        <v>19000000</v>
      </c>
      <c r="D853">
        <v>13824277846</v>
      </c>
      <c r="E853" t="s">
        <v>982</v>
      </c>
      <c r="F853">
        <v>1154</v>
      </c>
      <c r="G853" t="s">
        <v>1019</v>
      </c>
      <c r="H853" t="s">
        <v>1305</v>
      </c>
      <c r="I853">
        <v>3700000</v>
      </c>
      <c r="J853">
        <v>2012</v>
      </c>
      <c r="K853">
        <v>7</v>
      </c>
      <c r="L853">
        <v>30</v>
      </c>
      <c r="M853">
        <v>212559417</v>
      </c>
    </row>
    <row r="854" spans="1:13" x14ac:dyDescent="0.3">
      <c r="A854">
        <v>853</v>
      </c>
      <c r="B854" t="s">
        <v>51</v>
      </c>
      <c r="C854">
        <v>20700000</v>
      </c>
      <c r="D854">
        <v>8658941531</v>
      </c>
      <c r="E854" t="s">
        <v>994</v>
      </c>
      <c r="F854">
        <v>889</v>
      </c>
      <c r="G854" t="s">
        <v>1000</v>
      </c>
      <c r="H854" t="s">
        <v>1302</v>
      </c>
      <c r="I854">
        <v>26500000</v>
      </c>
      <c r="J854">
        <v>2015</v>
      </c>
      <c r="K854">
        <v>10</v>
      </c>
      <c r="L854">
        <v>26</v>
      </c>
      <c r="M854">
        <v>144373535</v>
      </c>
    </row>
    <row r="855" spans="1:13" x14ac:dyDescent="0.3">
      <c r="A855">
        <v>854</v>
      </c>
      <c r="B855" t="s">
        <v>610</v>
      </c>
      <c r="C855">
        <v>14000000</v>
      </c>
      <c r="D855">
        <v>4674164601</v>
      </c>
      <c r="E855" t="s">
        <v>994</v>
      </c>
      <c r="F855">
        <v>651</v>
      </c>
      <c r="G855" t="s">
        <v>1058</v>
      </c>
      <c r="H855" t="s">
        <v>1305</v>
      </c>
      <c r="I855">
        <v>1300000</v>
      </c>
      <c r="J855">
        <v>2014</v>
      </c>
      <c r="K855">
        <v>12</v>
      </c>
      <c r="L855">
        <v>30</v>
      </c>
      <c r="M855">
        <v>126014024</v>
      </c>
    </row>
    <row r="856" spans="1:13" x14ac:dyDescent="0.3">
      <c r="A856">
        <v>855</v>
      </c>
      <c r="B856" t="s">
        <v>79</v>
      </c>
      <c r="C856">
        <v>14500000</v>
      </c>
      <c r="D856">
        <v>10303519926</v>
      </c>
      <c r="E856" t="s">
        <v>994</v>
      </c>
      <c r="F856">
        <v>293516</v>
      </c>
      <c r="G856" t="s">
        <v>978</v>
      </c>
      <c r="H856" t="s">
        <v>1302</v>
      </c>
      <c r="I856">
        <v>20100000</v>
      </c>
      <c r="J856">
        <v>2018</v>
      </c>
      <c r="K856">
        <v>11</v>
      </c>
      <c r="L856">
        <v>19</v>
      </c>
      <c r="M856">
        <v>1366417754</v>
      </c>
    </row>
    <row r="857" spans="1:13" x14ac:dyDescent="0.3">
      <c r="A857">
        <v>856</v>
      </c>
      <c r="B857" t="s">
        <v>490</v>
      </c>
      <c r="C857">
        <v>13100000</v>
      </c>
      <c r="D857">
        <v>5264039679</v>
      </c>
      <c r="E857" t="s">
        <v>977</v>
      </c>
      <c r="F857">
        <v>194</v>
      </c>
      <c r="G857" t="s">
        <v>984</v>
      </c>
      <c r="H857" t="s">
        <v>1303</v>
      </c>
      <c r="I857">
        <v>2400000</v>
      </c>
      <c r="J857">
        <v>2009</v>
      </c>
      <c r="K857">
        <v>9</v>
      </c>
      <c r="L857">
        <v>5</v>
      </c>
      <c r="M857">
        <v>328239523</v>
      </c>
    </row>
    <row r="858" spans="1:13" x14ac:dyDescent="0.3">
      <c r="A858">
        <v>857</v>
      </c>
      <c r="B858" t="s">
        <v>348</v>
      </c>
      <c r="C858">
        <v>16100000</v>
      </c>
      <c r="D858">
        <v>5055576881</v>
      </c>
      <c r="E858" t="s">
        <v>977</v>
      </c>
      <c r="F858">
        <v>1123</v>
      </c>
      <c r="G858" t="s">
        <v>1294</v>
      </c>
      <c r="H858" t="s">
        <v>1294</v>
      </c>
      <c r="I858">
        <v>4700000</v>
      </c>
      <c r="J858">
        <v>2016</v>
      </c>
      <c r="K858">
        <v>3</v>
      </c>
      <c r="L858">
        <v>27</v>
      </c>
      <c r="M858" t="s">
        <v>1294</v>
      </c>
    </row>
    <row r="859" spans="1:13" x14ac:dyDescent="0.3">
      <c r="A859">
        <v>858</v>
      </c>
      <c r="B859" t="s">
        <v>576</v>
      </c>
      <c r="C859">
        <v>13500000</v>
      </c>
      <c r="D859">
        <v>4301581610</v>
      </c>
      <c r="E859" t="s">
        <v>996</v>
      </c>
      <c r="F859">
        <v>4312</v>
      </c>
      <c r="G859" t="s">
        <v>1017</v>
      </c>
      <c r="H859" t="s">
        <v>1303</v>
      </c>
      <c r="I859">
        <v>1600000</v>
      </c>
      <c r="J859">
        <v>2008</v>
      </c>
      <c r="K859">
        <v>8</v>
      </c>
      <c r="L859">
        <v>24</v>
      </c>
      <c r="M859">
        <v>36991981</v>
      </c>
    </row>
    <row r="860" spans="1:13" x14ac:dyDescent="0.3">
      <c r="A860">
        <v>859</v>
      </c>
      <c r="B860" t="s">
        <v>274</v>
      </c>
      <c r="C860">
        <v>16400000</v>
      </c>
      <c r="D860">
        <v>7135820721</v>
      </c>
      <c r="E860" t="s">
        <v>1004</v>
      </c>
      <c r="F860">
        <v>14662</v>
      </c>
      <c r="G860" t="s">
        <v>984</v>
      </c>
      <c r="H860" t="s">
        <v>1303</v>
      </c>
      <c r="I860">
        <v>6400000</v>
      </c>
      <c r="J860">
        <v>2006</v>
      </c>
      <c r="K860">
        <v>3</v>
      </c>
      <c r="L860">
        <v>4</v>
      </c>
      <c r="M860">
        <v>328239523</v>
      </c>
    </row>
    <row r="861" spans="1:13" x14ac:dyDescent="0.3">
      <c r="A861">
        <v>860</v>
      </c>
      <c r="B861" t="s">
        <v>884</v>
      </c>
      <c r="C861">
        <v>36600000</v>
      </c>
      <c r="D861">
        <v>15653786446</v>
      </c>
      <c r="E861" t="s">
        <v>1057</v>
      </c>
      <c r="F861">
        <v>9168</v>
      </c>
      <c r="G861" t="s">
        <v>978</v>
      </c>
      <c r="H861" t="s">
        <v>1302</v>
      </c>
      <c r="I861">
        <v>0</v>
      </c>
      <c r="J861">
        <v>2009</v>
      </c>
      <c r="K861">
        <v>10</v>
      </c>
      <c r="L861">
        <v>21</v>
      </c>
      <c r="M861">
        <v>1366417754</v>
      </c>
    </row>
    <row r="862" spans="1:13" x14ac:dyDescent="0.3">
      <c r="A862">
        <v>861</v>
      </c>
      <c r="B862" t="s">
        <v>890</v>
      </c>
      <c r="C862">
        <v>22900000</v>
      </c>
      <c r="D862">
        <v>5320485069</v>
      </c>
      <c r="E862" t="s">
        <v>1108</v>
      </c>
      <c r="F862">
        <v>1670</v>
      </c>
      <c r="G862" t="s">
        <v>978</v>
      </c>
      <c r="H862" t="s">
        <v>1302</v>
      </c>
      <c r="I862">
        <v>0</v>
      </c>
      <c r="J862">
        <v>2011</v>
      </c>
      <c r="K862">
        <v>5</v>
      </c>
      <c r="L862">
        <v>17</v>
      </c>
      <c r="M862">
        <v>1366417754</v>
      </c>
    </row>
    <row r="863" spans="1:13" x14ac:dyDescent="0.3">
      <c r="A863">
        <v>862</v>
      </c>
      <c r="B863" t="s">
        <v>398</v>
      </c>
      <c r="C863">
        <v>29600000</v>
      </c>
      <c r="D863">
        <v>17208027242</v>
      </c>
      <c r="E863" t="s">
        <v>977</v>
      </c>
      <c r="F863">
        <v>4903</v>
      </c>
      <c r="G863" t="s">
        <v>984</v>
      </c>
      <c r="H863" t="s">
        <v>1303</v>
      </c>
      <c r="I863">
        <v>3900000</v>
      </c>
      <c r="J863">
        <v>2006</v>
      </c>
      <c r="K863">
        <v>10</v>
      </c>
      <c r="L863">
        <v>24</v>
      </c>
      <c r="M863">
        <v>328239523</v>
      </c>
    </row>
    <row r="864" spans="1:13" x14ac:dyDescent="0.3">
      <c r="A864">
        <v>863</v>
      </c>
      <c r="B864" t="s">
        <v>679</v>
      </c>
      <c r="C864">
        <v>19300000</v>
      </c>
      <c r="D864">
        <v>4508184467</v>
      </c>
      <c r="E864" t="s">
        <v>1088</v>
      </c>
      <c r="F864">
        <v>2175</v>
      </c>
      <c r="G864" t="s">
        <v>1294</v>
      </c>
      <c r="H864" t="s">
        <v>1294</v>
      </c>
      <c r="I864">
        <v>802500</v>
      </c>
      <c r="J864">
        <v>2010</v>
      </c>
      <c r="K864">
        <v>12</v>
      </c>
      <c r="L864">
        <v>21</v>
      </c>
      <c r="M864" t="s">
        <v>1294</v>
      </c>
    </row>
    <row r="865" spans="1:13" x14ac:dyDescent="0.3">
      <c r="A865">
        <v>864</v>
      </c>
      <c r="B865" t="s">
        <v>123</v>
      </c>
      <c r="C865">
        <v>23100000</v>
      </c>
      <c r="D865">
        <v>9299371231</v>
      </c>
      <c r="E865" t="s">
        <v>977</v>
      </c>
      <c r="F865">
        <v>456</v>
      </c>
      <c r="G865" t="s">
        <v>978</v>
      </c>
      <c r="H865" t="s">
        <v>1302</v>
      </c>
      <c r="I865">
        <v>14600000</v>
      </c>
      <c r="J865">
        <v>2016</v>
      </c>
      <c r="K865">
        <v>9</v>
      </c>
      <c r="L865">
        <v>27</v>
      </c>
      <c r="M865">
        <v>1366417754</v>
      </c>
    </row>
    <row r="866" spans="1:13" x14ac:dyDescent="0.3">
      <c r="A866">
        <v>865</v>
      </c>
      <c r="B866" t="s">
        <v>227</v>
      </c>
      <c r="C866">
        <v>15900000</v>
      </c>
      <c r="D866">
        <v>9052367553</v>
      </c>
      <c r="E866" t="s">
        <v>996</v>
      </c>
      <c r="F866">
        <v>796</v>
      </c>
      <c r="G866" t="s">
        <v>984</v>
      </c>
      <c r="H866" t="s">
        <v>1303</v>
      </c>
      <c r="I866">
        <v>7900000</v>
      </c>
      <c r="J866">
        <v>2016</v>
      </c>
      <c r="K866">
        <v>5</v>
      </c>
      <c r="L866">
        <v>1</v>
      </c>
      <c r="M866">
        <v>328239523</v>
      </c>
    </row>
    <row r="867" spans="1:13" x14ac:dyDescent="0.3">
      <c r="A867">
        <v>866</v>
      </c>
      <c r="B867" t="s">
        <v>597</v>
      </c>
      <c r="C867">
        <v>23400000</v>
      </c>
      <c r="D867">
        <v>7926899136</v>
      </c>
      <c r="E867" t="s">
        <v>982</v>
      </c>
      <c r="F867">
        <v>1291</v>
      </c>
      <c r="G867" t="s">
        <v>1019</v>
      </c>
      <c r="H867" t="s">
        <v>1305</v>
      </c>
      <c r="I867">
        <v>1400000</v>
      </c>
      <c r="J867">
        <v>2014</v>
      </c>
      <c r="K867">
        <v>4</v>
      </c>
      <c r="L867">
        <v>14</v>
      </c>
      <c r="M867">
        <v>212559417</v>
      </c>
    </row>
    <row r="868" spans="1:13" x14ac:dyDescent="0.3">
      <c r="A868">
        <v>867</v>
      </c>
      <c r="B868" t="s">
        <v>239</v>
      </c>
      <c r="C868">
        <v>22700000</v>
      </c>
      <c r="D868">
        <v>10115316784</v>
      </c>
      <c r="E868" t="s">
        <v>994</v>
      </c>
      <c r="F868">
        <v>985</v>
      </c>
      <c r="G868" t="s">
        <v>984</v>
      </c>
      <c r="H868" t="s">
        <v>1303</v>
      </c>
      <c r="I868">
        <v>7500000</v>
      </c>
      <c r="J868">
        <v>2015</v>
      </c>
      <c r="K868">
        <v>9</v>
      </c>
      <c r="L868">
        <v>9</v>
      </c>
      <c r="M868">
        <v>328239523</v>
      </c>
    </row>
    <row r="869" spans="1:13" x14ac:dyDescent="0.3">
      <c r="A869">
        <v>868</v>
      </c>
      <c r="B869" t="s">
        <v>471</v>
      </c>
      <c r="C869">
        <v>25800000</v>
      </c>
      <c r="D869">
        <v>15541421838</v>
      </c>
      <c r="E869" t="s">
        <v>996</v>
      </c>
      <c r="F869">
        <v>1762</v>
      </c>
      <c r="G869" t="s">
        <v>1017</v>
      </c>
      <c r="H869" t="s">
        <v>1303</v>
      </c>
      <c r="I869">
        <v>2600000</v>
      </c>
      <c r="J869">
        <v>2011</v>
      </c>
      <c r="K869">
        <v>9</v>
      </c>
      <c r="L869">
        <v>15</v>
      </c>
      <c r="M869">
        <v>36991981</v>
      </c>
    </row>
    <row r="870" spans="1:13" x14ac:dyDescent="0.3">
      <c r="A870">
        <v>869</v>
      </c>
      <c r="B870" t="s">
        <v>546</v>
      </c>
      <c r="C870">
        <v>33800000</v>
      </c>
      <c r="D870">
        <v>15432929204</v>
      </c>
      <c r="E870" t="s">
        <v>996</v>
      </c>
      <c r="F870">
        <v>7606</v>
      </c>
      <c r="G870" t="s">
        <v>1065</v>
      </c>
      <c r="H870" t="s">
        <v>1304</v>
      </c>
      <c r="I870">
        <v>1900000</v>
      </c>
      <c r="J870">
        <v>2008</v>
      </c>
      <c r="K870">
        <v>3</v>
      </c>
      <c r="L870">
        <v>2</v>
      </c>
      <c r="M870">
        <v>47076781</v>
      </c>
    </row>
    <row r="871" spans="1:13" x14ac:dyDescent="0.3">
      <c r="A871">
        <v>870</v>
      </c>
      <c r="B871" t="s">
        <v>804</v>
      </c>
      <c r="C871">
        <v>23800000</v>
      </c>
      <c r="D871">
        <v>5663125358</v>
      </c>
      <c r="E871" t="s">
        <v>988</v>
      </c>
      <c r="F871">
        <v>70</v>
      </c>
      <c r="G871" t="s">
        <v>1294</v>
      </c>
      <c r="H871" t="s">
        <v>1294</v>
      </c>
      <c r="I871">
        <v>1500</v>
      </c>
      <c r="J871">
        <v>2016</v>
      </c>
      <c r="K871">
        <v>5</v>
      </c>
      <c r="L871">
        <v>17</v>
      </c>
      <c r="M871" t="s">
        <v>1294</v>
      </c>
    </row>
    <row r="872" spans="1:13" x14ac:dyDescent="0.3">
      <c r="A872">
        <v>871</v>
      </c>
      <c r="B872" t="s">
        <v>524</v>
      </c>
      <c r="C872">
        <v>13900000</v>
      </c>
      <c r="D872">
        <v>2165885634</v>
      </c>
      <c r="E872" t="s">
        <v>990</v>
      </c>
      <c r="F872">
        <v>369</v>
      </c>
      <c r="G872" t="s">
        <v>984</v>
      </c>
      <c r="H872" t="s">
        <v>1303</v>
      </c>
      <c r="I872">
        <v>2100000</v>
      </c>
      <c r="J872">
        <v>2010</v>
      </c>
      <c r="K872">
        <v>7</v>
      </c>
      <c r="L872">
        <v>21</v>
      </c>
      <c r="M872">
        <v>328239523</v>
      </c>
    </row>
    <row r="873" spans="1:13" x14ac:dyDescent="0.3">
      <c r="A873">
        <v>872</v>
      </c>
      <c r="B873" t="s">
        <v>785</v>
      </c>
      <c r="C873">
        <v>20000000</v>
      </c>
      <c r="D873">
        <v>559765455</v>
      </c>
      <c r="E873" t="s">
        <v>977</v>
      </c>
      <c r="F873">
        <v>1527</v>
      </c>
      <c r="G873" t="s">
        <v>984</v>
      </c>
      <c r="H873" t="s">
        <v>1303</v>
      </c>
      <c r="I873">
        <v>63900</v>
      </c>
      <c r="J873">
        <v>2006</v>
      </c>
      <c r="K873">
        <v>4</v>
      </c>
      <c r="L873">
        <v>14</v>
      </c>
      <c r="M873">
        <v>328239523</v>
      </c>
    </row>
    <row r="874" spans="1:13" x14ac:dyDescent="0.3">
      <c r="A874">
        <v>873</v>
      </c>
      <c r="B874" t="s">
        <v>887</v>
      </c>
      <c r="C874">
        <v>13300000</v>
      </c>
      <c r="D874">
        <v>7923901253</v>
      </c>
      <c r="E874" t="s">
        <v>988</v>
      </c>
      <c r="F874">
        <v>2411</v>
      </c>
      <c r="G874" t="s">
        <v>1152</v>
      </c>
      <c r="H874" t="s">
        <v>1304</v>
      </c>
      <c r="I874">
        <v>0</v>
      </c>
      <c r="J874">
        <v>2014</v>
      </c>
      <c r="K874">
        <v>9</v>
      </c>
      <c r="L874">
        <v>8</v>
      </c>
      <c r="M874">
        <v>44385155</v>
      </c>
    </row>
    <row r="875" spans="1:13" x14ac:dyDescent="0.3">
      <c r="A875">
        <v>874</v>
      </c>
      <c r="B875" t="s">
        <v>659</v>
      </c>
      <c r="C875">
        <v>13400000</v>
      </c>
      <c r="D875">
        <v>20563378</v>
      </c>
      <c r="E875" t="s">
        <v>1294</v>
      </c>
      <c r="F875">
        <v>256</v>
      </c>
      <c r="G875" t="s">
        <v>978</v>
      </c>
      <c r="H875" t="s">
        <v>1302</v>
      </c>
      <c r="I875">
        <v>972700</v>
      </c>
      <c r="J875">
        <v>2022</v>
      </c>
      <c r="K875">
        <v>6</v>
      </c>
      <c r="L875">
        <v>5</v>
      </c>
      <c r="M875">
        <v>1366417754</v>
      </c>
    </row>
    <row r="876" spans="1:13" x14ac:dyDescent="0.3">
      <c r="A876">
        <v>875</v>
      </c>
      <c r="B876" t="s">
        <v>562</v>
      </c>
      <c r="C876">
        <v>16900000</v>
      </c>
      <c r="D876">
        <v>4609753237</v>
      </c>
      <c r="E876" t="s">
        <v>988</v>
      </c>
      <c r="F876">
        <v>3900</v>
      </c>
      <c r="G876" t="s">
        <v>984</v>
      </c>
      <c r="H876" t="s">
        <v>1303</v>
      </c>
      <c r="I876">
        <v>1700000</v>
      </c>
      <c r="J876">
        <v>2005</v>
      </c>
      <c r="K876">
        <v>12</v>
      </c>
      <c r="L876">
        <v>16</v>
      </c>
      <c r="M876">
        <v>328239523</v>
      </c>
    </row>
    <row r="877" spans="1:13" x14ac:dyDescent="0.3">
      <c r="A877">
        <v>876</v>
      </c>
      <c r="B877" t="s">
        <v>316</v>
      </c>
      <c r="C877">
        <v>13500000</v>
      </c>
      <c r="D877">
        <v>7958771872</v>
      </c>
      <c r="E877" t="s">
        <v>988</v>
      </c>
      <c r="F877">
        <v>1357</v>
      </c>
      <c r="G877" t="s">
        <v>978</v>
      </c>
      <c r="H877" t="s">
        <v>1302</v>
      </c>
      <c r="I877">
        <v>5300000</v>
      </c>
      <c r="J877">
        <v>2019</v>
      </c>
      <c r="K877">
        <v>3</v>
      </c>
      <c r="L877">
        <v>22</v>
      </c>
      <c r="M877">
        <v>1366417754</v>
      </c>
    </row>
    <row r="878" spans="1:13" x14ac:dyDescent="0.3">
      <c r="A878">
        <v>877</v>
      </c>
      <c r="B878" t="s">
        <v>24</v>
      </c>
      <c r="C878">
        <v>20400000</v>
      </c>
      <c r="D878">
        <v>29406206620</v>
      </c>
      <c r="E878" t="s">
        <v>988</v>
      </c>
      <c r="F878">
        <v>51515</v>
      </c>
      <c r="G878" t="s">
        <v>978</v>
      </c>
      <c r="H878" t="s">
        <v>1302</v>
      </c>
      <c r="I878">
        <v>43600000</v>
      </c>
      <c r="J878">
        <v>2007</v>
      </c>
      <c r="K878">
        <v>2</v>
      </c>
      <c r="L878">
        <v>1</v>
      </c>
      <c r="M878">
        <v>1366417754</v>
      </c>
    </row>
    <row r="879" spans="1:13" x14ac:dyDescent="0.3">
      <c r="A879">
        <v>878</v>
      </c>
      <c r="B879" t="s">
        <v>190</v>
      </c>
      <c r="C879">
        <v>21600000</v>
      </c>
      <c r="D879">
        <v>5863377051</v>
      </c>
      <c r="E879" t="s">
        <v>1011</v>
      </c>
      <c r="F879">
        <v>219</v>
      </c>
      <c r="G879" t="s">
        <v>978</v>
      </c>
      <c r="H879" t="s">
        <v>1302</v>
      </c>
      <c r="I879">
        <v>9300000</v>
      </c>
      <c r="J879">
        <v>2018</v>
      </c>
      <c r="K879">
        <v>4</v>
      </c>
      <c r="L879">
        <v>25</v>
      </c>
      <c r="M879">
        <v>1366417754</v>
      </c>
    </row>
    <row r="880" spans="1:13" x14ac:dyDescent="0.3">
      <c r="A880">
        <v>879</v>
      </c>
      <c r="B880" t="s">
        <v>142</v>
      </c>
      <c r="C880">
        <v>13200000</v>
      </c>
      <c r="D880">
        <v>4205664894</v>
      </c>
      <c r="E880" t="s">
        <v>1294</v>
      </c>
      <c r="F880">
        <v>1324</v>
      </c>
      <c r="G880" t="s">
        <v>1081</v>
      </c>
      <c r="H880" t="s">
        <v>1302</v>
      </c>
      <c r="I880">
        <v>12700000</v>
      </c>
      <c r="J880">
        <v>2013</v>
      </c>
      <c r="K880">
        <v>9</v>
      </c>
      <c r="L880">
        <v>25</v>
      </c>
      <c r="M880">
        <v>270203917</v>
      </c>
    </row>
    <row r="881" spans="1:13" x14ac:dyDescent="0.3">
      <c r="A881">
        <v>880</v>
      </c>
      <c r="B881" t="s">
        <v>12</v>
      </c>
      <c r="C881">
        <v>14000000</v>
      </c>
      <c r="D881">
        <v>18917687143</v>
      </c>
      <c r="E881" t="s">
        <v>994</v>
      </c>
      <c r="F881">
        <v>41117</v>
      </c>
      <c r="G881" t="s">
        <v>984</v>
      </c>
      <c r="H881" t="s">
        <v>1303</v>
      </c>
      <c r="I881">
        <v>65500000</v>
      </c>
      <c r="J881">
        <v>2014</v>
      </c>
      <c r="K881">
        <v>8</v>
      </c>
      <c r="L881">
        <v>22</v>
      </c>
      <c r="M881">
        <v>328239523</v>
      </c>
    </row>
    <row r="882" spans="1:13" x14ac:dyDescent="0.3">
      <c r="A882">
        <v>881</v>
      </c>
      <c r="B882" t="s">
        <v>48</v>
      </c>
      <c r="C882">
        <v>98900000</v>
      </c>
      <c r="D882">
        <v>77180169894</v>
      </c>
      <c r="E882" t="s">
        <v>988</v>
      </c>
      <c r="F882">
        <v>574</v>
      </c>
      <c r="G882" t="s">
        <v>984</v>
      </c>
      <c r="H882" t="s">
        <v>1303</v>
      </c>
      <c r="I882">
        <v>27900000</v>
      </c>
      <c r="J882">
        <v>2018</v>
      </c>
      <c r="K882">
        <v>4</v>
      </c>
      <c r="L882">
        <v>23</v>
      </c>
      <c r="M882">
        <v>328239523</v>
      </c>
    </row>
    <row r="883" spans="1:13" x14ac:dyDescent="0.3">
      <c r="A883">
        <v>882</v>
      </c>
      <c r="B883" t="s">
        <v>583</v>
      </c>
      <c r="C883">
        <v>16100000</v>
      </c>
      <c r="D883">
        <v>7399296005</v>
      </c>
      <c r="E883" t="s">
        <v>1294</v>
      </c>
      <c r="F883">
        <v>510</v>
      </c>
      <c r="G883" t="s">
        <v>984</v>
      </c>
      <c r="H883" t="s">
        <v>1303</v>
      </c>
      <c r="I883">
        <v>1500000</v>
      </c>
      <c r="J883">
        <v>2019</v>
      </c>
      <c r="K883">
        <v>5</v>
      </c>
      <c r="L883">
        <v>24</v>
      </c>
      <c r="M883">
        <v>328239523</v>
      </c>
    </row>
    <row r="884" spans="1:13" x14ac:dyDescent="0.3">
      <c r="A884">
        <v>883</v>
      </c>
      <c r="B884" t="s">
        <v>436</v>
      </c>
      <c r="C884">
        <v>22500000</v>
      </c>
      <c r="D884">
        <v>10613701948</v>
      </c>
      <c r="E884" t="s">
        <v>1294</v>
      </c>
      <c r="F884">
        <v>526</v>
      </c>
      <c r="G884" t="s">
        <v>984</v>
      </c>
      <c r="H884" t="s">
        <v>1303</v>
      </c>
      <c r="I884">
        <v>3100000</v>
      </c>
      <c r="J884">
        <v>2018</v>
      </c>
      <c r="K884">
        <v>11</v>
      </c>
      <c r="L884">
        <v>9</v>
      </c>
      <c r="M884">
        <v>328239523</v>
      </c>
    </row>
    <row r="885" spans="1:13" x14ac:dyDescent="0.3">
      <c r="A885">
        <v>884</v>
      </c>
      <c r="B885" t="s">
        <v>203</v>
      </c>
      <c r="C885">
        <v>22000000</v>
      </c>
      <c r="D885">
        <v>8594440895</v>
      </c>
      <c r="E885" t="s">
        <v>1294</v>
      </c>
      <c r="F885">
        <v>515</v>
      </c>
      <c r="G885" t="s">
        <v>984</v>
      </c>
      <c r="H885" t="s">
        <v>1303</v>
      </c>
      <c r="I885">
        <v>8800000</v>
      </c>
      <c r="J885">
        <v>2018</v>
      </c>
      <c r="K885">
        <v>10</v>
      </c>
      <c r="L885">
        <v>11</v>
      </c>
      <c r="M885">
        <v>328239523</v>
      </c>
    </row>
    <row r="886" spans="1:13" x14ac:dyDescent="0.3">
      <c r="A886">
        <v>885</v>
      </c>
      <c r="B886" t="s">
        <v>275</v>
      </c>
      <c r="C886">
        <v>21000000</v>
      </c>
      <c r="D886">
        <v>9789121606</v>
      </c>
      <c r="E886" t="s">
        <v>1294</v>
      </c>
      <c r="F886">
        <v>498</v>
      </c>
      <c r="G886" t="s">
        <v>984</v>
      </c>
      <c r="H886" t="s">
        <v>1303</v>
      </c>
      <c r="I886">
        <v>6400000</v>
      </c>
      <c r="J886">
        <v>2018</v>
      </c>
      <c r="K886">
        <v>11</v>
      </c>
      <c r="L886">
        <v>9</v>
      </c>
      <c r="M886">
        <v>328239523</v>
      </c>
    </row>
    <row r="887" spans="1:13" x14ac:dyDescent="0.3">
      <c r="A887">
        <v>886</v>
      </c>
      <c r="B887" t="s">
        <v>548</v>
      </c>
      <c r="C887">
        <v>14400000</v>
      </c>
      <c r="D887">
        <v>6543282459</v>
      </c>
      <c r="E887" t="s">
        <v>1294</v>
      </c>
      <c r="F887">
        <v>516</v>
      </c>
      <c r="G887" t="s">
        <v>984</v>
      </c>
      <c r="H887" t="s">
        <v>1303</v>
      </c>
      <c r="I887">
        <v>1900000</v>
      </c>
      <c r="J887">
        <v>2018</v>
      </c>
      <c r="K887">
        <v>11</v>
      </c>
      <c r="L887">
        <v>3</v>
      </c>
      <c r="M887">
        <v>328239523</v>
      </c>
    </row>
    <row r="888" spans="1:13" x14ac:dyDescent="0.3">
      <c r="A888">
        <v>887</v>
      </c>
      <c r="B888" t="s">
        <v>155</v>
      </c>
      <c r="C888">
        <v>37900000</v>
      </c>
      <c r="D888">
        <v>23510152352</v>
      </c>
      <c r="E888" t="s">
        <v>1294</v>
      </c>
      <c r="F888">
        <v>515</v>
      </c>
      <c r="G888" t="s">
        <v>984</v>
      </c>
      <c r="H888" t="s">
        <v>1303</v>
      </c>
      <c r="I888">
        <v>11700000</v>
      </c>
      <c r="J888">
        <v>2018</v>
      </c>
      <c r="K888">
        <v>7</v>
      </c>
      <c r="L888">
        <v>20</v>
      </c>
      <c r="M888">
        <v>328239523</v>
      </c>
    </row>
    <row r="889" spans="1:13" x14ac:dyDescent="0.3">
      <c r="A889">
        <v>888</v>
      </c>
      <c r="B889" t="s">
        <v>366</v>
      </c>
      <c r="C889">
        <v>13400000</v>
      </c>
      <c r="D889">
        <v>4622628957</v>
      </c>
      <c r="E889" t="s">
        <v>1294</v>
      </c>
      <c r="F889">
        <v>477</v>
      </c>
      <c r="G889" t="s">
        <v>984</v>
      </c>
      <c r="H889" t="s">
        <v>1303</v>
      </c>
      <c r="I889">
        <v>4400000</v>
      </c>
      <c r="J889">
        <v>2018</v>
      </c>
      <c r="K889">
        <v>11</v>
      </c>
      <c r="L889">
        <v>8</v>
      </c>
      <c r="M889">
        <v>328239523</v>
      </c>
    </row>
    <row r="890" spans="1:13" x14ac:dyDescent="0.3">
      <c r="A890">
        <v>889</v>
      </c>
      <c r="B890" t="s">
        <v>498</v>
      </c>
      <c r="C890">
        <v>44700000</v>
      </c>
      <c r="D890">
        <v>7828610828</v>
      </c>
      <c r="E890" t="s">
        <v>988</v>
      </c>
      <c r="F890">
        <v>1558</v>
      </c>
      <c r="G890" t="s">
        <v>1019</v>
      </c>
      <c r="H890" t="s">
        <v>1305</v>
      </c>
      <c r="I890">
        <v>2300000</v>
      </c>
      <c r="J890">
        <v>2013</v>
      </c>
      <c r="K890">
        <v>9</v>
      </c>
      <c r="L890">
        <v>1</v>
      </c>
      <c r="M890">
        <v>212559417</v>
      </c>
    </row>
    <row r="891" spans="1:13" x14ac:dyDescent="0.3">
      <c r="A891">
        <v>890</v>
      </c>
      <c r="B891" t="s">
        <v>512</v>
      </c>
      <c r="C891">
        <v>13300000</v>
      </c>
      <c r="D891">
        <v>4177184071</v>
      </c>
      <c r="E891" t="s">
        <v>988</v>
      </c>
      <c r="F891">
        <v>3166</v>
      </c>
      <c r="G891" t="s">
        <v>984</v>
      </c>
      <c r="H891" t="s">
        <v>1303</v>
      </c>
      <c r="I891">
        <v>2200000</v>
      </c>
      <c r="J891">
        <v>2008</v>
      </c>
      <c r="K891">
        <v>6</v>
      </c>
      <c r="L891">
        <v>29</v>
      </c>
      <c r="M891">
        <v>328239523</v>
      </c>
    </row>
    <row r="892" spans="1:13" x14ac:dyDescent="0.3">
      <c r="A892">
        <v>891</v>
      </c>
      <c r="B892" t="s">
        <v>480</v>
      </c>
      <c r="C892">
        <v>15700000</v>
      </c>
      <c r="D892">
        <v>9787697838</v>
      </c>
      <c r="E892" t="s">
        <v>982</v>
      </c>
      <c r="F892">
        <v>16874</v>
      </c>
      <c r="G892" t="s">
        <v>978</v>
      </c>
      <c r="H892" t="s">
        <v>1302</v>
      </c>
      <c r="I892">
        <v>2500000</v>
      </c>
      <c r="J892">
        <v>2012</v>
      </c>
      <c r="K892">
        <v>3</v>
      </c>
      <c r="L892">
        <v>23</v>
      </c>
      <c r="M892">
        <v>1366417754</v>
      </c>
    </row>
    <row r="893" spans="1:13" x14ac:dyDescent="0.3">
      <c r="A893">
        <v>892</v>
      </c>
      <c r="B893" t="s">
        <v>163</v>
      </c>
      <c r="C893">
        <v>45500000</v>
      </c>
      <c r="D893">
        <v>21388725229</v>
      </c>
      <c r="E893" t="s">
        <v>988</v>
      </c>
      <c r="F893">
        <v>4660</v>
      </c>
      <c r="G893" t="s">
        <v>978</v>
      </c>
      <c r="H893" t="s">
        <v>1302</v>
      </c>
      <c r="I893">
        <v>11200000</v>
      </c>
      <c r="J893">
        <v>2016</v>
      </c>
      <c r="K893">
        <v>11</v>
      </c>
      <c r="L893">
        <v>23</v>
      </c>
      <c r="M893">
        <v>1366417754</v>
      </c>
    </row>
    <row r="894" spans="1:13" x14ac:dyDescent="0.3">
      <c r="A894">
        <v>893</v>
      </c>
      <c r="B894" t="s">
        <v>428</v>
      </c>
      <c r="C894">
        <v>19300000</v>
      </c>
      <c r="D894">
        <v>2897907132</v>
      </c>
      <c r="E894" t="s">
        <v>1088</v>
      </c>
      <c r="F894">
        <v>462</v>
      </c>
      <c r="G894" t="s">
        <v>1294</v>
      </c>
      <c r="H894" t="s">
        <v>1294</v>
      </c>
      <c r="I894">
        <v>3300000</v>
      </c>
      <c r="J894">
        <v>2007</v>
      </c>
      <c r="K894">
        <v>7</v>
      </c>
      <c r="L894">
        <v>30</v>
      </c>
      <c r="M894" t="s">
        <v>1294</v>
      </c>
    </row>
    <row r="895" spans="1:13" x14ac:dyDescent="0.3">
      <c r="A895">
        <v>894</v>
      </c>
      <c r="B895" t="s">
        <v>771</v>
      </c>
      <c r="C895">
        <v>16300000</v>
      </c>
      <c r="D895">
        <v>4768370464</v>
      </c>
      <c r="E895" t="s">
        <v>996</v>
      </c>
      <c r="F895">
        <v>652</v>
      </c>
      <c r="G895" t="s">
        <v>1013</v>
      </c>
      <c r="H895" t="s">
        <v>1304</v>
      </c>
      <c r="I895">
        <v>147800</v>
      </c>
      <c r="J895">
        <v>2012</v>
      </c>
      <c r="K895">
        <v>7</v>
      </c>
      <c r="L895">
        <v>26</v>
      </c>
      <c r="M895">
        <v>66834405</v>
      </c>
    </row>
    <row r="896" spans="1:13" x14ac:dyDescent="0.3">
      <c r="A896">
        <v>895</v>
      </c>
      <c r="B896" t="s">
        <v>1288</v>
      </c>
      <c r="C896">
        <v>12400000</v>
      </c>
      <c r="D896">
        <v>2394143260</v>
      </c>
      <c r="E896" t="s">
        <v>996</v>
      </c>
      <c r="F896">
        <v>690</v>
      </c>
      <c r="G896" t="s">
        <v>984</v>
      </c>
      <c r="H896" t="s">
        <v>1303</v>
      </c>
      <c r="I896">
        <v>1300</v>
      </c>
      <c r="J896">
        <v>2006</v>
      </c>
      <c r="K896">
        <v>1</v>
      </c>
      <c r="L896">
        <v>4</v>
      </c>
      <c r="M896">
        <v>328239523</v>
      </c>
    </row>
    <row r="897" spans="1:13" x14ac:dyDescent="0.3">
      <c r="A897">
        <v>896</v>
      </c>
      <c r="B897" t="s">
        <v>489</v>
      </c>
      <c r="C897">
        <v>25100000</v>
      </c>
      <c r="D897">
        <v>16357064198</v>
      </c>
      <c r="E897" t="s">
        <v>977</v>
      </c>
      <c r="F897">
        <v>24837</v>
      </c>
      <c r="G897" t="s">
        <v>1017</v>
      </c>
      <c r="H897" t="s">
        <v>1303</v>
      </c>
      <c r="I897">
        <v>2400000</v>
      </c>
      <c r="J897">
        <v>2007</v>
      </c>
      <c r="K897">
        <v>1</v>
      </c>
      <c r="L897">
        <v>25</v>
      </c>
      <c r="M897">
        <v>36991981</v>
      </c>
    </row>
    <row r="898" spans="1:13" x14ac:dyDescent="0.3">
      <c r="A898">
        <v>897</v>
      </c>
      <c r="B898" t="s">
        <v>165</v>
      </c>
      <c r="C898">
        <v>58000000</v>
      </c>
      <c r="D898">
        <v>40602020243</v>
      </c>
      <c r="E898" t="s">
        <v>977</v>
      </c>
      <c r="F898">
        <v>19487</v>
      </c>
      <c r="G898" t="s">
        <v>978</v>
      </c>
      <c r="H898" t="s">
        <v>1302</v>
      </c>
      <c r="I898">
        <v>11100000</v>
      </c>
      <c r="J898">
        <v>2014</v>
      </c>
      <c r="K898">
        <v>10</v>
      </c>
      <c r="L898">
        <v>29</v>
      </c>
      <c r="M898">
        <v>1366417754</v>
      </c>
    </row>
    <row r="899" spans="1:13" x14ac:dyDescent="0.3">
      <c r="A899">
        <v>898</v>
      </c>
      <c r="B899" t="s">
        <v>717</v>
      </c>
      <c r="C899">
        <v>12500000</v>
      </c>
      <c r="D899">
        <v>5146004207</v>
      </c>
      <c r="E899" t="s">
        <v>977</v>
      </c>
      <c r="F899">
        <v>19899</v>
      </c>
      <c r="G899" t="s">
        <v>978</v>
      </c>
      <c r="H899" t="s">
        <v>1302</v>
      </c>
      <c r="I899">
        <v>531800</v>
      </c>
      <c r="J899">
        <v>2011</v>
      </c>
      <c r="K899">
        <v>4</v>
      </c>
      <c r="L899">
        <v>19</v>
      </c>
      <c r="M899">
        <v>1366417754</v>
      </c>
    </row>
    <row r="900" spans="1:13" x14ac:dyDescent="0.3">
      <c r="A900">
        <v>899</v>
      </c>
      <c r="B900" t="s">
        <v>482</v>
      </c>
      <c r="C900">
        <v>23100000</v>
      </c>
      <c r="D900">
        <v>12889240875</v>
      </c>
      <c r="E900" t="s">
        <v>977</v>
      </c>
      <c r="F900">
        <v>22578</v>
      </c>
      <c r="G900" t="s">
        <v>978</v>
      </c>
      <c r="H900" t="s">
        <v>1302</v>
      </c>
      <c r="I900">
        <v>2500000</v>
      </c>
      <c r="J900">
        <v>2014</v>
      </c>
      <c r="K900">
        <v>8</v>
      </c>
      <c r="L900">
        <v>10</v>
      </c>
      <c r="M900">
        <v>1366417754</v>
      </c>
    </row>
    <row r="901" spans="1:13" x14ac:dyDescent="0.3">
      <c r="A901">
        <v>900</v>
      </c>
      <c r="B901" t="s">
        <v>260</v>
      </c>
      <c r="C901">
        <v>25200000</v>
      </c>
      <c r="D901">
        <v>11081602368</v>
      </c>
      <c r="E901" t="s">
        <v>994</v>
      </c>
      <c r="F901">
        <v>2025</v>
      </c>
      <c r="G901" t="s">
        <v>984</v>
      </c>
      <c r="H901" t="s">
        <v>1303</v>
      </c>
      <c r="I901">
        <v>6700000</v>
      </c>
      <c r="J901">
        <v>2015</v>
      </c>
      <c r="K901">
        <v>3</v>
      </c>
      <c r="L901">
        <v>31</v>
      </c>
      <c r="M901">
        <v>328239523</v>
      </c>
    </row>
    <row r="902" spans="1:13" x14ac:dyDescent="0.3">
      <c r="A902">
        <v>901</v>
      </c>
      <c r="B902" t="s">
        <v>784</v>
      </c>
      <c r="C902">
        <v>13500000</v>
      </c>
      <c r="D902">
        <v>1900272833</v>
      </c>
      <c r="E902" t="s">
        <v>1011</v>
      </c>
      <c r="F902">
        <v>462</v>
      </c>
      <c r="G902" t="s">
        <v>984</v>
      </c>
      <c r="H902" t="s">
        <v>1303</v>
      </c>
      <c r="I902">
        <v>64100</v>
      </c>
      <c r="J902">
        <v>2010</v>
      </c>
      <c r="K902">
        <v>9</v>
      </c>
      <c r="L902">
        <v>9</v>
      </c>
      <c r="M902">
        <v>328239523</v>
      </c>
    </row>
    <row r="903" spans="1:13" x14ac:dyDescent="0.3">
      <c r="A903">
        <v>902</v>
      </c>
      <c r="B903" t="s">
        <v>1196</v>
      </c>
      <c r="C903">
        <v>16600000</v>
      </c>
      <c r="D903">
        <v>2798273962</v>
      </c>
      <c r="E903" t="s">
        <v>988</v>
      </c>
      <c r="F903">
        <v>0</v>
      </c>
      <c r="G903" t="s">
        <v>1058</v>
      </c>
      <c r="H903" t="s">
        <v>1305</v>
      </c>
      <c r="I903">
        <v>0</v>
      </c>
      <c r="J903">
        <v>2010</v>
      </c>
      <c r="K903">
        <v>12</v>
      </c>
      <c r="L903">
        <v>7</v>
      </c>
      <c r="M903">
        <v>126014024</v>
      </c>
    </row>
    <row r="904" spans="1:13" x14ac:dyDescent="0.3">
      <c r="A904">
        <v>903</v>
      </c>
      <c r="B904" t="s">
        <v>435</v>
      </c>
      <c r="C904">
        <v>13700000</v>
      </c>
      <c r="D904">
        <v>8134379376</v>
      </c>
      <c r="E904" t="s">
        <v>977</v>
      </c>
      <c r="F904">
        <v>438</v>
      </c>
      <c r="G904" t="s">
        <v>1019</v>
      </c>
      <c r="H904" t="s">
        <v>1305</v>
      </c>
      <c r="I904">
        <v>3100000</v>
      </c>
      <c r="J904">
        <v>2009</v>
      </c>
      <c r="K904">
        <v>6</v>
      </c>
      <c r="L904">
        <v>21</v>
      </c>
      <c r="M904">
        <v>212559417</v>
      </c>
    </row>
    <row r="905" spans="1:13" x14ac:dyDescent="0.3">
      <c r="A905">
        <v>904</v>
      </c>
      <c r="B905" t="s">
        <v>613</v>
      </c>
      <c r="C905">
        <v>44200000</v>
      </c>
      <c r="D905">
        <v>4274709210</v>
      </c>
      <c r="E905" t="s">
        <v>1044</v>
      </c>
      <c r="F905">
        <v>558</v>
      </c>
      <c r="G905" t="s">
        <v>1019</v>
      </c>
      <c r="H905" t="s">
        <v>1305</v>
      </c>
      <c r="I905">
        <v>1300000</v>
      </c>
      <c r="J905">
        <v>2013</v>
      </c>
      <c r="K905">
        <v>1</v>
      </c>
      <c r="L905">
        <v>21</v>
      </c>
      <c r="M905">
        <v>212559417</v>
      </c>
    </row>
    <row r="906" spans="1:13" x14ac:dyDescent="0.3">
      <c r="A906">
        <v>905</v>
      </c>
      <c r="B906" t="s">
        <v>365</v>
      </c>
      <c r="C906">
        <v>23000000</v>
      </c>
      <c r="D906">
        <v>10939966484</v>
      </c>
      <c r="E906" t="s">
        <v>988</v>
      </c>
      <c r="F906">
        <v>5718</v>
      </c>
      <c r="G906" t="s">
        <v>978</v>
      </c>
      <c r="H906" t="s">
        <v>1302</v>
      </c>
      <c r="I906">
        <v>4500000</v>
      </c>
      <c r="J906">
        <v>2014</v>
      </c>
      <c r="K906">
        <v>3</v>
      </c>
      <c r="L906">
        <v>23</v>
      </c>
      <c r="M906">
        <v>1366417754</v>
      </c>
    </row>
    <row r="907" spans="1:13" x14ac:dyDescent="0.3">
      <c r="A907">
        <v>906</v>
      </c>
      <c r="B907" t="s">
        <v>462</v>
      </c>
      <c r="C907">
        <v>13100000</v>
      </c>
      <c r="D907">
        <v>2733682792</v>
      </c>
      <c r="E907" t="s">
        <v>1294</v>
      </c>
      <c r="F907">
        <v>289</v>
      </c>
      <c r="G907" t="s">
        <v>984</v>
      </c>
      <c r="H907" t="s">
        <v>1303</v>
      </c>
      <c r="I907">
        <v>2700000</v>
      </c>
      <c r="J907">
        <v>2016</v>
      </c>
      <c r="K907">
        <v>6</v>
      </c>
      <c r="L907">
        <v>12</v>
      </c>
      <c r="M907">
        <v>328239523</v>
      </c>
    </row>
    <row r="908" spans="1:13" x14ac:dyDescent="0.3">
      <c r="A908">
        <v>907</v>
      </c>
      <c r="B908" t="s">
        <v>1206</v>
      </c>
      <c r="C908">
        <v>16000000</v>
      </c>
      <c r="D908">
        <v>3018032423</v>
      </c>
      <c r="E908" t="s">
        <v>990</v>
      </c>
      <c r="F908">
        <v>52144</v>
      </c>
      <c r="G908" t="s">
        <v>978</v>
      </c>
      <c r="H908" t="s">
        <v>1302</v>
      </c>
      <c r="I908">
        <v>685800</v>
      </c>
      <c r="J908">
        <v>2014</v>
      </c>
      <c r="K908">
        <v>7</v>
      </c>
      <c r="L908">
        <v>26</v>
      </c>
      <c r="M908">
        <v>1366417754</v>
      </c>
    </row>
    <row r="909" spans="1:13" x14ac:dyDescent="0.3">
      <c r="A909">
        <v>908</v>
      </c>
      <c r="B909" t="s">
        <v>185</v>
      </c>
      <c r="C909">
        <v>18500000</v>
      </c>
      <c r="D909">
        <v>4051072188</v>
      </c>
      <c r="E909" t="s">
        <v>994</v>
      </c>
      <c r="F909">
        <v>679</v>
      </c>
      <c r="G909" t="s">
        <v>1081</v>
      </c>
      <c r="H909" t="s">
        <v>1302</v>
      </c>
      <c r="I909">
        <v>9500000</v>
      </c>
      <c r="J909">
        <v>2014</v>
      </c>
      <c r="K909">
        <v>1</v>
      </c>
      <c r="L909">
        <v>6</v>
      </c>
      <c r="M909">
        <v>270203917</v>
      </c>
    </row>
    <row r="910" spans="1:13" x14ac:dyDescent="0.3">
      <c r="A910">
        <v>909</v>
      </c>
      <c r="B910" t="s">
        <v>688</v>
      </c>
      <c r="C910">
        <v>17200000</v>
      </c>
      <c r="D910">
        <v>5024088947</v>
      </c>
      <c r="E910" t="s">
        <v>996</v>
      </c>
      <c r="F910">
        <v>7550</v>
      </c>
      <c r="G910" t="s">
        <v>1065</v>
      </c>
      <c r="H910" t="s">
        <v>1304</v>
      </c>
      <c r="I910">
        <v>739500</v>
      </c>
      <c r="J910">
        <v>2009</v>
      </c>
      <c r="K910">
        <v>8</v>
      </c>
      <c r="L910">
        <v>9</v>
      </c>
      <c r="M910">
        <v>47076781</v>
      </c>
    </row>
    <row r="911" spans="1:13" x14ac:dyDescent="0.3">
      <c r="A911">
        <v>910</v>
      </c>
      <c r="B911" t="s">
        <v>445</v>
      </c>
      <c r="C911">
        <v>14200000</v>
      </c>
      <c r="D911">
        <v>6048517979</v>
      </c>
      <c r="E911" t="s">
        <v>977</v>
      </c>
      <c r="F911">
        <v>1823</v>
      </c>
      <c r="G911" t="s">
        <v>1045</v>
      </c>
      <c r="H911" t="s">
        <v>1302</v>
      </c>
      <c r="I911">
        <v>3000000</v>
      </c>
      <c r="J911">
        <v>2014</v>
      </c>
      <c r="K911">
        <v>7</v>
      </c>
      <c r="L911">
        <v>13</v>
      </c>
      <c r="M911">
        <v>108116615</v>
      </c>
    </row>
    <row r="912" spans="1:13" x14ac:dyDescent="0.3">
      <c r="A912">
        <v>911</v>
      </c>
      <c r="B912" t="s">
        <v>511</v>
      </c>
      <c r="C912">
        <v>16700000</v>
      </c>
      <c r="D912">
        <v>8826138204</v>
      </c>
      <c r="E912" t="s">
        <v>988</v>
      </c>
      <c r="F912">
        <v>920</v>
      </c>
      <c r="G912" t="s">
        <v>984</v>
      </c>
      <c r="H912" t="s">
        <v>1303</v>
      </c>
      <c r="I912">
        <v>2200000</v>
      </c>
      <c r="J912">
        <v>2012</v>
      </c>
      <c r="K912">
        <v>7</v>
      </c>
      <c r="L912">
        <v>6</v>
      </c>
      <c r="M912">
        <v>328239523</v>
      </c>
    </row>
    <row r="913" spans="1:13" x14ac:dyDescent="0.3">
      <c r="A913">
        <v>912</v>
      </c>
      <c r="B913" t="s">
        <v>372</v>
      </c>
      <c r="C913">
        <v>27500000</v>
      </c>
      <c r="D913">
        <v>13379395501</v>
      </c>
      <c r="E913" t="s">
        <v>977</v>
      </c>
      <c r="F913">
        <v>682</v>
      </c>
      <c r="G913" t="s">
        <v>984</v>
      </c>
      <c r="H913" t="s">
        <v>1303</v>
      </c>
      <c r="I913">
        <v>4300000</v>
      </c>
      <c r="J913">
        <v>2008</v>
      </c>
      <c r="K913">
        <v>5</v>
      </c>
      <c r="L913">
        <v>9</v>
      </c>
      <c r="M913">
        <v>328239523</v>
      </c>
    </row>
    <row r="914" spans="1:13" x14ac:dyDescent="0.3">
      <c r="A914">
        <v>913</v>
      </c>
      <c r="B914" t="s">
        <v>820</v>
      </c>
      <c r="C914">
        <v>13000000</v>
      </c>
      <c r="D914">
        <v>301547793</v>
      </c>
      <c r="E914" t="s">
        <v>1294</v>
      </c>
      <c r="F914">
        <v>22</v>
      </c>
      <c r="G914" t="s">
        <v>1041</v>
      </c>
      <c r="H914" t="s">
        <v>1302</v>
      </c>
      <c r="I914">
        <v>28</v>
      </c>
      <c r="J914">
        <v>2021</v>
      </c>
      <c r="K914">
        <v>8</v>
      </c>
      <c r="L914">
        <v>11</v>
      </c>
      <c r="M914">
        <v>216565318</v>
      </c>
    </row>
    <row r="915" spans="1:13" x14ac:dyDescent="0.3">
      <c r="A915">
        <v>914</v>
      </c>
      <c r="B915" t="s">
        <v>891</v>
      </c>
      <c r="C915">
        <v>12500000</v>
      </c>
      <c r="D915">
        <v>161254021</v>
      </c>
      <c r="E915" t="s">
        <v>1294</v>
      </c>
      <c r="F915">
        <v>61</v>
      </c>
      <c r="G915" t="s">
        <v>984</v>
      </c>
      <c r="H915" t="s">
        <v>1303</v>
      </c>
      <c r="I915">
        <v>0</v>
      </c>
      <c r="J915">
        <v>2019</v>
      </c>
      <c r="K915">
        <v>10</v>
      </c>
      <c r="L915">
        <v>21</v>
      </c>
      <c r="M915">
        <v>328239523</v>
      </c>
    </row>
    <row r="916" spans="1:13" x14ac:dyDescent="0.3">
      <c r="A916">
        <v>915</v>
      </c>
      <c r="B916" t="s">
        <v>61</v>
      </c>
      <c r="C916">
        <v>13500000</v>
      </c>
      <c r="D916">
        <v>11717217293</v>
      </c>
      <c r="E916" t="s">
        <v>1044</v>
      </c>
      <c r="F916">
        <v>975</v>
      </c>
      <c r="G916" t="s">
        <v>1013</v>
      </c>
      <c r="H916" t="s">
        <v>1304</v>
      </c>
      <c r="I916">
        <v>23800000</v>
      </c>
      <c r="J916">
        <v>2013</v>
      </c>
      <c r="K916">
        <v>3</v>
      </c>
      <c r="L916">
        <v>30</v>
      </c>
      <c r="M916">
        <v>66834405</v>
      </c>
    </row>
    <row r="917" spans="1:13" x14ac:dyDescent="0.3">
      <c r="A917">
        <v>916</v>
      </c>
      <c r="B917" t="s">
        <v>278</v>
      </c>
      <c r="C917">
        <v>39000000</v>
      </c>
      <c r="D917">
        <v>36131228583</v>
      </c>
      <c r="E917" t="s">
        <v>988</v>
      </c>
      <c r="F917">
        <v>72580</v>
      </c>
      <c r="G917" t="s">
        <v>1048</v>
      </c>
      <c r="H917" t="s">
        <v>1302</v>
      </c>
      <c r="I917">
        <v>6300000</v>
      </c>
      <c r="J917">
        <v>2012</v>
      </c>
      <c r="K917">
        <v>11</v>
      </c>
      <c r="L917">
        <v>5</v>
      </c>
      <c r="M917">
        <v>69625582</v>
      </c>
    </row>
    <row r="918" spans="1:13" x14ac:dyDescent="0.3">
      <c r="A918">
        <v>917</v>
      </c>
      <c r="B918" t="s">
        <v>370</v>
      </c>
      <c r="C918">
        <v>26500000</v>
      </c>
      <c r="D918">
        <v>20358117330</v>
      </c>
      <c r="E918" t="s">
        <v>977</v>
      </c>
      <c r="F918">
        <v>6873</v>
      </c>
      <c r="G918" t="s">
        <v>984</v>
      </c>
      <c r="H918" t="s">
        <v>1303</v>
      </c>
      <c r="I918">
        <v>4300000</v>
      </c>
      <c r="J918">
        <v>2008</v>
      </c>
      <c r="K918">
        <v>11</v>
      </c>
      <c r="L918">
        <v>8</v>
      </c>
      <c r="M918">
        <v>328239523</v>
      </c>
    </row>
    <row r="919" spans="1:13" x14ac:dyDescent="0.3">
      <c r="A919">
        <v>918</v>
      </c>
      <c r="B919" t="s">
        <v>308</v>
      </c>
      <c r="C919">
        <v>31700000</v>
      </c>
      <c r="D919">
        <v>16476978876</v>
      </c>
      <c r="E919" t="s">
        <v>977</v>
      </c>
      <c r="F919">
        <v>6518</v>
      </c>
      <c r="G919" t="s">
        <v>978</v>
      </c>
      <c r="H919" t="s">
        <v>1302</v>
      </c>
      <c r="I919">
        <v>5400000</v>
      </c>
      <c r="J919">
        <v>2012</v>
      </c>
      <c r="K919">
        <v>3</v>
      </c>
      <c r="L919">
        <v>15</v>
      </c>
      <c r="M919">
        <v>1366417754</v>
      </c>
    </row>
    <row r="920" spans="1:13" x14ac:dyDescent="0.3">
      <c r="A920">
        <v>919</v>
      </c>
      <c r="B920" t="s">
        <v>326</v>
      </c>
      <c r="C920">
        <v>19000000</v>
      </c>
      <c r="D920">
        <v>8281724393</v>
      </c>
      <c r="E920" t="s">
        <v>982</v>
      </c>
      <c r="F920">
        <v>1525</v>
      </c>
      <c r="G920" t="s">
        <v>978</v>
      </c>
      <c r="H920" t="s">
        <v>1302</v>
      </c>
      <c r="I920">
        <v>5100000</v>
      </c>
      <c r="J920">
        <v>2017</v>
      </c>
      <c r="K920">
        <v>11</v>
      </c>
      <c r="L920">
        <v>8</v>
      </c>
      <c r="M920">
        <v>1366417754</v>
      </c>
    </row>
    <row r="921" spans="1:13" x14ac:dyDescent="0.3">
      <c r="A921">
        <v>920</v>
      </c>
      <c r="B921" t="s">
        <v>1087</v>
      </c>
      <c r="C921">
        <v>32200000</v>
      </c>
      <c r="D921">
        <v>16613441479</v>
      </c>
      <c r="E921" t="s">
        <v>982</v>
      </c>
      <c r="F921">
        <v>2</v>
      </c>
      <c r="G921" t="s">
        <v>1294</v>
      </c>
      <c r="H921" t="s">
        <v>1294</v>
      </c>
      <c r="I921">
        <v>0.05</v>
      </c>
      <c r="J921">
        <v>2006</v>
      </c>
      <c r="K921">
        <v>12</v>
      </c>
      <c r="L921">
        <v>16</v>
      </c>
      <c r="M921" t="s">
        <v>1294</v>
      </c>
    </row>
    <row r="922" spans="1:13" x14ac:dyDescent="0.3">
      <c r="A922">
        <v>921</v>
      </c>
      <c r="B922" t="s">
        <v>37</v>
      </c>
      <c r="C922">
        <v>96000000</v>
      </c>
      <c r="D922">
        <v>77428473662</v>
      </c>
      <c r="E922" t="s">
        <v>1004</v>
      </c>
      <c r="F922">
        <v>70127</v>
      </c>
      <c r="G922" t="s">
        <v>984</v>
      </c>
      <c r="H922" t="s">
        <v>1303</v>
      </c>
      <c r="I922">
        <v>34300000</v>
      </c>
      <c r="J922">
        <v>2007</v>
      </c>
      <c r="K922">
        <v>5</v>
      </c>
      <c r="L922">
        <v>11</v>
      </c>
      <c r="M922">
        <v>328239523</v>
      </c>
    </row>
    <row r="923" spans="1:13" x14ac:dyDescent="0.3">
      <c r="A923">
        <v>922</v>
      </c>
      <c r="B923" t="s">
        <v>1200</v>
      </c>
      <c r="C923">
        <v>16200000</v>
      </c>
      <c r="D923">
        <v>14784781923</v>
      </c>
      <c r="E923" t="s">
        <v>994</v>
      </c>
      <c r="F923">
        <v>189</v>
      </c>
      <c r="G923" t="s">
        <v>984</v>
      </c>
      <c r="H923" t="s">
        <v>1303</v>
      </c>
      <c r="I923">
        <v>1800</v>
      </c>
      <c r="J923">
        <v>2020</v>
      </c>
      <c r="K923">
        <v>9</v>
      </c>
      <c r="L923">
        <v>12</v>
      </c>
      <c r="M923">
        <v>328239523</v>
      </c>
    </row>
    <row r="924" spans="1:13" x14ac:dyDescent="0.3">
      <c r="A924">
        <v>923</v>
      </c>
      <c r="B924" t="s">
        <v>575</v>
      </c>
      <c r="C924">
        <v>15000000</v>
      </c>
      <c r="D924">
        <v>4008801873</v>
      </c>
      <c r="E924" t="s">
        <v>988</v>
      </c>
      <c r="F924">
        <v>724</v>
      </c>
      <c r="G924" t="s">
        <v>1058</v>
      </c>
      <c r="H924" t="s">
        <v>1305</v>
      </c>
      <c r="I924">
        <v>1600000</v>
      </c>
      <c r="J924">
        <v>2014</v>
      </c>
      <c r="K924">
        <v>11</v>
      </c>
      <c r="L924">
        <v>17</v>
      </c>
      <c r="M924">
        <v>126014024</v>
      </c>
    </row>
    <row r="925" spans="1:13" x14ac:dyDescent="0.3">
      <c r="A925">
        <v>924</v>
      </c>
      <c r="B925" t="s">
        <v>456</v>
      </c>
      <c r="C925">
        <v>39200000</v>
      </c>
      <c r="D925">
        <v>10507474316</v>
      </c>
      <c r="E925" t="s">
        <v>977</v>
      </c>
      <c r="F925">
        <v>133</v>
      </c>
      <c r="G925" t="s">
        <v>984</v>
      </c>
      <c r="H925" t="s">
        <v>1303</v>
      </c>
      <c r="I925">
        <v>2800000</v>
      </c>
      <c r="J925">
        <v>2015</v>
      </c>
      <c r="K925">
        <v>6</v>
      </c>
      <c r="L925">
        <v>23</v>
      </c>
      <c r="M925">
        <v>328239523</v>
      </c>
    </row>
    <row r="926" spans="1:13" x14ac:dyDescent="0.3">
      <c r="A926">
        <v>925</v>
      </c>
      <c r="B926" t="s">
        <v>738</v>
      </c>
      <c r="C926">
        <v>12500000</v>
      </c>
      <c r="D926">
        <v>1402042328</v>
      </c>
      <c r="E926" t="s">
        <v>996</v>
      </c>
      <c r="F926">
        <v>1109</v>
      </c>
      <c r="G926" t="s">
        <v>1058</v>
      </c>
      <c r="H926" t="s">
        <v>1305</v>
      </c>
      <c r="I926">
        <v>425700</v>
      </c>
      <c r="J926">
        <v>2014</v>
      </c>
      <c r="K926">
        <v>1</v>
      </c>
      <c r="L926">
        <v>22</v>
      </c>
      <c r="M926">
        <v>126014024</v>
      </c>
    </row>
    <row r="927" spans="1:13" x14ac:dyDescent="0.3">
      <c r="A927">
        <v>926</v>
      </c>
      <c r="B927" t="s">
        <v>26</v>
      </c>
      <c r="C927">
        <v>20700000</v>
      </c>
      <c r="D927">
        <v>17963202261</v>
      </c>
      <c r="E927" t="s">
        <v>988</v>
      </c>
      <c r="F927">
        <v>619</v>
      </c>
      <c r="G927" t="s">
        <v>984</v>
      </c>
      <c r="H927" t="s">
        <v>1303</v>
      </c>
      <c r="I927">
        <v>42000000</v>
      </c>
      <c r="J927">
        <v>2020</v>
      </c>
      <c r="K927">
        <v>9</v>
      </c>
      <c r="L927">
        <v>26</v>
      </c>
      <c r="M927">
        <v>328239523</v>
      </c>
    </row>
    <row r="928" spans="1:13" x14ac:dyDescent="0.3">
      <c r="A928">
        <v>927</v>
      </c>
      <c r="B928" t="s">
        <v>886</v>
      </c>
      <c r="C928">
        <v>21400000</v>
      </c>
      <c r="D928">
        <v>1573058816</v>
      </c>
      <c r="E928" t="s">
        <v>1044</v>
      </c>
      <c r="F928">
        <v>0</v>
      </c>
      <c r="G928" t="s">
        <v>1130</v>
      </c>
      <c r="H928" t="s">
        <v>1304</v>
      </c>
      <c r="I928">
        <v>0</v>
      </c>
      <c r="J928">
        <v>2013</v>
      </c>
      <c r="K928">
        <v>6</v>
      </c>
      <c r="L928">
        <v>11</v>
      </c>
      <c r="M928">
        <v>83132799</v>
      </c>
    </row>
    <row r="929" spans="1:13" x14ac:dyDescent="0.3">
      <c r="A929">
        <v>928</v>
      </c>
      <c r="B929" t="s">
        <v>815</v>
      </c>
      <c r="C929">
        <v>31200000</v>
      </c>
      <c r="D929">
        <v>9673649438</v>
      </c>
      <c r="E929" t="s">
        <v>994</v>
      </c>
      <c r="F929">
        <v>65</v>
      </c>
      <c r="G929" t="s">
        <v>1091</v>
      </c>
      <c r="H929" t="s">
        <v>1305</v>
      </c>
      <c r="I929">
        <v>172</v>
      </c>
      <c r="J929">
        <v>2018</v>
      </c>
      <c r="K929">
        <v>12</v>
      </c>
      <c r="L929">
        <v>16</v>
      </c>
      <c r="M929">
        <v>28515829</v>
      </c>
    </row>
    <row r="930" spans="1:13" x14ac:dyDescent="0.3">
      <c r="A930">
        <v>929</v>
      </c>
      <c r="B930" t="s">
        <v>44</v>
      </c>
      <c r="C930">
        <v>16600000</v>
      </c>
      <c r="D930">
        <v>15278668857</v>
      </c>
      <c r="E930" t="s">
        <v>988</v>
      </c>
      <c r="F930">
        <v>2200</v>
      </c>
      <c r="G930" t="s">
        <v>1130</v>
      </c>
      <c r="H930" t="s">
        <v>1304</v>
      </c>
      <c r="I930">
        <v>29600000</v>
      </c>
      <c r="J930">
        <v>2021</v>
      </c>
      <c r="K930">
        <v>5</v>
      </c>
      <c r="L930">
        <v>6</v>
      </c>
      <c r="M930">
        <v>83132799</v>
      </c>
    </row>
    <row r="931" spans="1:13" x14ac:dyDescent="0.3">
      <c r="A931">
        <v>930</v>
      </c>
      <c r="B931" t="s">
        <v>219</v>
      </c>
      <c r="C931">
        <v>12700000</v>
      </c>
      <c r="D931">
        <v>13174393401</v>
      </c>
      <c r="E931" t="s">
        <v>988</v>
      </c>
      <c r="F931">
        <v>142</v>
      </c>
      <c r="G931" t="s">
        <v>984</v>
      </c>
      <c r="H931" t="s">
        <v>1303</v>
      </c>
      <c r="I931">
        <v>8200000</v>
      </c>
      <c r="J931">
        <v>2015</v>
      </c>
      <c r="K931">
        <v>1</v>
      </c>
      <c r="L931">
        <v>4</v>
      </c>
      <c r="M931">
        <v>328239523</v>
      </c>
    </row>
    <row r="932" spans="1:13" x14ac:dyDescent="0.3">
      <c r="A932">
        <v>931</v>
      </c>
      <c r="B932" t="s">
        <v>652</v>
      </c>
      <c r="C932">
        <v>36300000</v>
      </c>
      <c r="D932">
        <v>3010784935</v>
      </c>
      <c r="E932" t="s">
        <v>1026</v>
      </c>
      <c r="F932">
        <v>744</v>
      </c>
      <c r="G932" t="s">
        <v>984</v>
      </c>
      <c r="H932" t="s">
        <v>1303</v>
      </c>
      <c r="I932">
        <v>1000000</v>
      </c>
      <c r="J932">
        <v>1970</v>
      </c>
      <c r="K932">
        <v>1</v>
      </c>
      <c r="L932">
        <v>1</v>
      </c>
      <c r="M932">
        <v>328239523</v>
      </c>
    </row>
    <row r="933" spans="1:13" x14ac:dyDescent="0.3">
      <c r="A933">
        <v>932</v>
      </c>
      <c r="B933" t="s">
        <v>983</v>
      </c>
      <c r="C933">
        <v>170000000</v>
      </c>
      <c r="D933">
        <v>0</v>
      </c>
      <c r="E933" t="s">
        <v>982</v>
      </c>
      <c r="F933">
        <v>1</v>
      </c>
      <c r="G933" t="s">
        <v>984</v>
      </c>
      <c r="H933" t="s">
        <v>1303</v>
      </c>
      <c r="I933">
        <v>0.57999999999999996</v>
      </c>
      <c r="J933">
        <v>2006</v>
      </c>
      <c r="K933">
        <v>3</v>
      </c>
      <c r="L933">
        <v>5</v>
      </c>
      <c r="M933">
        <v>328239523</v>
      </c>
    </row>
    <row r="934" spans="1:13" x14ac:dyDescent="0.3">
      <c r="A934">
        <v>933</v>
      </c>
      <c r="B934" t="s">
        <v>57</v>
      </c>
      <c r="C934">
        <v>54600000</v>
      </c>
      <c r="D934">
        <v>35302243691</v>
      </c>
      <c r="E934" t="s">
        <v>982</v>
      </c>
      <c r="F934">
        <v>3707</v>
      </c>
      <c r="G934" t="s">
        <v>978</v>
      </c>
      <c r="H934" t="s">
        <v>1302</v>
      </c>
      <c r="I934">
        <v>24600000</v>
      </c>
      <c r="J934">
        <v>2006</v>
      </c>
      <c r="K934">
        <v>6</v>
      </c>
      <c r="L934">
        <v>7</v>
      </c>
      <c r="M934">
        <v>1366417754</v>
      </c>
    </row>
    <row r="935" spans="1:13" x14ac:dyDescent="0.3">
      <c r="A935">
        <v>934</v>
      </c>
      <c r="B935" t="s">
        <v>211</v>
      </c>
      <c r="C935">
        <v>14100000</v>
      </c>
      <c r="D935">
        <v>6036496916</v>
      </c>
      <c r="E935" t="s">
        <v>988</v>
      </c>
      <c r="F935">
        <v>2854</v>
      </c>
      <c r="G935" t="s">
        <v>1081</v>
      </c>
      <c r="H935" t="s">
        <v>1302</v>
      </c>
      <c r="I935">
        <v>8500000</v>
      </c>
      <c r="J935">
        <v>2016</v>
      </c>
      <c r="K935">
        <v>1</v>
      </c>
      <c r="L935">
        <v>6</v>
      </c>
      <c r="M935">
        <v>270203917</v>
      </c>
    </row>
    <row r="936" spans="1:13" x14ac:dyDescent="0.3">
      <c r="A936">
        <v>935</v>
      </c>
      <c r="B936" t="s">
        <v>795</v>
      </c>
      <c r="C936">
        <v>24800000</v>
      </c>
      <c r="D936">
        <v>2588501115</v>
      </c>
      <c r="E936" t="s">
        <v>1011</v>
      </c>
      <c r="F936">
        <v>672</v>
      </c>
      <c r="G936" t="s">
        <v>1058</v>
      </c>
      <c r="H936" t="s">
        <v>1305</v>
      </c>
      <c r="I936">
        <v>16100</v>
      </c>
      <c r="J936">
        <v>2009</v>
      </c>
      <c r="K936">
        <v>9</v>
      </c>
      <c r="L936">
        <v>20</v>
      </c>
      <c r="M936">
        <v>126014024</v>
      </c>
    </row>
    <row r="937" spans="1:13" x14ac:dyDescent="0.3">
      <c r="A937">
        <v>936</v>
      </c>
      <c r="B937" t="s">
        <v>993</v>
      </c>
      <c r="C937">
        <v>112000000</v>
      </c>
      <c r="D937">
        <v>93247040539</v>
      </c>
      <c r="E937" t="s">
        <v>994</v>
      </c>
      <c r="F937">
        <v>1111</v>
      </c>
      <c r="G937" t="s">
        <v>984</v>
      </c>
      <c r="H937" t="s">
        <v>1303</v>
      </c>
      <c r="I937">
        <v>35100000</v>
      </c>
      <c r="J937">
        <v>2015</v>
      </c>
      <c r="K937">
        <v>5</v>
      </c>
      <c r="L937">
        <v>12</v>
      </c>
      <c r="M937">
        <v>328239523</v>
      </c>
    </row>
    <row r="938" spans="1:13" x14ac:dyDescent="0.3">
      <c r="A938">
        <v>937</v>
      </c>
      <c r="B938" t="s">
        <v>162</v>
      </c>
      <c r="C938">
        <v>21900000</v>
      </c>
      <c r="D938">
        <v>5918314128</v>
      </c>
      <c r="E938" t="s">
        <v>994</v>
      </c>
      <c r="F938">
        <v>946</v>
      </c>
      <c r="G938" t="s">
        <v>984</v>
      </c>
      <c r="H938" t="s">
        <v>1303</v>
      </c>
      <c r="I938">
        <v>11200000</v>
      </c>
      <c r="J938">
        <v>2014</v>
      </c>
      <c r="K938">
        <v>7</v>
      </c>
      <c r="L938">
        <v>5</v>
      </c>
      <c r="M938">
        <v>328239523</v>
      </c>
    </row>
    <row r="939" spans="1:13" x14ac:dyDescent="0.3">
      <c r="A939">
        <v>938</v>
      </c>
      <c r="B939" t="s">
        <v>828</v>
      </c>
      <c r="C939">
        <v>20700000</v>
      </c>
      <c r="D939">
        <v>5410164682</v>
      </c>
      <c r="E939" t="s">
        <v>988</v>
      </c>
      <c r="F939">
        <v>6</v>
      </c>
      <c r="G939" t="s">
        <v>1294</v>
      </c>
      <c r="H939" t="s">
        <v>1294</v>
      </c>
      <c r="I939">
        <v>6</v>
      </c>
      <c r="J939">
        <v>2013</v>
      </c>
      <c r="K939">
        <v>6</v>
      </c>
      <c r="L939">
        <v>5</v>
      </c>
      <c r="M939" t="s">
        <v>1294</v>
      </c>
    </row>
    <row r="940" spans="1:13" x14ac:dyDescent="0.3">
      <c r="A940">
        <v>939</v>
      </c>
      <c r="B940" t="s">
        <v>9</v>
      </c>
      <c r="C940">
        <v>21700000</v>
      </c>
      <c r="D940">
        <v>8507818877</v>
      </c>
      <c r="E940" t="s">
        <v>1294</v>
      </c>
      <c r="F940">
        <v>15126</v>
      </c>
      <c r="G940" t="s">
        <v>1062</v>
      </c>
      <c r="H940" t="s">
        <v>1302</v>
      </c>
      <c r="I940">
        <v>76700000</v>
      </c>
      <c r="J940">
        <v>2020</v>
      </c>
      <c r="K940">
        <v>12</v>
      </c>
      <c r="L940">
        <v>19</v>
      </c>
      <c r="M940">
        <v>9770529</v>
      </c>
    </row>
    <row r="941" spans="1:13" x14ac:dyDescent="0.3">
      <c r="A941">
        <v>940</v>
      </c>
      <c r="B941" t="s">
        <v>553</v>
      </c>
      <c r="C941">
        <v>15400000</v>
      </c>
      <c r="D941">
        <v>4909687948</v>
      </c>
      <c r="E941" t="s">
        <v>977</v>
      </c>
      <c r="F941">
        <v>21</v>
      </c>
      <c r="G941" t="s">
        <v>984</v>
      </c>
      <c r="H941" t="s">
        <v>1303</v>
      </c>
      <c r="I941">
        <v>1800000</v>
      </c>
      <c r="J941">
        <v>2016</v>
      </c>
      <c r="K941">
        <v>1</v>
      </c>
      <c r="L941">
        <v>26</v>
      </c>
      <c r="M941">
        <v>328239523</v>
      </c>
    </row>
    <row r="942" spans="1:13" x14ac:dyDescent="0.3">
      <c r="A942">
        <v>941</v>
      </c>
      <c r="B942" t="s">
        <v>472</v>
      </c>
      <c r="C942">
        <v>17600000</v>
      </c>
      <c r="D942">
        <v>9269174070</v>
      </c>
      <c r="E942" t="s">
        <v>996</v>
      </c>
      <c r="F942">
        <v>3151</v>
      </c>
      <c r="G942" t="s">
        <v>1048</v>
      </c>
      <c r="H942" t="s">
        <v>1302</v>
      </c>
      <c r="I942">
        <v>2600000</v>
      </c>
      <c r="J942">
        <v>2014</v>
      </c>
      <c r="K942">
        <v>3</v>
      </c>
      <c r="L942">
        <v>12</v>
      </c>
      <c r="M942">
        <v>69625582</v>
      </c>
    </row>
    <row r="943" spans="1:13" x14ac:dyDescent="0.3">
      <c r="A943">
        <v>942</v>
      </c>
      <c r="B943" t="s">
        <v>449</v>
      </c>
      <c r="C943">
        <v>14200000</v>
      </c>
      <c r="D943">
        <v>11428794827</v>
      </c>
      <c r="E943" t="s">
        <v>988</v>
      </c>
      <c r="F943">
        <v>132398</v>
      </c>
      <c r="G943" t="s">
        <v>978</v>
      </c>
      <c r="H943" t="s">
        <v>1302</v>
      </c>
      <c r="I943">
        <v>2900000</v>
      </c>
      <c r="J943">
        <v>2008</v>
      </c>
      <c r="K943">
        <v>2</v>
      </c>
      <c r="L943">
        <v>26</v>
      </c>
      <c r="M943">
        <v>1366417754</v>
      </c>
    </row>
    <row r="944" spans="1:13" x14ac:dyDescent="0.3">
      <c r="A944">
        <v>943</v>
      </c>
      <c r="B944" t="s">
        <v>358</v>
      </c>
      <c r="C944">
        <v>12400000</v>
      </c>
      <c r="D944">
        <v>7683670251</v>
      </c>
      <c r="E944" t="s">
        <v>982</v>
      </c>
      <c r="F944">
        <v>1212</v>
      </c>
      <c r="G944" t="s">
        <v>978</v>
      </c>
      <c r="H944" t="s">
        <v>1302</v>
      </c>
      <c r="I944">
        <v>4600000</v>
      </c>
      <c r="J944">
        <v>2012</v>
      </c>
      <c r="K944">
        <v>7</v>
      </c>
      <c r="L944">
        <v>6</v>
      </c>
      <c r="M944">
        <v>1366417754</v>
      </c>
    </row>
    <row r="945" spans="1:13" x14ac:dyDescent="0.3">
      <c r="A945">
        <v>944</v>
      </c>
      <c r="B945" t="s">
        <v>386</v>
      </c>
      <c r="C945">
        <v>15700000</v>
      </c>
      <c r="D945">
        <v>5558051295</v>
      </c>
      <c r="E945" t="s">
        <v>977</v>
      </c>
      <c r="F945">
        <v>1640</v>
      </c>
      <c r="G945" t="s">
        <v>978</v>
      </c>
      <c r="H945" t="s">
        <v>1302</v>
      </c>
      <c r="I945">
        <v>4100000</v>
      </c>
      <c r="J945">
        <v>2014</v>
      </c>
      <c r="K945">
        <v>5</v>
      </c>
      <c r="L945">
        <v>20</v>
      </c>
      <c r="M945">
        <v>1366417754</v>
      </c>
    </row>
    <row r="946" spans="1:13" x14ac:dyDescent="0.3">
      <c r="A946">
        <v>945</v>
      </c>
      <c r="B946" t="s">
        <v>30</v>
      </c>
      <c r="C946">
        <v>96700000</v>
      </c>
      <c r="D946">
        <v>57856289381</v>
      </c>
      <c r="E946" t="s">
        <v>977</v>
      </c>
      <c r="F946">
        <v>8548</v>
      </c>
      <c r="G946" t="s">
        <v>978</v>
      </c>
      <c r="H946" t="s">
        <v>1302</v>
      </c>
      <c r="I946">
        <v>38600000</v>
      </c>
      <c r="J946">
        <v>2014</v>
      </c>
      <c r="K946">
        <v>3</v>
      </c>
      <c r="L946">
        <v>12</v>
      </c>
      <c r="M946">
        <v>1366417754</v>
      </c>
    </row>
    <row r="947" spans="1:13" x14ac:dyDescent="0.3">
      <c r="A947">
        <v>946</v>
      </c>
      <c r="B947" t="s">
        <v>68</v>
      </c>
      <c r="C947">
        <v>30500000</v>
      </c>
      <c r="D947">
        <v>16709857823</v>
      </c>
      <c r="E947" t="s">
        <v>1026</v>
      </c>
      <c r="F947">
        <v>180092</v>
      </c>
      <c r="G947" t="s">
        <v>978</v>
      </c>
      <c r="H947" t="s">
        <v>1302</v>
      </c>
      <c r="I947">
        <v>22200000</v>
      </c>
      <c r="J947">
        <v>2007</v>
      </c>
      <c r="K947">
        <v>6</v>
      </c>
      <c r="L947">
        <v>19</v>
      </c>
      <c r="M947">
        <v>1366417754</v>
      </c>
    </row>
    <row r="948" spans="1:13" x14ac:dyDescent="0.3">
      <c r="A948">
        <v>947</v>
      </c>
      <c r="B948" t="s">
        <v>100</v>
      </c>
      <c r="C948">
        <v>12500000</v>
      </c>
      <c r="D948">
        <v>11552190002</v>
      </c>
      <c r="E948" t="s">
        <v>988</v>
      </c>
      <c r="F948">
        <v>102699</v>
      </c>
      <c r="G948" t="s">
        <v>978</v>
      </c>
      <c r="H948" t="s">
        <v>1302</v>
      </c>
      <c r="I948">
        <v>16800000</v>
      </c>
      <c r="J948">
        <v>2008</v>
      </c>
      <c r="K948">
        <v>8</v>
      </c>
      <c r="L948">
        <v>26</v>
      </c>
      <c r="M948">
        <v>1366417754</v>
      </c>
    </row>
    <row r="949" spans="1:13" x14ac:dyDescent="0.3">
      <c r="A949">
        <v>948</v>
      </c>
      <c r="B949" t="s">
        <v>5</v>
      </c>
      <c r="C949">
        <v>70500000</v>
      </c>
      <c r="D949">
        <v>73139054467</v>
      </c>
      <c r="E949" t="s">
        <v>988</v>
      </c>
      <c r="F949">
        <v>129204</v>
      </c>
      <c r="G949" t="s">
        <v>978</v>
      </c>
      <c r="H949" t="s">
        <v>1302</v>
      </c>
      <c r="I949">
        <v>81900000</v>
      </c>
      <c r="J949">
        <v>2005</v>
      </c>
      <c r="K949">
        <v>12</v>
      </c>
      <c r="L949">
        <v>11</v>
      </c>
      <c r="M949">
        <v>1366417754</v>
      </c>
    </row>
    <row r="950" spans="1:13" x14ac:dyDescent="0.3">
      <c r="A950">
        <v>949</v>
      </c>
      <c r="B950" t="s">
        <v>248</v>
      </c>
      <c r="C950">
        <v>14400000</v>
      </c>
      <c r="D950">
        <v>18515587421</v>
      </c>
      <c r="E950" t="s">
        <v>988</v>
      </c>
      <c r="F950">
        <v>101401</v>
      </c>
      <c r="G950" t="s">
        <v>978</v>
      </c>
      <c r="H950" t="s">
        <v>1302</v>
      </c>
      <c r="I950">
        <v>7200000</v>
      </c>
      <c r="J950">
        <v>2018</v>
      </c>
      <c r="K950">
        <v>2</v>
      </c>
      <c r="L950">
        <v>13</v>
      </c>
      <c r="M950">
        <v>1366417754</v>
      </c>
    </row>
    <row r="951" spans="1:13" x14ac:dyDescent="0.3">
      <c r="A951">
        <v>950</v>
      </c>
      <c r="B951" t="s">
        <v>1257</v>
      </c>
      <c r="C951">
        <v>14000000</v>
      </c>
      <c r="D951">
        <v>12597067132</v>
      </c>
      <c r="E951" t="s">
        <v>988</v>
      </c>
      <c r="F951">
        <v>3</v>
      </c>
      <c r="G951" t="s">
        <v>978</v>
      </c>
      <c r="H951" t="s">
        <v>1302</v>
      </c>
      <c r="I951">
        <v>0.34</v>
      </c>
      <c r="J951">
        <v>2007</v>
      </c>
      <c r="K951">
        <v>1</v>
      </c>
      <c r="L951">
        <v>31</v>
      </c>
      <c r="M951">
        <v>1366417754</v>
      </c>
    </row>
    <row r="952" spans="1:13" x14ac:dyDescent="0.3">
      <c r="A952">
        <v>951</v>
      </c>
      <c r="B952" t="s">
        <v>711</v>
      </c>
      <c r="C952">
        <v>13600000</v>
      </c>
      <c r="D952">
        <v>896891351</v>
      </c>
      <c r="E952" t="s">
        <v>1294</v>
      </c>
      <c r="F952">
        <v>273</v>
      </c>
      <c r="G952" t="s">
        <v>1045</v>
      </c>
      <c r="H952" t="s">
        <v>1302</v>
      </c>
      <c r="I952">
        <v>580200</v>
      </c>
      <c r="J952">
        <v>2017</v>
      </c>
      <c r="K952">
        <v>10</v>
      </c>
      <c r="L952">
        <v>19</v>
      </c>
      <c r="M952">
        <v>108116615</v>
      </c>
    </row>
    <row r="953" spans="1:13" x14ac:dyDescent="0.3">
      <c r="A953">
        <v>952</v>
      </c>
      <c r="B953" t="s">
        <v>1122</v>
      </c>
      <c r="C953">
        <v>25500000</v>
      </c>
      <c r="D953">
        <v>2726917087</v>
      </c>
      <c r="E953" t="s">
        <v>982</v>
      </c>
      <c r="F953">
        <v>5</v>
      </c>
      <c r="G953" t="s">
        <v>1294</v>
      </c>
      <c r="H953" t="s">
        <v>1294</v>
      </c>
      <c r="I953">
        <v>0.96</v>
      </c>
      <c r="J953">
        <v>2006</v>
      </c>
      <c r="K953">
        <v>1</v>
      </c>
      <c r="L953">
        <v>24</v>
      </c>
      <c r="M953" t="s">
        <v>1294</v>
      </c>
    </row>
    <row r="954" spans="1:13" x14ac:dyDescent="0.3">
      <c r="A954">
        <v>953</v>
      </c>
      <c r="B954" t="s">
        <v>893</v>
      </c>
      <c r="C954">
        <v>29200000</v>
      </c>
      <c r="D954">
        <v>14727238483</v>
      </c>
      <c r="E954" t="s">
        <v>988</v>
      </c>
      <c r="F954">
        <v>1513</v>
      </c>
      <c r="G954" t="s">
        <v>984</v>
      </c>
      <c r="H954" t="s">
        <v>1303</v>
      </c>
      <c r="I954">
        <v>0</v>
      </c>
      <c r="J954">
        <v>2015</v>
      </c>
      <c r="K954">
        <v>1</v>
      </c>
      <c r="L954">
        <v>19</v>
      </c>
      <c r="M954">
        <v>328239523</v>
      </c>
    </row>
    <row r="955" spans="1:13" x14ac:dyDescent="0.3">
      <c r="A955">
        <v>954</v>
      </c>
      <c r="B955" t="s">
        <v>202</v>
      </c>
      <c r="C955">
        <v>15000000</v>
      </c>
      <c r="D955">
        <v>11506702632</v>
      </c>
      <c r="E955" t="s">
        <v>977</v>
      </c>
      <c r="F955">
        <v>340</v>
      </c>
      <c r="G955" t="s">
        <v>1019</v>
      </c>
      <c r="H955" t="s">
        <v>1305</v>
      </c>
      <c r="I955">
        <v>8800000</v>
      </c>
      <c r="J955">
        <v>2012</v>
      </c>
      <c r="K955">
        <v>4</v>
      </c>
      <c r="L955">
        <v>3</v>
      </c>
      <c r="M955">
        <v>212559417</v>
      </c>
    </row>
    <row r="956" spans="1:13" x14ac:dyDescent="0.3">
      <c r="A956">
        <v>955</v>
      </c>
      <c r="B956" t="s">
        <v>444</v>
      </c>
      <c r="C956">
        <v>14400000</v>
      </c>
      <c r="D956">
        <v>9023952946</v>
      </c>
      <c r="E956" t="s">
        <v>982</v>
      </c>
      <c r="F956">
        <v>978</v>
      </c>
      <c r="G956" t="s">
        <v>1294</v>
      </c>
      <c r="H956" t="s">
        <v>1294</v>
      </c>
      <c r="I956">
        <v>3000000</v>
      </c>
      <c r="J956">
        <v>2015</v>
      </c>
      <c r="K956">
        <v>5</v>
      </c>
      <c r="L956">
        <v>6</v>
      </c>
      <c r="M956" t="s">
        <v>1294</v>
      </c>
    </row>
    <row r="957" spans="1:13" x14ac:dyDescent="0.3">
      <c r="A957">
        <v>956</v>
      </c>
      <c r="B957" t="s">
        <v>1178</v>
      </c>
      <c r="C957">
        <v>17900000</v>
      </c>
      <c r="D957">
        <v>6746269458</v>
      </c>
      <c r="E957" t="s">
        <v>994</v>
      </c>
      <c r="F957">
        <v>2</v>
      </c>
      <c r="G957" t="s">
        <v>1294</v>
      </c>
      <c r="H957" t="s">
        <v>1294</v>
      </c>
      <c r="I957">
        <v>0.19</v>
      </c>
      <c r="J957">
        <v>2020</v>
      </c>
      <c r="K957">
        <v>7</v>
      </c>
      <c r="L957">
        <v>15</v>
      </c>
      <c r="M957" t="s">
        <v>1294</v>
      </c>
    </row>
    <row r="958" spans="1:13" x14ac:dyDescent="0.3">
      <c r="A958">
        <v>957</v>
      </c>
      <c r="B958" t="s">
        <v>102</v>
      </c>
      <c r="C958">
        <v>14900000</v>
      </c>
      <c r="D958">
        <v>15913320995</v>
      </c>
      <c r="E958" t="s">
        <v>994</v>
      </c>
      <c r="F958">
        <v>1363</v>
      </c>
      <c r="G958" t="s">
        <v>1294</v>
      </c>
      <c r="H958" t="s">
        <v>1294</v>
      </c>
      <c r="I958">
        <v>16600000</v>
      </c>
      <c r="J958">
        <v>2021</v>
      </c>
      <c r="K958">
        <v>3</v>
      </c>
      <c r="L958">
        <v>5</v>
      </c>
      <c r="M958" t="s">
        <v>1294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DCE8-6912-4CA1-92B4-B3551722CBF6}">
  <dimension ref="A1:AD959"/>
  <sheetViews>
    <sheetView zoomScale="89" zoomScaleNormal="89" workbookViewId="0">
      <pane ySplit="2" topLeftCell="A928" activePane="bottomLeft" state="frozen"/>
      <selection activeCell="G1" sqref="G1"/>
      <selection pane="bottomLeft" activeCell="A2" sqref="A2:C958"/>
    </sheetView>
  </sheetViews>
  <sheetFormatPr defaultRowHeight="14.4" x14ac:dyDescent="0.3"/>
  <cols>
    <col min="1" max="1" width="15.109375" customWidth="1"/>
    <col min="2" max="2" width="8.88671875" customWidth="1"/>
    <col min="3" max="3" width="8.6640625" customWidth="1"/>
    <col min="4" max="4" width="7.6640625" customWidth="1"/>
    <col min="5" max="5" width="10" customWidth="1"/>
    <col min="6" max="6" width="15.21875" customWidth="1"/>
    <col min="7" max="7" width="14.6640625" customWidth="1"/>
    <col min="9" max="9" width="19" customWidth="1"/>
    <col min="10" max="10" width="6" bestFit="1" customWidth="1"/>
    <col min="11" max="11" width="15.6640625" bestFit="1" customWidth="1"/>
    <col min="12" max="12" width="13.21875" bestFit="1" customWidth="1"/>
    <col min="13" max="13" width="19.6640625" bestFit="1" customWidth="1"/>
    <col min="14" max="14" width="9.44140625" bestFit="1" customWidth="1"/>
    <col min="15" max="15" width="6.44140625" bestFit="1" customWidth="1"/>
    <col min="16" max="16" width="13.6640625" bestFit="1" customWidth="1"/>
    <col min="17" max="17" width="7.44140625" bestFit="1" customWidth="1"/>
    <col min="18" max="18" width="6.33203125" bestFit="1" customWidth="1"/>
    <col min="19" max="19" width="13.109375" bestFit="1" customWidth="1"/>
    <col min="20" max="20" width="13.88671875" bestFit="1" customWidth="1"/>
    <col min="21" max="21" width="8" bestFit="1" customWidth="1"/>
    <col min="22" max="22" width="7" bestFit="1" customWidth="1"/>
    <col min="23" max="23" width="7.109375" bestFit="1" customWidth="1"/>
    <col min="24" max="24" width="15.21875" bestFit="1" customWidth="1"/>
    <col min="25" max="25" width="13.6640625" bestFit="1" customWidth="1"/>
    <col min="26" max="26" width="19.6640625" customWidth="1"/>
    <col min="27" max="27" width="14.109375" customWidth="1"/>
  </cols>
  <sheetData>
    <row r="1" spans="1:30" x14ac:dyDescent="0.3">
      <c r="A1" s="32" t="s">
        <v>1346</v>
      </c>
      <c r="B1" s="33"/>
      <c r="C1" s="33"/>
      <c r="D1" s="33"/>
      <c r="E1" s="33"/>
      <c r="F1" s="33"/>
      <c r="G1" s="34"/>
      <c r="I1" s="35" t="s">
        <v>1346</v>
      </c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spans="1:30" x14ac:dyDescent="0.3">
      <c r="A2" s="22" t="s">
        <v>1301</v>
      </c>
      <c r="B2" s="22" t="s">
        <v>1302</v>
      </c>
      <c r="C2" s="22" t="s">
        <v>1304</v>
      </c>
      <c r="D2" s="22" t="s">
        <v>1307</v>
      </c>
      <c r="E2" s="22" t="s">
        <v>1114</v>
      </c>
      <c r="F2" s="22" t="s">
        <v>1308</v>
      </c>
      <c r="G2" s="22" t="s">
        <v>1305</v>
      </c>
      <c r="I2" s="27" t="s">
        <v>1299</v>
      </c>
      <c r="J2" s="5" t="s">
        <v>977</v>
      </c>
      <c r="K2" s="6" t="s">
        <v>982</v>
      </c>
      <c r="L2" s="5" t="s">
        <v>988</v>
      </c>
      <c r="M2" s="6" t="s">
        <v>1067</v>
      </c>
      <c r="N2" s="6" t="s">
        <v>990</v>
      </c>
      <c r="O2" s="5" t="s">
        <v>992</v>
      </c>
      <c r="P2" s="5" t="s">
        <v>994</v>
      </c>
      <c r="Q2" s="6" t="s">
        <v>996</v>
      </c>
      <c r="R2" s="6" t="s">
        <v>1004</v>
      </c>
      <c r="S2" s="5" t="s">
        <v>1011</v>
      </c>
      <c r="T2" s="6" t="s">
        <v>1026</v>
      </c>
      <c r="U2" s="6" t="s">
        <v>1044</v>
      </c>
      <c r="V2" s="6" t="s">
        <v>1057</v>
      </c>
      <c r="W2" s="6" t="s">
        <v>1108</v>
      </c>
      <c r="X2" s="5" t="s">
        <v>1139</v>
      </c>
      <c r="Y2" s="6" t="s">
        <v>1128</v>
      </c>
      <c r="Z2" s="5" t="s">
        <v>1088</v>
      </c>
      <c r="AA2" s="7" t="s">
        <v>1285</v>
      </c>
    </row>
    <row r="3" spans="1:30" x14ac:dyDescent="0.3">
      <c r="A3" s="18" t="s">
        <v>1302</v>
      </c>
      <c r="B3" s="4">
        <f>IF($A3="Asia",1,0)</f>
        <v>1</v>
      </c>
      <c r="C3" s="4">
        <f>IF(A3="Europe",1,0)</f>
        <v>0</v>
      </c>
      <c r="D3" s="4">
        <f>IF(A3="Africa",1,0)</f>
        <v>0</v>
      </c>
      <c r="E3" s="4">
        <f>IF($A3="Australia",1,0)</f>
        <v>0</v>
      </c>
      <c r="F3" s="4">
        <f>IF($A3="North America",1,0)</f>
        <v>0</v>
      </c>
      <c r="G3" s="4">
        <f>IF($A3="South America",1,0)</f>
        <v>0</v>
      </c>
      <c r="I3" s="8" t="s">
        <v>977</v>
      </c>
      <c r="J3" s="9">
        <f>IF(I3="Music",1,0)</f>
        <v>1</v>
      </c>
      <c r="K3" s="9">
        <f>IF(I3="Film &amp; Animation",1,0)</f>
        <v>0</v>
      </c>
      <c r="L3" s="9">
        <f>IF(I3="Entertainment",1,0)</f>
        <v>0</v>
      </c>
      <c r="M3" s="9">
        <f>IF(I3="Nonprofits &amp; Activism",1,0)</f>
        <v>0</v>
      </c>
      <c r="N3" s="9">
        <f>IF(I3="Education",1,0)</f>
        <v>0</v>
      </c>
      <c r="O3" s="9">
        <f>IF(I3="Shows",1,0)</f>
        <v>0</v>
      </c>
      <c r="P3" s="9">
        <f>IF(I3="People &amp; Blogs",1,0)</f>
        <v>0</v>
      </c>
      <c r="Q3" s="9">
        <f>IF(I3="Gaming",1,0)</f>
        <v>0</v>
      </c>
      <c r="R3" s="9">
        <f>IF(I3="Sports",1,0)</f>
        <v>0</v>
      </c>
      <c r="S3" s="9">
        <f>IF(I3="Howto &amp; Style",1,0)</f>
        <v>0</v>
      </c>
      <c r="T3" s="9">
        <f>IF(I3="News &amp; Politics",1,0)</f>
        <v>0</v>
      </c>
      <c r="U3" s="9">
        <f>IF(I3="Comedy",1,0)</f>
        <v>0</v>
      </c>
      <c r="V3" s="9">
        <f>IF(I3="Trailers",1,0)</f>
        <v>0</v>
      </c>
      <c r="W3" s="9">
        <f>IF(I3="Movies",1,0)</f>
        <v>0</v>
      </c>
      <c r="X3" s="9">
        <f>IF(I3="Autos &amp; Vehicles",1,0)</f>
        <v>0</v>
      </c>
      <c r="Y3" s="9">
        <f>IF(I3="Pets &amp; Animals",1,0)</f>
        <v>0</v>
      </c>
      <c r="Z3" s="9">
        <f>IF(I3="Science &amp; Technology",1,0)</f>
        <v>0</v>
      </c>
      <c r="AA3" s="10">
        <f>IF(I3="Travel &amp; Events",1,0)</f>
        <v>0</v>
      </c>
    </row>
    <row r="4" spans="1:30" x14ac:dyDescent="0.3">
      <c r="A4" s="4" t="s">
        <v>1303</v>
      </c>
      <c r="B4" s="4">
        <f t="shared" ref="B4:B67" si="0">IF($A4="Asia",1,0)</f>
        <v>0</v>
      </c>
      <c r="C4" s="4">
        <f t="shared" ref="C4:C67" si="1">IF(A4="Europe",1,0)</f>
        <v>0</v>
      </c>
      <c r="D4" s="4">
        <f t="shared" ref="D4:D67" si="2">IF(A4="Africa",1,0)</f>
        <v>0</v>
      </c>
      <c r="E4" s="4">
        <f t="shared" ref="E4:E67" si="3">IF($A4="Australia",1,0)</f>
        <v>0</v>
      </c>
      <c r="F4" s="4">
        <f t="shared" ref="F4:F67" si="4">IF($A4="North America",1,0)</f>
        <v>1</v>
      </c>
      <c r="G4" s="4">
        <f t="shared" ref="G4:G67" si="5">IF($A4="South America",1,0)</f>
        <v>0</v>
      </c>
      <c r="I4" s="11" t="s">
        <v>982</v>
      </c>
      <c r="J4" s="9">
        <f t="shared" ref="J4:J67" si="6">IF(I4="Music",1,0)</f>
        <v>0</v>
      </c>
      <c r="K4" s="9">
        <f>IF(I4="Film &amp; Animation",1,0)</f>
        <v>1</v>
      </c>
      <c r="L4" s="9">
        <f t="shared" ref="L4:L67" si="7">IF(I4="Entertainment",1,0)</f>
        <v>0</v>
      </c>
      <c r="M4" s="9">
        <f t="shared" ref="M4:M67" si="8">IF(I4="Nonprofits &amp; Activism",1,0)</f>
        <v>0</v>
      </c>
      <c r="N4" s="9">
        <f t="shared" ref="N4:N67" si="9">IF(I4="Education",1,0)</f>
        <v>0</v>
      </c>
      <c r="O4" s="9">
        <f t="shared" ref="O4:O67" si="10">IF(I4="Shows",1,0)</f>
        <v>0</v>
      </c>
      <c r="P4" s="9">
        <f t="shared" ref="P4:P67" si="11">IF(I4="People &amp; Blogs",1,0)</f>
        <v>0</v>
      </c>
      <c r="Q4" s="9">
        <f t="shared" ref="Q4:Q67" si="12">IF(I4="Gaming",1,0)</f>
        <v>0</v>
      </c>
      <c r="R4" s="9">
        <f t="shared" ref="R4:R67" si="13">IF(I4="Sports",1,0)</f>
        <v>0</v>
      </c>
      <c r="S4" s="9">
        <f t="shared" ref="S4:S67" si="14">IF(I4="Howto &amp; Style",1,0)</f>
        <v>0</v>
      </c>
      <c r="T4" s="9">
        <f t="shared" ref="T4:T67" si="15">IF(I4="News &amp; Politics",1,0)</f>
        <v>0</v>
      </c>
      <c r="U4" s="9">
        <f t="shared" ref="U4:U67" si="16">IF(I4="Comedy",1,0)</f>
        <v>0</v>
      </c>
      <c r="V4" s="9">
        <f t="shared" ref="V4:V67" si="17">IF(I4="Trailers",1,0)</f>
        <v>0</v>
      </c>
      <c r="W4" s="9">
        <f t="shared" ref="W4:W67" si="18">IF(I4="Movies",1,0)</f>
        <v>0</v>
      </c>
      <c r="X4" s="9">
        <f t="shared" ref="X4:X67" si="19">IF(I4="Autos &amp; Vehicles",1,0)</f>
        <v>0</v>
      </c>
      <c r="Y4" s="9">
        <f t="shared" ref="Y4:Y67" si="20">IF(I4="Pets &amp; Animals",1,0)</f>
        <v>0</v>
      </c>
      <c r="Z4" s="9">
        <f t="shared" ref="Z4:Z67" si="21">IF(I4="Science &amp; Technology",1,0)</f>
        <v>0</v>
      </c>
      <c r="AA4" s="10">
        <f t="shared" ref="AA4:AA67" si="22">IF(I4="Travel &amp; Events",1,0)</f>
        <v>0</v>
      </c>
    </row>
    <row r="5" spans="1:30" x14ac:dyDescent="0.3">
      <c r="A5" s="18" t="s">
        <v>1303</v>
      </c>
      <c r="B5" s="4">
        <f t="shared" si="0"/>
        <v>0</v>
      </c>
      <c r="C5" s="4">
        <f t="shared" si="1"/>
        <v>0</v>
      </c>
      <c r="D5" s="4">
        <f t="shared" si="2"/>
        <v>0</v>
      </c>
      <c r="E5" s="4">
        <f t="shared" si="3"/>
        <v>0</v>
      </c>
      <c r="F5" s="4">
        <f t="shared" si="4"/>
        <v>1</v>
      </c>
      <c r="G5" s="4">
        <f t="shared" si="5"/>
        <v>0</v>
      </c>
      <c r="I5" s="8" t="s">
        <v>988</v>
      </c>
      <c r="J5" s="9">
        <f t="shared" si="6"/>
        <v>0</v>
      </c>
      <c r="K5" s="9">
        <f t="shared" ref="K5:K68" si="23">IF(I5="Film &amp; Animation",1,0)</f>
        <v>0</v>
      </c>
      <c r="L5" s="9">
        <f t="shared" si="7"/>
        <v>1</v>
      </c>
      <c r="M5" s="9">
        <f t="shared" si="8"/>
        <v>0</v>
      </c>
      <c r="N5" s="9">
        <f t="shared" si="9"/>
        <v>0</v>
      </c>
      <c r="O5" s="9">
        <f t="shared" si="10"/>
        <v>0</v>
      </c>
      <c r="P5" s="9">
        <f t="shared" si="11"/>
        <v>0</v>
      </c>
      <c r="Q5" s="9">
        <f t="shared" si="12"/>
        <v>0</v>
      </c>
      <c r="R5" s="9">
        <f t="shared" si="13"/>
        <v>0</v>
      </c>
      <c r="S5" s="9">
        <f t="shared" si="14"/>
        <v>0</v>
      </c>
      <c r="T5" s="9">
        <f t="shared" si="15"/>
        <v>0</v>
      </c>
      <c r="U5" s="9">
        <f t="shared" si="16"/>
        <v>0</v>
      </c>
      <c r="V5" s="9">
        <f t="shared" si="17"/>
        <v>0</v>
      </c>
      <c r="W5" s="9">
        <f t="shared" si="18"/>
        <v>0</v>
      </c>
      <c r="X5" s="9">
        <f t="shared" si="19"/>
        <v>0</v>
      </c>
      <c r="Y5" s="9">
        <f t="shared" si="20"/>
        <v>0</v>
      </c>
      <c r="Z5" s="9">
        <f t="shared" si="21"/>
        <v>0</v>
      </c>
      <c r="AA5" s="10">
        <f t="shared" si="22"/>
        <v>0</v>
      </c>
    </row>
    <row r="6" spans="1:30" x14ac:dyDescent="0.3">
      <c r="A6" s="4" t="s">
        <v>1303</v>
      </c>
      <c r="B6" s="4">
        <f t="shared" si="0"/>
        <v>0</v>
      </c>
      <c r="C6" s="4">
        <f t="shared" si="1"/>
        <v>0</v>
      </c>
      <c r="D6" s="4">
        <f t="shared" si="2"/>
        <v>0</v>
      </c>
      <c r="E6" s="4">
        <f t="shared" si="3"/>
        <v>0</v>
      </c>
      <c r="F6" s="4">
        <f t="shared" si="4"/>
        <v>1</v>
      </c>
      <c r="G6" s="4">
        <f t="shared" si="5"/>
        <v>0</v>
      </c>
      <c r="I6" s="11" t="s">
        <v>990</v>
      </c>
      <c r="J6" s="9">
        <f t="shared" si="6"/>
        <v>0</v>
      </c>
      <c r="K6" s="9">
        <f t="shared" si="23"/>
        <v>0</v>
      </c>
      <c r="L6" s="9">
        <f t="shared" si="7"/>
        <v>0</v>
      </c>
      <c r="M6" s="9">
        <f t="shared" si="8"/>
        <v>0</v>
      </c>
      <c r="N6" s="9">
        <f t="shared" si="9"/>
        <v>1</v>
      </c>
      <c r="O6" s="9">
        <f t="shared" si="10"/>
        <v>0</v>
      </c>
      <c r="P6" s="9">
        <f t="shared" si="11"/>
        <v>0</v>
      </c>
      <c r="Q6" s="9">
        <f t="shared" si="12"/>
        <v>0</v>
      </c>
      <c r="R6" s="9">
        <f t="shared" si="13"/>
        <v>0</v>
      </c>
      <c r="S6" s="9">
        <f t="shared" si="14"/>
        <v>0</v>
      </c>
      <c r="T6" s="9">
        <f t="shared" si="15"/>
        <v>0</v>
      </c>
      <c r="U6" s="9">
        <f t="shared" si="16"/>
        <v>0</v>
      </c>
      <c r="V6" s="9">
        <f t="shared" si="17"/>
        <v>0</v>
      </c>
      <c r="W6" s="9">
        <f t="shared" si="18"/>
        <v>0</v>
      </c>
      <c r="X6" s="9">
        <f t="shared" si="19"/>
        <v>0</v>
      </c>
      <c r="Y6" s="9">
        <f t="shared" si="20"/>
        <v>0</v>
      </c>
      <c r="Z6" s="9">
        <f t="shared" si="21"/>
        <v>0</v>
      </c>
      <c r="AA6" s="10">
        <f t="shared" si="22"/>
        <v>0</v>
      </c>
    </row>
    <row r="7" spans="1:30" x14ac:dyDescent="0.3">
      <c r="A7" s="18" t="s">
        <v>1302</v>
      </c>
      <c r="B7" s="4">
        <f t="shared" si="0"/>
        <v>1</v>
      </c>
      <c r="C7" s="4">
        <f t="shared" si="1"/>
        <v>0</v>
      </c>
      <c r="D7" s="4">
        <f t="shared" si="2"/>
        <v>0</v>
      </c>
      <c r="E7" s="4">
        <f t="shared" si="3"/>
        <v>0</v>
      </c>
      <c r="F7" s="4">
        <f t="shared" si="4"/>
        <v>0</v>
      </c>
      <c r="G7" s="4">
        <f t="shared" si="5"/>
        <v>0</v>
      </c>
      <c r="I7" s="8" t="s">
        <v>992</v>
      </c>
      <c r="J7" s="9">
        <f t="shared" si="6"/>
        <v>0</v>
      </c>
      <c r="K7" s="9">
        <f t="shared" si="23"/>
        <v>0</v>
      </c>
      <c r="L7" s="9">
        <f t="shared" si="7"/>
        <v>0</v>
      </c>
      <c r="M7" s="9">
        <f t="shared" si="8"/>
        <v>0</v>
      </c>
      <c r="N7" s="9">
        <f t="shared" si="9"/>
        <v>0</v>
      </c>
      <c r="O7" s="9">
        <f t="shared" si="10"/>
        <v>1</v>
      </c>
      <c r="P7" s="9">
        <f t="shared" si="11"/>
        <v>0</v>
      </c>
      <c r="Q7" s="9">
        <f t="shared" si="12"/>
        <v>0</v>
      </c>
      <c r="R7" s="9">
        <f t="shared" si="13"/>
        <v>0</v>
      </c>
      <c r="S7" s="9">
        <f t="shared" si="14"/>
        <v>0</v>
      </c>
      <c r="T7" s="9">
        <f t="shared" si="15"/>
        <v>0</v>
      </c>
      <c r="U7" s="9">
        <f t="shared" si="16"/>
        <v>0</v>
      </c>
      <c r="V7" s="9">
        <f t="shared" si="17"/>
        <v>0</v>
      </c>
      <c r="W7" s="9">
        <f t="shared" si="18"/>
        <v>0</v>
      </c>
      <c r="X7" s="9">
        <f t="shared" si="19"/>
        <v>0</v>
      </c>
      <c r="Y7" s="9">
        <f t="shared" si="20"/>
        <v>0</v>
      </c>
      <c r="Z7" s="9">
        <f t="shared" si="21"/>
        <v>0</v>
      </c>
      <c r="AA7" s="10">
        <f t="shared" si="22"/>
        <v>0</v>
      </c>
    </row>
    <row r="8" spans="1:30" x14ac:dyDescent="0.3">
      <c r="A8" s="4" t="s">
        <v>1294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4">
        <f t="shared" si="4"/>
        <v>0</v>
      </c>
      <c r="G8" s="4">
        <f t="shared" si="5"/>
        <v>0</v>
      </c>
      <c r="I8" s="11" t="s">
        <v>1294</v>
      </c>
      <c r="J8" s="9">
        <f t="shared" si="6"/>
        <v>0</v>
      </c>
      <c r="K8" s="9">
        <f t="shared" si="23"/>
        <v>0</v>
      </c>
      <c r="L8" s="9">
        <f t="shared" si="7"/>
        <v>0</v>
      </c>
      <c r="M8" s="9">
        <f t="shared" si="8"/>
        <v>0</v>
      </c>
      <c r="N8" s="9">
        <f t="shared" si="9"/>
        <v>0</v>
      </c>
      <c r="O8" s="9">
        <f t="shared" si="10"/>
        <v>0</v>
      </c>
      <c r="P8" s="9">
        <f t="shared" si="11"/>
        <v>0</v>
      </c>
      <c r="Q8" s="9">
        <f t="shared" si="12"/>
        <v>0</v>
      </c>
      <c r="R8" s="9">
        <f t="shared" si="13"/>
        <v>0</v>
      </c>
      <c r="S8" s="9">
        <f t="shared" si="14"/>
        <v>0</v>
      </c>
      <c r="T8" s="9">
        <f t="shared" si="15"/>
        <v>0</v>
      </c>
      <c r="U8" s="9">
        <f t="shared" si="16"/>
        <v>0</v>
      </c>
      <c r="V8" s="9">
        <f t="shared" si="17"/>
        <v>0</v>
      </c>
      <c r="W8" s="9">
        <f t="shared" si="18"/>
        <v>0</v>
      </c>
      <c r="X8" s="9">
        <f t="shared" si="19"/>
        <v>0</v>
      </c>
      <c r="Y8" s="9">
        <f t="shared" si="20"/>
        <v>0</v>
      </c>
      <c r="Z8" s="9">
        <f t="shared" si="21"/>
        <v>0</v>
      </c>
      <c r="AA8" s="10">
        <f t="shared" si="22"/>
        <v>0</v>
      </c>
    </row>
    <row r="9" spans="1:30" x14ac:dyDescent="0.3">
      <c r="A9" s="18" t="s">
        <v>1303</v>
      </c>
      <c r="B9" s="4">
        <f t="shared" si="0"/>
        <v>0</v>
      </c>
      <c r="C9" s="4">
        <f t="shared" si="1"/>
        <v>0</v>
      </c>
      <c r="D9" s="4">
        <f t="shared" si="2"/>
        <v>0</v>
      </c>
      <c r="E9" s="4">
        <f t="shared" si="3"/>
        <v>0</v>
      </c>
      <c r="F9" s="4">
        <f t="shared" si="4"/>
        <v>1</v>
      </c>
      <c r="G9" s="4">
        <f t="shared" si="5"/>
        <v>0</v>
      </c>
      <c r="I9" s="8" t="s">
        <v>994</v>
      </c>
      <c r="J9" s="9">
        <f t="shared" si="6"/>
        <v>0</v>
      </c>
      <c r="K9" s="9">
        <f t="shared" si="23"/>
        <v>0</v>
      </c>
      <c r="L9" s="9">
        <f t="shared" si="7"/>
        <v>0</v>
      </c>
      <c r="M9" s="9">
        <f t="shared" si="8"/>
        <v>0</v>
      </c>
      <c r="N9" s="9">
        <f t="shared" si="9"/>
        <v>0</v>
      </c>
      <c r="O9" s="9">
        <f t="shared" si="10"/>
        <v>0</v>
      </c>
      <c r="P9" s="9">
        <f t="shared" si="11"/>
        <v>1</v>
      </c>
      <c r="Q9" s="9">
        <f t="shared" si="12"/>
        <v>0</v>
      </c>
      <c r="R9" s="9">
        <f t="shared" si="13"/>
        <v>0</v>
      </c>
      <c r="S9" s="9">
        <f t="shared" si="14"/>
        <v>0</v>
      </c>
      <c r="T9" s="9">
        <f t="shared" si="15"/>
        <v>0</v>
      </c>
      <c r="U9" s="9">
        <f t="shared" si="16"/>
        <v>0</v>
      </c>
      <c r="V9" s="9">
        <f t="shared" si="17"/>
        <v>0</v>
      </c>
      <c r="W9" s="9">
        <f t="shared" si="18"/>
        <v>0</v>
      </c>
      <c r="X9" s="9">
        <f t="shared" si="19"/>
        <v>0</v>
      </c>
      <c r="Y9" s="9">
        <f t="shared" si="20"/>
        <v>0</v>
      </c>
      <c r="Z9" s="9">
        <f t="shared" si="21"/>
        <v>0</v>
      </c>
      <c r="AA9" s="10">
        <f t="shared" si="22"/>
        <v>0</v>
      </c>
    </row>
    <row r="10" spans="1:30" x14ac:dyDescent="0.3">
      <c r="A10" s="4" t="s">
        <v>1302</v>
      </c>
      <c r="B10" s="4">
        <f t="shared" si="0"/>
        <v>1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4">
        <f t="shared" si="4"/>
        <v>0</v>
      </c>
      <c r="G10" s="4">
        <f t="shared" si="5"/>
        <v>0</v>
      </c>
      <c r="I10" s="11" t="s">
        <v>996</v>
      </c>
      <c r="J10" s="9">
        <f t="shared" si="6"/>
        <v>0</v>
      </c>
      <c r="K10" s="9">
        <f t="shared" si="23"/>
        <v>0</v>
      </c>
      <c r="L10" s="9">
        <f t="shared" si="7"/>
        <v>0</v>
      </c>
      <c r="M10" s="9">
        <f t="shared" si="8"/>
        <v>0</v>
      </c>
      <c r="N10" s="9">
        <f t="shared" si="9"/>
        <v>0</v>
      </c>
      <c r="O10" s="9">
        <f t="shared" si="10"/>
        <v>0</v>
      </c>
      <c r="P10" s="9">
        <f t="shared" si="11"/>
        <v>0</v>
      </c>
      <c r="Q10" s="9">
        <f t="shared" si="12"/>
        <v>1</v>
      </c>
      <c r="R10" s="9">
        <f t="shared" si="13"/>
        <v>0</v>
      </c>
      <c r="S10" s="9">
        <f t="shared" si="14"/>
        <v>0</v>
      </c>
      <c r="T10" s="9">
        <f t="shared" si="15"/>
        <v>0</v>
      </c>
      <c r="U10" s="9">
        <f t="shared" si="16"/>
        <v>0</v>
      </c>
      <c r="V10" s="9">
        <f t="shared" si="17"/>
        <v>0</v>
      </c>
      <c r="W10" s="9">
        <f t="shared" si="18"/>
        <v>0</v>
      </c>
      <c r="X10" s="9">
        <f t="shared" si="19"/>
        <v>0</v>
      </c>
      <c r="Y10" s="9">
        <f t="shared" si="20"/>
        <v>0</v>
      </c>
      <c r="Z10" s="9">
        <f t="shared" si="21"/>
        <v>0</v>
      </c>
      <c r="AA10" s="10">
        <f t="shared" si="22"/>
        <v>0</v>
      </c>
    </row>
    <row r="11" spans="1:30" x14ac:dyDescent="0.3">
      <c r="A11" s="18" t="s">
        <v>1302</v>
      </c>
      <c r="B11" s="4">
        <f t="shared" si="0"/>
        <v>1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4">
        <f t="shared" si="4"/>
        <v>0</v>
      </c>
      <c r="G11" s="4">
        <f t="shared" si="5"/>
        <v>0</v>
      </c>
      <c r="I11" s="8" t="s">
        <v>994</v>
      </c>
      <c r="J11" s="9">
        <f t="shared" si="6"/>
        <v>0</v>
      </c>
      <c r="K11" s="9">
        <f t="shared" si="23"/>
        <v>0</v>
      </c>
      <c r="L11" s="9">
        <f t="shared" si="7"/>
        <v>0</v>
      </c>
      <c r="M11" s="9">
        <f t="shared" si="8"/>
        <v>0</v>
      </c>
      <c r="N11" s="9">
        <f t="shared" si="9"/>
        <v>0</v>
      </c>
      <c r="O11" s="9">
        <f t="shared" si="10"/>
        <v>0</v>
      </c>
      <c r="P11" s="9">
        <f t="shared" si="11"/>
        <v>1</v>
      </c>
      <c r="Q11" s="9">
        <f t="shared" si="12"/>
        <v>0</v>
      </c>
      <c r="R11" s="9">
        <f t="shared" si="13"/>
        <v>0</v>
      </c>
      <c r="S11" s="9">
        <f t="shared" si="14"/>
        <v>0</v>
      </c>
      <c r="T11" s="9">
        <f t="shared" si="15"/>
        <v>0</v>
      </c>
      <c r="U11" s="9">
        <f t="shared" si="16"/>
        <v>0</v>
      </c>
      <c r="V11" s="9">
        <f t="shared" si="17"/>
        <v>0</v>
      </c>
      <c r="W11" s="9">
        <f t="shared" si="18"/>
        <v>0</v>
      </c>
      <c r="X11" s="9">
        <f t="shared" si="19"/>
        <v>0</v>
      </c>
      <c r="Y11" s="9">
        <f t="shared" si="20"/>
        <v>0</v>
      </c>
      <c r="Z11" s="9">
        <f t="shared" si="21"/>
        <v>0</v>
      </c>
      <c r="AA11" s="10">
        <f t="shared" si="22"/>
        <v>0</v>
      </c>
    </row>
    <row r="12" spans="1:30" x14ac:dyDescent="0.3">
      <c r="A12" s="4" t="s">
        <v>1303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4">
        <f t="shared" si="4"/>
        <v>1</v>
      </c>
      <c r="G12" s="4">
        <f t="shared" si="5"/>
        <v>0</v>
      </c>
      <c r="I12" s="11" t="s">
        <v>988</v>
      </c>
      <c r="J12" s="9">
        <f t="shared" si="6"/>
        <v>0</v>
      </c>
      <c r="K12" s="9">
        <f t="shared" si="23"/>
        <v>0</v>
      </c>
      <c r="L12" s="9">
        <f t="shared" si="7"/>
        <v>1</v>
      </c>
      <c r="M12" s="9">
        <f t="shared" si="8"/>
        <v>0</v>
      </c>
      <c r="N12" s="9">
        <f t="shared" si="9"/>
        <v>0</v>
      </c>
      <c r="O12" s="9">
        <f t="shared" si="10"/>
        <v>0</v>
      </c>
      <c r="P12" s="9">
        <f t="shared" si="11"/>
        <v>0</v>
      </c>
      <c r="Q12" s="9">
        <f t="shared" si="12"/>
        <v>0</v>
      </c>
      <c r="R12" s="9">
        <f t="shared" si="13"/>
        <v>0</v>
      </c>
      <c r="S12" s="9">
        <f t="shared" si="14"/>
        <v>0</v>
      </c>
      <c r="T12" s="9">
        <f t="shared" si="15"/>
        <v>0</v>
      </c>
      <c r="U12" s="9">
        <f t="shared" si="16"/>
        <v>0</v>
      </c>
      <c r="V12" s="9">
        <f t="shared" si="17"/>
        <v>0</v>
      </c>
      <c r="W12" s="9">
        <f t="shared" si="18"/>
        <v>0</v>
      </c>
      <c r="X12" s="9">
        <f t="shared" si="19"/>
        <v>0</v>
      </c>
      <c r="Y12" s="9">
        <f t="shared" si="20"/>
        <v>0</v>
      </c>
      <c r="Z12" s="9">
        <f t="shared" si="21"/>
        <v>0</v>
      </c>
      <c r="AA12" s="10">
        <f t="shared" si="22"/>
        <v>0</v>
      </c>
    </row>
    <row r="13" spans="1:30" x14ac:dyDescent="0.3">
      <c r="A13" s="18" t="s">
        <v>1302</v>
      </c>
      <c r="B13" s="4">
        <f t="shared" si="0"/>
        <v>1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4">
        <f t="shared" si="4"/>
        <v>0</v>
      </c>
      <c r="G13" s="4">
        <f t="shared" si="5"/>
        <v>0</v>
      </c>
      <c r="I13" s="8" t="s">
        <v>977</v>
      </c>
      <c r="J13" s="9">
        <f t="shared" si="6"/>
        <v>1</v>
      </c>
      <c r="K13" s="9">
        <f t="shared" si="23"/>
        <v>0</v>
      </c>
      <c r="L13" s="9">
        <f t="shared" si="7"/>
        <v>0</v>
      </c>
      <c r="M13" s="9">
        <f t="shared" si="8"/>
        <v>0</v>
      </c>
      <c r="N13" s="9">
        <f t="shared" si="9"/>
        <v>0</v>
      </c>
      <c r="O13" s="9">
        <f t="shared" si="10"/>
        <v>0</v>
      </c>
      <c r="P13" s="9">
        <f t="shared" si="11"/>
        <v>0</v>
      </c>
      <c r="Q13" s="9">
        <f t="shared" si="12"/>
        <v>0</v>
      </c>
      <c r="R13" s="9">
        <f t="shared" si="13"/>
        <v>0</v>
      </c>
      <c r="S13" s="9">
        <f t="shared" si="14"/>
        <v>0</v>
      </c>
      <c r="T13" s="9">
        <f t="shared" si="15"/>
        <v>0</v>
      </c>
      <c r="U13" s="9">
        <f t="shared" si="16"/>
        <v>0</v>
      </c>
      <c r="V13" s="9">
        <f t="shared" si="17"/>
        <v>0</v>
      </c>
      <c r="W13" s="9">
        <f t="shared" si="18"/>
        <v>0</v>
      </c>
      <c r="X13" s="9">
        <f t="shared" si="19"/>
        <v>0</v>
      </c>
      <c r="Y13" s="9">
        <f t="shared" si="20"/>
        <v>0</v>
      </c>
      <c r="Z13" s="9">
        <f t="shared" si="21"/>
        <v>0</v>
      </c>
      <c r="AA13" s="10">
        <f t="shared" si="22"/>
        <v>0</v>
      </c>
    </row>
    <row r="14" spans="1:30" x14ac:dyDescent="0.3">
      <c r="A14" s="4" t="s">
        <v>1303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4">
        <f t="shared" si="4"/>
        <v>1</v>
      </c>
      <c r="G14" s="4">
        <f t="shared" si="5"/>
        <v>0</v>
      </c>
      <c r="I14" s="11" t="s">
        <v>1004</v>
      </c>
      <c r="J14" s="9">
        <f t="shared" si="6"/>
        <v>0</v>
      </c>
      <c r="K14" s="9">
        <f t="shared" si="23"/>
        <v>0</v>
      </c>
      <c r="L14" s="9">
        <f t="shared" si="7"/>
        <v>0</v>
      </c>
      <c r="M14" s="9">
        <f t="shared" si="8"/>
        <v>0</v>
      </c>
      <c r="N14" s="9">
        <f t="shared" si="9"/>
        <v>0</v>
      </c>
      <c r="O14" s="9">
        <f t="shared" si="10"/>
        <v>0</v>
      </c>
      <c r="P14" s="9">
        <f t="shared" si="11"/>
        <v>0</v>
      </c>
      <c r="Q14" s="9">
        <f t="shared" si="12"/>
        <v>0</v>
      </c>
      <c r="R14" s="9">
        <f t="shared" si="13"/>
        <v>1</v>
      </c>
      <c r="S14" s="9">
        <f t="shared" si="14"/>
        <v>0</v>
      </c>
      <c r="T14" s="9">
        <f t="shared" si="15"/>
        <v>0</v>
      </c>
      <c r="U14" s="9">
        <f t="shared" si="16"/>
        <v>0</v>
      </c>
      <c r="V14" s="9">
        <f t="shared" si="17"/>
        <v>0</v>
      </c>
      <c r="W14" s="9">
        <f t="shared" si="18"/>
        <v>0</v>
      </c>
      <c r="X14" s="9">
        <f t="shared" si="19"/>
        <v>0</v>
      </c>
      <c r="Y14" s="9">
        <f t="shared" si="20"/>
        <v>0</v>
      </c>
      <c r="Z14" s="9">
        <f t="shared" si="21"/>
        <v>0</v>
      </c>
      <c r="AA14" s="10">
        <f t="shared" si="22"/>
        <v>0</v>
      </c>
    </row>
    <row r="15" spans="1:30" x14ac:dyDescent="0.3">
      <c r="A15" s="18" t="s">
        <v>1294</v>
      </c>
      <c r="B15" s="4">
        <f t="shared" si="0"/>
        <v>0</v>
      </c>
      <c r="C15" s="4">
        <f t="shared" si="1"/>
        <v>0</v>
      </c>
      <c r="D15" s="4">
        <f t="shared" si="2"/>
        <v>0</v>
      </c>
      <c r="E15" s="4">
        <f t="shared" si="3"/>
        <v>0</v>
      </c>
      <c r="F15" s="4">
        <f t="shared" si="4"/>
        <v>0</v>
      </c>
      <c r="G15" s="4">
        <f t="shared" si="5"/>
        <v>0</v>
      </c>
      <c r="I15" s="8" t="s">
        <v>1294</v>
      </c>
      <c r="J15" s="9">
        <f t="shared" si="6"/>
        <v>0</v>
      </c>
      <c r="K15" s="9">
        <f t="shared" si="23"/>
        <v>0</v>
      </c>
      <c r="L15" s="9">
        <f t="shared" si="7"/>
        <v>0</v>
      </c>
      <c r="M15" s="9">
        <f t="shared" si="8"/>
        <v>0</v>
      </c>
      <c r="N15" s="9">
        <f t="shared" si="9"/>
        <v>0</v>
      </c>
      <c r="O15" s="9">
        <f t="shared" si="10"/>
        <v>0</v>
      </c>
      <c r="P15" s="9">
        <f t="shared" si="11"/>
        <v>0</v>
      </c>
      <c r="Q15" s="9">
        <f t="shared" si="12"/>
        <v>0</v>
      </c>
      <c r="R15" s="9">
        <f t="shared" si="13"/>
        <v>0</v>
      </c>
      <c r="S15" s="9">
        <f t="shared" si="14"/>
        <v>0</v>
      </c>
      <c r="T15" s="9">
        <f t="shared" si="15"/>
        <v>0</v>
      </c>
      <c r="U15" s="9">
        <f t="shared" si="16"/>
        <v>0</v>
      </c>
      <c r="V15" s="9">
        <f t="shared" si="17"/>
        <v>0</v>
      </c>
      <c r="W15" s="9">
        <f t="shared" si="18"/>
        <v>0</v>
      </c>
      <c r="X15" s="9">
        <f t="shared" si="19"/>
        <v>0</v>
      </c>
      <c r="Y15" s="9">
        <f t="shared" si="20"/>
        <v>0</v>
      </c>
      <c r="Z15" s="9">
        <f t="shared" si="21"/>
        <v>0</v>
      </c>
      <c r="AA15" s="10">
        <f t="shared" si="22"/>
        <v>0</v>
      </c>
    </row>
    <row r="16" spans="1:30" x14ac:dyDescent="0.3">
      <c r="A16" s="4" t="s">
        <v>1302</v>
      </c>
      <c r="B16" s="4">
        <f t="shared" si="0"/>
        <v>1</v>
      </c>
      <c r="C16" s="4">
        <f t="shared" si="1"/>
        <v>0</v>
      </c>
      <c r="D16" s="4">
        <f t="shared" si="2"/>
        <v>0</v>
      </c>
      <c r="E16" s="4">
        <f t="shared" si="3"/>
        <v>0</v>
      </c>
      <c r="F16" s="4">
        <f t="shared" si="4"/>
        <v>0</v>
      </c>
      <c r="G16" s="4">
        <f t="shared" si="5"/>
        <v>0</v>
      </c>
      <c r="I16" s="11" t="s">
        <v>994</v>
      </c>
      <c r="J16" s="9">
        <f t="shared" si="6"/>
        <v>0</v>
      </c>
      <c r="K16" s="9">
        <f t="shared" si="23"/>
        <v>0</v>
      </c>
      <c r="L16" s="9">
        <f t="shared" si="7"/>
        <v>0</v>
      </c>
      <c r="M16" s="9">
        <f t="shared" si="8"/>
        <v>0</v>
      </c>
      <c r="N16" s="9">
        <f t="shared" si="9"/>
        <v>0</v>
      </c>
      <c r="O16" s="9">
        <f t="shared" si="10"/>
        <v>0</v>
      </c>
      <c r="P16" s="9">
        <f t="shared" si="11"/>
        <v>1</v>
      </c>
      <c r="Q16" s="9">
        <f t="shared" si="12"/>
        <v>0</v>
      </c>
      <c r="R16" s="9">
        <f t="shared" si="13"/>
        <v>0</v>
      </c>
      <c r="S16" s="9">
        <f t="shared" si="14"/>
        <v>0</v>
      </c>
      <c r="T16" s="9">
        <f t="shared" si="15"/>
        <v>0</v>
      </c>
      <c r="U16" s="9">
        <f t="shared" si="16"/>
        <v>0</v>
      </c>
      <c r="V16" s="9">
        <f t="shared" si="17"/>
        <v>0</v>
      </c>
      <c r="W16" s="9">
        <f t="shared" si="18"/>
        <v>0</v>
      </c>
      <c r="X16" s="9">
        <f t="shared" si="19"/>
        <v>0</v>
      </c>
      <c r="Y16" s="9">
        <f t="shared" si="20"/>
        <v>0</v>
      </c>
      <c r="Z16" s="9">
        <f t="shared" si="21"/>
        <v>0</v>
      </c>
      <c r="AA16" s="10">
        <f t="shared" si="22"/>
        <v>0</v>
      </c>
    </row>
    <row r="17" spans="1:27" x14ac:dyDescent="0.3">
      <c r="A17" s="18" t="s">
        <v>1294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4">
        <f t="shared" si="4"/>
        <v>0</v>
      </c>
      <c r="G17" s="4">
        <f t="shared" si="5"/>
        <v>0</v>
      </c>
      <c r="I17" s="8" t="s">
        <v>982</v>
      </c>
      <c r="J17" s="9">
        <f t="shared" si="6"/>
        <v>0</v>
      </c>
      <c r="K17" s="9">
        <f t="shared" si="23"/>
        <v>1</v>
      </c>
      <c r="L17" s="9">
        <f t="shared" si="7"/>
        <v>0</v>
      </c>
      <c r="M17" s="9">
        <f t="shared" si="8"/>
        <v>0</v>
      </c>
      <c r="N17" s="9">
        <f t="shared" si="9"/>
        <v>0</v>
      </c>
      <c r="O17" s="9">
        <f t="shared" si="10"/>
        <v>0</v>
      </c>
      <c r="P17" s="9">
        <f t="shared" si="11"/>
        <v>0</v>
      </c>
      <c r="Q17" s="9">
        <f t="shared" si="12"/>
        <v>0</v>
      </c>
      <c r="R17" s="9">
        <f t="shared" si="13"/>
        <v>0</v>
      </c>
      <c r="S17" s="9">
        <f t="shared" si="14"/>
        <v>0</v>
      </c>
      <c r="T17" s="9">
        <f t="shared" si="15"/>
        <v>0</v>
      </c>
      <c r="U17" s="9">
        <f t="shared" si="16"/>
        <v>0</v>
      </c>
      <c r="V17" s="9">
        <f t="shared" si="17"/>
        <v>0</v>
      </c>
      <c r="W17" s="9">
        <f t="shared" si="18"/>
        <v>0</v>
      </c>
      <c r="X17" s="9">
        <f t="shared" si="19"/>
        <v>0</v>
      </c>
      <c r="Y17" s="9">
        <f t="shared" si="20"/>
        <v>0</v>
      </c>
      <c r="Z17" s="9">
        <f t="shared" si="21"/>
        <v>0</v>
      </c>
      <c r="AA17" s="10">
        <f t="shared" si="22"/>
        <v>0</v>
      </c>
    </row>
    <row r="18" spans="1:27" x14ac:dyDescent="0.3">
      <c r="A18" s="4" t="s">
        <v>1302</v>
      </c>
      <c r="B18" s="4">
        <f t="shared" si="0"/>
        <v>1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4">
        <f t="shared" si="4"/>
        <v>0</v>
      </c>
      <c r="G18" s="4">
        <f t="shared" si="5"/>
        <v>0</v>
      </c>
      <c r="I18" s="11" t="s">
        <v>992</v>
      </c>
      <c r="J18" s="9">
        <f t="shared" si="6"/>
        <v>0</v>
      </c>
      <c r="K18" s="9">
        <f t="shared" si="23"/>
        <v>0</v>
      </c>
      <c r="L18" s="9">
        <f t="shared" si="7"/>
        <v>0</v>
      </c>
      <c r="M18" s="9">
        <f t="shared" si="8"/>
        <v>0</v>
      </c>
      <c r="N18" s="9">
        <f t="shared" si="9"/>
        <v>0</v>
      </c>
      <c r="O18" s="9">
        <f t="shared" si="10"/>
        <v>1</v>
      </c>
      <c r="P18" s="9">
        <f t="shared" si="11"/>
        <v>0</v>
      </c>
      <c r="Q18" s="9">
        <f t="shared" si="12"/>
        <v>0</v>
      </c>
      <c r="R18" s="9">
        <f t="shared" si="13"/>
        <v>0</v>
      </c>
      <c r="S18" s="9">
        <f t="shared" si="14"/>
        <v>0</v>
      </c>
      <c r="T18" s="9">
        <f t="shared" si="15"/>
        <v>0</v>
      </c>
      <c r="U18" s="9">
        <f t="shared" si="16"/>
        <v>0</v>
      </c>
      <c r="V18" s="9">
        <f t="shared" si="17"/>
        <v>0</v>
      </c>
      <c r="W18" s="9">
        <f t="shared" si="18"/>
        <v>0</v>
      </c>
      <c r="X18" s="9">
        <f t="shared" si="19"/>
        <v>0</v>
      </c>
      <c r="Y18" s="9">
        <f t="shared" si="20"/>
        <v>0</v>
      </c>
      <c r="Z18" s="9">
        <f t="shared" si="21"/>
        <v>0</v>
      </c>
      <c r="AA18" s="10">
        <f t="shared" si="22"/>
        <v>0</v>
      </c>
    </row>
    <row r="19" spans="1:27" x14ac:dyDescent="0.3">
      <c r="A19" s="18" t="s">
        <v>1304</v>
      </c>
      <c r="B19" s="4">
        <f t="shared" si="0"/>
        <v>0</v>
      </c>
      <c r="C19" s="4">
        <f t="shared" si="1"/>
        <v>1</v>
      </c>
      <c r="D19" s="4">
        <f t="shared" si="2"/>
        <v>0</v>
      </c>
      <c r="E19" s="4">
        <f t="shared" si="3"/>
        <v>0</v>
      </c>
      <c r="F19" s="4">
        <f t="shared" si="4"/>
        <v>0</v>
      </c>
      <c r="G19" s="4">
        <f t="shared" si="5"/>
        <v>0</v>
      </c>
      <c r="I19" s="8" t="s">
        <v>1011</v>
      </c>
      <c r="J19" s="9">
        <f t="shared" si="6"/>
        <v>0</v>
      </c>
      <c r="K19" s="9">
        <f t="shared" si="23"/>
        <v>0</v>
      </c>
      <c r="L19" s="9">
        <f t="shared" si="7"/>
        <v>0</v>
      </c>
      <c r="M19" s="9">
        <f t="shared" si="8"/>
        <v>0</v>
      </c>
      <c r="N19" s="9">
        <f t="shared" si="9"/>
        <v>0</v>
      </c>
      <c r="O19" s="9">
        <f t="shared" si="10"/>
        <v>0</v>
      </c>
      <c r="P19" s="9">
        <f t="shared" si="11"/>
        <v>0</v>
      </c>
      <c r="Q19" s="9">
        <f t="shared" si="12"/>
        <v>0</v>
      </c>
      <c r="R19" s="9">
        <f t="shared" si="13"/>
        <v>0</v>
      </c>
      <c r="S19" s="9">
        <f t="shared" si="14"/>
        <v>1</v>
      </c>
      <c r="T19" s="9">
        <f t="shared" si="15"/>
        <v>0</v>
      </c>
      <c r="U19" s="9">
        <f t="shared" si="16"/>
        <v>0</v>
      </c>
      <c r="V19" s="9">
        <f t="shared" si="17"/>
        <v>0</v>
      </c>
      <c r="W19" s="9">
        <f t="shared" si="18"/>
        <v>0</v>
      </c>
      <c r="X19" s="9">
        <f t="shared" si="19"/>
        <v>0</v>
      </c>
      <c r="Y19" s="9">
        <f t="shared" si="20"/>
        <v>0</v>
      </c>
      <c r="Z19" s="9">
        <f t="shared" si="21"/>
        <v>0</v>
      </c>
      <c r="AA19" s="10">
        <f t="shared" si="22"/>
        <v>0</v>
      </c>
    </row>
    <row r="20" spans="1:27" x14ac:dyDescent="0.3">
      <c r="A20" s="4" t="s">
        <v>1302</v>
      </c>
      <c r="B20" s="4">
        <f t="shared" si="0"/>
        <v>1</v>
      </c>
      <c r="C20" s="4">
        <f t="shared" si="1"/>
        <v>0</v>
      </c>
      <c r="D20" s="4">
        <f t="shared" si="2"/>
        <v>0</v>
      </c>
      <c r="E20" s="4">
        <f t="shared" si="3"/>
        <v>0</v>
      </c>
      <c r="F20" s="4">
        <f t="shared" si="4"/>
        <v>0</v>
      </c>
      <c r="G20" s="4">
        <f t="shared" si="5"/>
        <v>0</v>
      </c>
      <c r="I20" s="11" t="s">
        <v>977</v>
      </c>
      <c r="J20" s="9">
        <f t="shared" si="6"/>
        <v>1</v>
      </c>
      <c r="K20" s="9">
        <f t="shared" si="23"/>
        <v>0</v>
      </c>
      <c r="L20" s="9">
        <f t="shared" si="7"/>
        <v>0</v>
      </c>
      <c r="M20" s="9">
        <f t="shared" si="8"/>
        <v>0</v>
      </c>
      <c r="N20" s="9">
        <f t="shared" si="9"/>
        <v>0</v>
      </c>
      <c r="O20" s="9">
        <f t="shared" si="10"/>
        <v>0</v>
      </c>
      <c r="P20" s="9">
        <f t="shared" si="11"/>
        <v>0</v>
      </c>
      <c r="Q20" s="9">
        <f t="shared" si="12"/>
        <v>0</v>
      </c>
      <c r="R20" s="9">
        <f t="shared" si="13"/>
        <v>0</v>
      </c>
      <c r="S20" s="9">
        <f t="shared" si="14"/>
        <v>0</v>
      </c>
      <c r="T20" s="9">
        <f t="shared" si="15"/>
        <v>0</v>
      </c>
      <c r="U20" s="9">
        <f t="shared" si="16"/>
        <v>0</v>
      </c>
      <c r="V20" s="9">
        <f t="shared" si="17"/>
        <v>0</v>
      </c>
      <c r="W20" s="9">
        <f t="shared" si="18"/>
        <v>0</v>
      </c>
      <c r="X20" s="9">
        <f t="shared" si="19"/>
        <v>0</v>
      </c>
      <c r="Y20" s="9">
        <f t="shared" si="20"/>
        <v>0</v>
      </c>
      <c r="Z20" s="9">
        <f t="shared" si="21"/>
        <v>0</v>
      </c>
      <c r="AA20" s="10">
        <f t="shared" si="22"/>
        <v>0</v>
      </c>
    </row>
    <row r="21" spans="1:27" x14ac:dyDescent="0.3">
      <c r="A21" s="18" t="s">
        <v>1303</v>
      </c>
      <c r="B21" s="4">
        <f t="shared" si="0"/>
        <v>0</v>
      </c>
      <c r="C21" s="4">
        <f t="shared" si="1"/>
        <v>0</v>
      </c>
      <c r="D21" s="4">
        <f t="shared" si="2"/>
        <v>0</v>
      </c>
      <c r="E21" s="4">
        <f t="shared" si="3"/>
        <v>0</v>
      </c>
      <c r="F21" s="4">
        <f t="shared" si="4"/>
        <v>1</v>
      </c>
      <c r="G21" s="4">
        <f t="shared" si="5"/>
        <v>0</v>
      </c>
      <c r="I21" s="8" t="s">
        <v>1294</v>
      </c>
      <c r="J21" s="9">
        <f t="shared" si="6"/>
        <v>0</v>
      </c>
      <c r="K21" s="9">
        <f t="shared" si="23"/>
        <v>0</v>
      </c>
      <c r="L21" s="9">
        <f t="shared" si="7"/>
        <v>0</v>
      </c>
      <c r="M21" s="9">
        <f t="shared" si="8"/>
        <v>0</v>
      </c>
      <c r="N21" s="9">
        <f t="shared" si="9"/>
        <v>0</v>
      </c>
      <c r="O21" s="9">
        <f t="shared" si="10"/>
        <v>0</v>
      </c>
      <c r="P21" s="9">
        <f t="shared" si="11"/>
        <v>0</v>
      </c>
      <c r="Q21" s="9">
        <f t="shared" si="12"/>
        <v>0</v>
      </c>
      <c r="R21" s="9">
        <f t="shared" si="13"/>
        <v>0</v>
      </c>
      <c r="S21" s="9">
        <f t="shared" si="14"/>
        <v>0</v>
      </c>
      <c r="T21" s="9">
        <f t="shared" si="15"/>
        <v>0</v>
      </c>
      <c r="U21" s="9">
        <f t="shared" si="16"/>
        <v>0</v>
      </c>
      <c r="V21" s="9">
        <f t="shared" si="17"/>
        <v>0</v>
      </c>
      <c r="W21" s="9">
        <f t="shared" si="18"/>
        <v>0</v>
      </c>
      <c r="X21" s="9">
        <f t="shared" si="19"/>
        <v>0</v>
      </c>
      <c r="Y21" s="9">
        <f t="shared" si="20"/>
        <v>0</v>
      </c>
      <c r="Z21" s="9">
        <f t="shared" si="21"/>
        <v>0</v>
      </c>
      <c r="AA21" s="10">
        <f t="shared" si="22"/>
        <v>0</v>
      </c>
    </row>
    <row r="22" spans="1:27" x14ac:dyDescent="0.3">
      <c r="A22" s="4" t="s">
        <v>1303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4">
        <f t="shared" si="4"/>
        <v>1</v>
      </c>
      <c r="G22" s="4">
        <f t="shared" si="5"/>
        <v>0</v>
      </c>
      <c r="I22" s="11" t="s">
        <v>977</v>
      </c>
      <c r="J22" s="9">
        <f t="shared" si="6"/>
        <v>1</v>
      </c>
      <c r="K22" s="9">
        <f t="shared" si="23"/>
        <v>0</v>
      </c>
      <c r="L22" s="9">
        <f t="shared" si="7"/>
        <v>0</v>
      </c>
      <c r="M22" s="9">
        <f t="shared" si="8"/>
        <v>0</v>
      </c>
      <c r="N22" s="9">
        <f t="shared" si="9"/>
        <v>0</v>
      </c>
      <c r="O22" s="9">
        <f t="shared" si="10"/>
        <v>0</v>
      </c>
      <c r="P22" s="9">
        <f t="shared" si="11"/>
        <v>0</v>
      </c>
      <c r="Q22" s="9">
        <f t="shared" si="12"/>
        <v>0</v>
      </c>
      <c r="R22" s="9">
        <f t="shared" si="13"/>
        <v>0</v>
      </c>
      <c r="S22" s="9">
        <f t="shared" si="14"/>
        <v>0</v>
      </c>
      <c r="T22" s="9">
        <f t="shared" si="15"/>
        <v>0</v>
      </c>
      <c r="U22" s="9">
        <f t="shared" si="16"/>
        <v>0</v>
      </c>
      <c r="V22" s="9">
        <f t="shared" si="17"/>
        <v>0</v>
      </c>
      <c r="W22" s="9">
        <f t="shared" si="18"/>
        <v>0</v>
      </c>
      <c r="X22" s="9">
        <f t="shared" si="19"/>
        <v>0</v>
      </c>
      <c r="Y22" s="9">
        <f t="shared" si="20"/>
        <v>0</v>
      </c>
      <c r="Z22" s="9">
        <f t="shared" si="21"/>
        <v>0</v>
      </c>
      <c r="AA22" s="10">
        <f t="shared" si="22"/>
        <v>0</v>
      </c>
    </row>
    <row r="23" spans="1:27" x14ac:dyDescent="0.3">
      <c r="A23" s="18" t="s">
        <v>1302</v>
      </c>
      <c r="B23" s="4">
        <f t="shared" si="0"/>
        <v>1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4">
        <f t="shared" si="4"/>
        <v>0</v>
      </c>
      <c r="G23" s="4">
        <f t="shared" si="5"/>
        <v>0</v>
      </c>
      <c r="I23" s="8" t="s">
        <v>977</v>
      </c>
      <c r="J23" s="9">
        <f t="shared" si="6"/>
        <v>1</v>
      </c>
      <c r="K23" s="9">
        <f t="shared" si="23"/>
        <v>0</v>
      </c>
      <c r="L23" s="9">
        <f t="shared" si="7"/>
        <v>0</v>
      </c>
      <c r="M23" s="9">
        <f t="shared" si="8"/>
        <v>0</v>
      </c>
      <c r="N23" s="9">
        <f t="shared" si="9"/>
        <v>0</v>
      </c>
      <c r="O23" s="9">
        <f t="shared" si="10"/>
        <v>0</v>
      </c>
      <c r="P23" s="9">
        <f t="shared" si="11"/>
        <v>0</v>
      </c>
      <c r="Q23" s="9">
        <f t="shared" si="12"/>
        <v>0</v>
      </c>
      <c r="R23" s="9">
        <f t="shared" si="13"/>
        <v>0</v>
      </c>
      <c r="S23" s="9">
        <f t="shared" si="14"/>
        <v>0</v>
      </c>
      <c r="T23" s="9">
        <f t="shared" si="15"/>
        <v>0</v>
      </c>
      <c r="U23" s="9">
        <f t="shared" si="16"/>
        <v>0</v>
      </c>
      <c r="V23" s="9">
        <f t="shared" si="17"/>
        <v>0</v>
      </c>
      <c r="W23" s="9">
        <f t="shared" si="18"/>
        <v>0</v>
      </c>
      <c r="X23" s="9">
        <f t="shared" si="19"/>
        <v>0</v>
      </c>
      <c r="Y23" s="9">
        <f t="shared" si="20"/>
        <v>0</v>
      </c>
      <c r="Z23" s="9">
        <f t="shared" si="21"/>
        <v>0</v>
      </c>
      <c r="AA23" s="10">
        <f t="shared" si="22"/>
        <v>0</v>
      </c>
    </row>
    <row r="24" spans="1:27" x14ac:dyDescent="0.3">
      <c r="A24" s="4" t="s">
        <v>1302</v>
      </c>
      <c r="B24" s="4">
        <f t="shared" si="0"/>
        <v>1</v>
      </c>
      <c r="C24" s="4">
        <f t="shared" si="1"/>
        <v>0</v>
      </c>
      <c r="D24" s="4">
        <f t="shared" si="2"/>
        <v>0</v>
      </c>
      <c r="E24" s="4">
        <f t="shared" si="3"/>
        <v>0</v>
      </c>
      <c r="F24" s="4">
        <f t="shared" si="4"/>
        <v>0</v>
      </c>
      <c r="G24" s="4">
        <f t="shared" si="5"/>
        <v>0</v>
      </c>
      <c r="I24" s="11" t="s">
        <v>988</v>
      </c>
      <c r="J24" s="9">
        <f t="shared" si="6"/>
        <v>0</v>
      </c>
      <c r="K24" s="9">
        <f t="shared" si="23"/>
        <v>0</v>
      </c>
      <c r="L24" s="9">
        <f t="shared" si="7"/>
        <v>1</v>
      </c>
      <c r="M24" s="9">
        <f t="shared" si="8"/>
        <v>0</v>
      </c>
      <c r="N24" s="9">
        <f t="shared" si="9"/>
        <v>0</v>
      </c>
      <c r="O24" s="9">
        <f t="shared" si="10"/>
        <v>0</v>
      </c>
      <c r="P24" s="9">
        <f t="shared" si="11"/>
        <v>0</v>
      </c>
      <c r="Q24" s="9">
        <f t="shared" si="12"/>
        <v>0</v>
      </c>
      <c r="R24" s="9">
        <f t="shared" si="13"/>
        <v>0</v>
      </c>
      <c r="S24" s="9">
        <f t="shared" si="14"/>
        <v>0</v>
      </c>
      <c r="T24" s="9">
        <f t="shared" si="15"/>
        <v>0</v>
      </c>
      <c r="U24" s="9">
        <f t="shared" si="16"/>
        <v>0</v>
      </c>
      <c r="V24" s="9">
        <f t="shared" si="17"/>
        <v>0</v>
      </c>
      <c r="W24" s="9">
        <f t="shared" si="18"/>
        <v>0</v>
      </c>
      <c r="X24" s="9">
        <f t="shared" si="19"/>
        <v>0</v>
      </c>
      <c r="Y24" s="9">
        <f t="shared" si="20"/>
        <v>0</v>
      </c>
      <c r="Z24" s="9">
        <f t="shared" si="21"/>
        <v>0</v>
      </c>
      <c r="AA24" s="10">
        <f t="shared" si="22"/>
        <v>0</v>
      </c>
    </row>
    <row r="25" spans="1:27" x14ac:dyDescent="0.3">
      <c r="A25" s="18" t="s">
        <v>1303</v>
      </c>
      <c r="B25" s="4">
        <f t="shared" si="0"/>
        <v>0</v>
      </c>
      <c r="C25" s="4">
        <f t="shared" si="1"/>
        <v>0</v>
      </c>
      <c r="D25" s="4">
        <f t="shared" si="2"/>
        <v>0</v>
      </c>
      <c r="E25" s="4">
        <f t="shared" si="3"/>
        <v>0</v>
      </c>
      <c r="F25" s="4">
        <f t="shared" si="4"/>
        <v>1</v>
      </c>
      <c r="G25" s="4">
        <f t="shared" si="5"/>
        <v>0</v>
      </c>
      <c r="I25" s="8" t="s">
        <v>990</v>
      </c>
      <c r="J25" s="9">
        <f t="shared" si="6"/>
        <v>0</v>
      </c>
      <c r="K25" s="9">
        <f t="shared" si="23"/>
        <v>0</v>
      </c>
      <c r="L25" s="9">
        <f t="shared" si="7"/>
        <v>0</v>
      </c>
      <c r="M25" s="9">
        <f t="shared" si="8"/>
        <v>0</v>
      </c>
      <c r="N25" s="9">
        <f t="shared" si="9"/>
        <v>1</v>
      </c>
      <c r="O25" s="9">
        <f t="shared" si="10"/>
        <v>0</v>
      </c>
      <c r="P25" s="9">
        <f t="shared" si="11"/>
        <v>0</v>
      </c>
      <c r="Q25" s="9">
        <f t="shared" si="12"/>
        <v>0</v>
      </c>
      <c r="R25" s="9">
        <f t="shared" si="13"/>
        <v>0</v>
      </c>
      <c r="S25" s="9">
        <f t="shared" si="14"/>
        <v>0</v>
      </c>
      <c r="T25" s="9">
        <f t="shared" si="15"/>
        <v>0</v>
      </c>
      <c r="U25" s="9">
        <f t="shared" si="16"/>
        <v>0</v>
      </c>
      <c r="V25" s="9">
        <f t="shared" si="17"/>
        <v>0</v>
      </c>
      <c r="W25" s="9">
        <f t="shared" si="18"/>
        <v>0</v>
      </c>
      <c r="X25" s="9">
        <f t="shared" si="19"/>
        <v>0</v>
      </c>
      <c r="Y25" s="9">
        <f t="shared" si="20"/>
        <v>0</v>
      </c>
      <c r="Z25" s="9">
        <f t="shared" si="21"/>
        <v>0</v>
      </c>
      <c r="AA25" s="10">
        <f t="shared" si="22"/>
        <v>0</v>
      </c>
    </row>
    <row r="26" spans="1:27" x14ac:dyDescent="0.3">
      <c r="A26" s="4" t="s">
        <v>1305</v>
      </c>
      <c r="B26" s="4">
        <f t="shared" si="0"/>
        <v>0</v>
      </c>
      <c r="C26" s="4">
        <f t="shared" si="1"/>
        <v>0</v>
      </c>
      <c r="D26" s="4">
        <f t="shared" si="2"/>
        <v>0</v>
      </c>
      <c r="E26" s="4">
        <f t="shared" si="3"/>
        <v>0</v>
      </c>
      <c r="F26" s="4">
        <f t="shared" si="4"/>
        <v>0</v>
      </c>
      <c r="G26" s="4">
        <f t="shared" si="5"/>
        <v>1</v>
      </c>
      <c r="I26" s="11" t="s">
        <v>977</v>
      </c>
      <c r="J26" s="9">
        <f t="shared" si="6"/>
        <v>1</v>
      </c>
      <c r="K26" s="9">
        <f t="shared" si="23"/>
        <v>0</v>
      </c>
      <c r="L26" s="9">
        <f t="shared" si="7"/>
        <v>0</v>
      </c>
      <c r="M26" s="9">
        <f t="shared" si="8"/>
        <v>0</v>
      </c>
      <c r="N26" s="9">
        <f t="shared" si="9"/>
        <v>0</v>
      </c>
      <c r="O26" s="9">
        <f t="shared" si="10"/>
        <v>0</v>
      </c>
      <c r="P26" s="9">
        <f t="shared" si="11"/>
        <v>0</v>
      </c>
      <c r="Q26" s="9">
        <f t="shared" si="12"/>
        <v>0</v>
      </c>
      <c r="R26" s="9">
        <f t="shared" si="13"/>
        <v>0</v>
      </c>
      <c r="S26" s="9">
        <f t="shared" si="14"/>
        <v>0</v>
      </c>
      <c r="T26" s="9">
        <f t="shared" si="15"/>
        <v>0</v>
      </c>
      <c r="U26" s="9">
        <f t="shared" si="16"/>
        <v>0</v>
      </c>
      <c r="V26" s="9">
        <f t="shared" si="17"/>
        <v>0</v>
      </c>
      <c r="W26" s="9">
        <f t="shared" si="18"/>
        <v>0</v>
      </c>
      <c r="X26" s="9">
        <f t="shared" si="19"/>
        <v>0</v>
      </c>
      <c r="Y26" s="9">
        <f t="shared" si="20"/>
        <v>0</v>
      </c>
      <c r="Z26" s="9">
        <f t="shared" si="21"/>
        <v>0</v>
      </c>
      <c r="AA26" s="10">
        <f t="shared" si="22"/>
        <v>0</v>
      </c>
    </row>
    <row r="27" spans="1:27" x14ac:dyDescent="0.3">
      <c r="A27" s="18" t="s">
        <v>1302</v>
      </c>
      <c r="B27" s="4">
        <f t="shared" si="0"/>
        <v>1</v>
      </c>
      <c r="C27" s="4">
        <f t="shared" si="1"/>
        <v>0</v>
      </c>
      <c r="D27" s="4">
        <f t="shared" si="2"/>
        <v>0</v>
      </c>
      <c r="E27" s="4">
        <f t="shared" si="3"/>
        <v>0</v>
      </c>
      <c r="F27" s="4">
        <f t="shared" si="4"/>
        <v>0</v>
      </c>
      <c r="G27" s="4">
        <f t="shared" si="5"/>
        <v>0</v>
      </c>
      <c r="I27" s="8" t="s">
        <v>990</v>
      </c>
      <c r="J27" s="9">
        <f t="shared" si="6"/>
        <v>0</v>
      </c>
      <c r="K27" s="9">
        <f t="shared" si="23"/>
        <v>0</v>
      </c>
      <c r="L27" s="9">
        <f t="shared" si="7"/>
        <v>0</v>
      </c>
      <c r="M27" s="9">
        <f t="shared" si="8"/>
        <v>0</v>
      </c>
      <c r="N27" s="9">
        <f t="shared" si="9"/>
        <v>1</v>
      </c>
      <c r="O27" s="9">
        <f t="shared" si="10"/>
        <v>0</v>
      </c>
      <c r="P27" s="9">
        <f t="shared" si="11"/>
        <v>0</v>
      </c>
      <c r="Q27" s="9">
        <f t="shared" si="12"/>
        <v>0</v>
      </c>
      <c r="R27" s="9">
        <f t="shared" si="13"/>
        <v>0</v>
      </c>
      <c r="S27" s="9">
        <f t="shared" si="14"/>
        <v>0</v>
      </c>
      <c r="T27" s="9">
        <f t="shared" si="15"/>
        <v>0</v>
      </c>
      <c r="U27" s="9">
        <f t="shared" si="16"/>
        <v>0</v>
      </c>
      <c r="V27" s="9">
        <f t="shared" si="17"/>
        <v>0</v>
      </c>
      <c r="W27" s="9">
        <f t="shared" si="18"/>
        <v>0</v>
      </c>
      <c r="X27" s="9">
        <f t="shared" si="19"/>
        <v>0</v>
      </c>
      <c r="Y27" s="9">
        <f t="shared" si="20"/>
        <v>0</v>
      </c>
      <c r="Z27" s="9">
        <f t="shared" si="21"/>
        <v>0</v>
      </c>
      <c r="AA27" s="10">
        <f t="shared" si="22"/>
        <v>0</v>
      </c>
    </row>
    <row r="28" spans="1:27" x14ac:dyDescent="0.3">
      <c r="A28" s="4" t="s">
        <v>1302</v>
      </c>
      <c r="B28" s="4">
        <f t="shared" si="0"/>
        <v>1</v>
      </c>
      <c r="C28" s="4">
        <f t="shared" si="1"/>
        <v>0</v>
      </c>
      <c r="D28" s="4">
        <f t="shared" si="2"/>
        <v>0</v>
      </c>
      <c r="E28" s="4">
        <f t="shared" si="3"/>
        <v>0</v>
      </c>
      <c r="F28" s="4">
        <f t="shared" si="4"/>
        <v>0</v>
      </c>
      <c r="G28" s="4">
        <f t="shared" si="5"/>
        <v>0</v>
      </c>
      <c r="I28" s="11" t="s">
        <v>977</v>
      </c>
      <c r="J28" s="9">
        <f t="shared" si="6"/>
        <v>1</v>
      </c>
      <c r="K28" s="9">
        <f t="shared" si="23"/>
        <v>0</v>
      </c>
      <c r="L28" s="9">
        <f t="shared" si="7"/>
        <v>0</v>
      </c>
      <c r="M28" s="9">
        <f t="shared" si="8"/>
        <v>0</v>
      </c>
      <c r="N28" s="9">
        <f t="shared" si="9"/>
        <v>0</v>
      </c>
      <c r="O28" s="9">
        <f t="shared" si="10"/>
        <v>0</v>
      </c>
      <c r="P28" s="9">
        <f t="shared" si="11"/>
        <v>0</v>
      </c>
      <c r="Q28" s="9">
        <f t="shared" si="12"/>
        <v>0</v>
      </c>
      <c r="R28" s="9">
        <f t="shared" si="13"/>
        <v>0</v>
      </c>
      <c r="S28" s="9">
        <f t="shared" si="14"/>
        <v>0</v>
      </c>
      <c r="T28" s="9">
        <f t="shared" si="15"/>
        <v>0</v>
      </c>
      <c r="U28" s="9">
        <f t="shared" si="16"/>
        <v>0</v>
      </c>
      <c r="V28" s="9">
        <f t="shared" si="17"/>
        <v>0</v>
      </c>
      <c r="W28" s="9">
        <f t="shared" si="18"/>
        <v>0</v>
      </c>
      <c r="X28" s="9">
        <f t="shared" si="19"/>
        <v>0</v>
      </c>
      <c r="Y28" s="9">
        <f t="shared" si="20"/>
        <v>0</v>
      </c>
      <c r="Z28" s="9">
        <f t="shared" si="21"/>
        <v>0</v>
      </c>
      <c r="AA28" s="10">
        <f t="shared" si="22"/>
        <v>0</v>
      </c>
    </row>
    <row r="29" spans="1:27" x14ac:dyDescent="0.3">
      <c r="A29" s="18" t="s">
        <v>1302</v>
      </c>
      <c r="B29" s="4">
        <f t="shared" si="0"/>
        <v>1</v>
      </c>
      <c r="C29" s="4">
        <f t="shared" si="1"/>
        <v>0</v>
      </c>
      <c r="D29" s="4">
        <f t="shared" si="2"/>
        <v>0</v>
      </c>
      <c r="E29" s="4">
        <f t="shared" si="3"/>
        <v>0</v>
      </c>
      <c r="F29" s="4">
        <f t="shared" si="4"/>
        <v>0</v>
      </c>
      <c r="G29" s="4">
        <f t="shared" si="5"/>
        <v>0</v>
      </c>
      <c r="I29" s="8" t="s">
        <v>992</v>
      </c>
      <c r="J29" s="9">
        <f t="shared" si="6"/>
        <v>0</v>
      </c>
      <c r="K29" s="9">
        <f t="shared" si="23"/>
        <v>0</v>
      </c>
      <c r="L29" s="9">
        <f t="shared" si="7"/>
        <v>0</v>
      </c>
      <c r="M29" s="9">
        <f t="shared" si="8"/>
        <v>0</v>
      </c>
      <c r="N29" s="9">
        <f t="shared" si="9"/>
        <v>0</v>
      </c>
      <c r="O29" s="9">
        <f t="shared" si="10"/>
        <v>1</v>
      </c>
      <c r="P29" s="9">
        <f t="shared" si="11"/>
        <v>0</v>
      </c>
      <c r="Q29" s="9">
        <f t="shared" si="12"/>
        <v>0</v>
      </c>
      <c r="R29" s="9">
        <f t="shared" si="13"/>
        <v>0</v>
      </c>
      <c r="S29" s="9">
        <f t="shared" si="14"/>
        <v>0</v>
      </c>
      <c r="T29" s="9">
        <f t="shared" si="15"/>
        <v>0</v>
      </c>
      <c r="U29" s="9">
        <f t="shared" si="16"/>
        <v>0</v>
      </c>
      <c r="V29" s="9">
        <f t="shared" si="17"/>
        <v>0</v>
      </c>
      <c r="W29" s="9">
        <f t="shared" si="18"/>
        <v>0</v>
      </c>
      <c r="X29" s="9">
        <f t="shared" si="19"/>
        <v>0</v>
      </c>
      <c r="Y29" s="9">
        <f t="shared" si="20"/>
        <v>0</v>
      </c>
      <c r="Z29" s="9">
        <f t="shared" si="21"/>
        <v>0</v>
      </c>
      <c r="AA29" s="10">
        <f t="shared" si="22"/>
        <v>0</v>
      </c>
    </row>
    <row r="30" spans="1:27" x14ac:dyDescent="0.3">
      <c r="A30" s="4" t="s">
        <v>1302</v>
      </c>
      <c r="B30" s="4">
        <f t="shared" si="0"/>
        <v>1</v>
      </c>
      <c r="C30" s="4">
        <f t="shared" si="1"/>
        <v>0</v>
      </c>
      <c r="D30" s="4">
        <f t="shared" si="2"/>
        <v>0</v>
      </c>
      <c r="E30" s="4">
        <f t="shared" si="3"/>
        <v>0</v>
      </c>
      <c r="F30" s="4">
        <f t="shared" si="4"/>
        <v>0</v>
      </c>
      <c r="G30" s="4">
        <f t="shared" si="5"/>
        <v>0</v>
      </c>
      <c r="I30" s="11" t="s">
        <v>977</v>
      </c>
      <c r="J30" s="9">
        <f t="shared" si="6"/>
        <v>1</v>
      </c>
      <c r="K30" s="9">
        <f t="shared" si="23"/>
        <v>0</v>
      </c>
      <c r="L30" s="9">
        <f t="shared" si="7"/>
        <v>0</v>
      </c>
      <c r="M30" s="9">
        <f t="shared" si="8"/>
        <v>0</v>
      </c>
      <c r="N30" s="9">
        <f t="shared" si="9"/>
        <v>0</v>
      </c>
      <c r="O30" s="9">
        <f t="shared" si="10"/>
        <v>0</v>
      </c>
      <c r="P30" s="9">
        <f t="shared" si="11"/>
        <v>0</v>
      </c>
      <c r="Q30" s="9">
        <f t="shared" si="12"/>
        <v>0</v>
      </c>
      <c r="R30" s="9">
        <f t="shared" si="13"/>
        <v>0</v>
      </c>
      <c r="S30" s="9">
        <f t="shared" si="14"/>
        <v>0</v>
      </c>
      <c r="T30" s="9">
        <f t="shared" si="15"/>
        <v>0</v>
      </c>
      <c r="U30" s="9">
        <f t="shared" si="16"/>
        <v>0</v>
      </c>
      <c r="V30" s="9">
        <f t="shared" si="17"/>
        <v>0</v>
      </c>
      <c r="W30" s="9">
        <f t="shared" si="18"/>
        <v>0</v>
      </c>
      <c r="X30" s="9">
        <f t="shared" si="19"/>
        <v>0</v>
      </c>
      <c r="Y30" s="9">
        <f t="shared" si="20"/>
        <v>0</v>
      </c>
      <c r="Z30" s="9">
        <f t="shared" si="21"/>
        <v>0</v>
      </c>
      <c r="AA30" s="10">
        <f t="shared" si="22"/>
        <v>0</v>
      </c>
    </row>
    <row r="31" spans="1:27" x14ac:dyDescent="0.3">
      <c r="A31" s="18" t="s">
        <v>1303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4">
        <f t="shared" si="4"/>
        <v>1</v>
      </c>
      <c r="G31" s="4">
        <f t="shared" si="5"/>
        <v>0</v>
      </c>
      <c r="I31" s="8" t="s">
        <v>1004</v>
      </c>
      <c r="J31" s="9">
        <f t="shared" si="6"/>
        <v>0</v>
      </c>
      <c r="K31" s="9">
        <f t="shared" si="23"/>
        <v>0</v>
      </c>
      <c r="L31" s="9">
        <f t="shared" si="7"/>
        <v>0</v>
      </c>
      <c r="M31" s="9">
        <f t="shared" si="8"/>
        <v>0</v>
      </c>
      <c r="N31" s="9">
        <f t="shared" si="9"/>
        <v>0</v>
      </c>
      <c r="O31" s="9">
        <f t="shared" si="10"/>
        <v>0</v>
      </c>
      <c r="P31" s="9">
        <f t="shared" si="11"/>
        <v>0</v>
      </c>
      <c r="Q31" s="9">
        <f t="shared" si="12"/>
        <v>0</v>
      </c>
      <c r="R31" s="9">
        <f t="shared" si="13"/>
        <v>1</v>
      </c>
      <c r="S31" s="9">
        <f t="shared" si="14"/>
        <v>0</v>
      </c>
      <c r="T31" s="9">
        <f t="shared" si="15"/>
        <v>0</v>
      </c>
      <c r="U31" s="9">
        <f t="shared" si="16"/>
        <v>0</v>
      </c>
      <c r="V31" s="9">
        <f t="shared" si="17"/>
        <v>0</v>
      </c>
      <c r="W31" s="9">
        <f t="shared" si="18"/>
        <v>0</v>
      </c>
      <c r="X31" s="9">
        <f t="shared" si="19"/>
        <v>0</v>
      </c>
      <c r="Y31" s="9">
        <f t="shared" si="20"/>
        <v>0</v>
      </c>
      <c r="Z31" s="9">
        <f t="shared" si="21"/>
        <v>0</v>
      </c>
      <c r="AA31" s="10">
        <f t="shared" si="22"/>
        <v>0</v>
      </c>
    </row>
    <row r="32" spans="1:27" x14ac:dyDescent="0.3">
      <c r="A32" s="4" t="s">
        <v>1303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4">
        <f t="shared" si="4"/>
        <v>1</v>
      </c>
      <c r="G32" s="4">
        <f t="shared" si="5"/>
        <v>0</v>
      </c>
      <c r="I32" s="11" t="s">
        <v>982</v>
      </c>
      <c r="J32" s="9">
        <f t="shared" si="6"/>
        <v>0</v>
      </c>
      <c r="K32" s="9">
        <f t="shared" si="23"/>
        <v>1</v>
      </c>
      <c r="L32" s="9">
        <f t="shared" si="7"/>
        <v>0</v>
      </c>
      <c r="M32" s="9">
        <f t="shared" si="8"/>
        <v>0</v>
      </c>
      <c r="N32" s="9">
        <f t="shared" si="9"/>
        <v>0</v>
      </c>
      <c r="O32" s="9">
        <f t="shared" si="10"/>
        <v>0</v>
      </c>
      <c r="P32" s="9">
        <f t="shared" si="11"/>
        <v>0</v>
      </c>
      <c r="Q32" s="9">
        <f t="shared" si="12"/>
        <v>0</v>
      </c>
      <c r="R32" s="9">
        <f t="shared" si="13"/>
        <v>0</v>
      </c>
      <c r="S32" s="9">
        <f t="shared" si="14"/>
        <v>0</v>
      </c>
      <c r="T32" s="9">
        <f t="shared" si="15"/>
        <v>0</v>
      </c>
      <c r="U32" s="9">
        <f t="shared" si="16"/>
        <v>0</v>
      </c>
      <c r="V32" s="9">
        <f t="shared" si="17"/>
        <v>0</v>
      </c>
      <c r="W32" s="9">
        <f t="shared" si="18"/>
        <v>0</v>
      </c>
      <c r="X32" s="9">
        <f t="shared" si="19"/>
        <v>0</v>
      </c>
      <c r="Y32" s="9">
        <f t="shared" si="20"/>
        <v>0</v>
      </c>
      <c r="Z32" s="9">
        <f t="shared" si="21"/>
        <v>0</v>
      </c>
      <c r="AA32" s="10">
        <f t="shared" si="22"/>
        <v>0</v>
      </c>
    </row>
    <row r="33" spans="1:27" x14ac:dyDescent="0.3">
      <c r="A33" s="18" t="s">
        <v>1302</v>
      </c>
      <c r="B33" s="4">
        <f t="shared" si="0"/>
        <v>1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4">
        <f t="shared" si="4"/>
        <v>0</v>
      </c>
      <c r="G33" s="4">
        <f t="shared" si="5"/>
        <v>0</v>
      </c>
      <c r="I33" s="8" t="s">
        <v>977</v>
      </c>
      <c r="J33" s="9">
        <f t="shared" si="6"/>
        <v>1</v>
      </c>
      <c r="K33" s="9">
        <f t="shared" si="23"/>
        <v>0</v>
      </c>
      <c r="L33" s="9">
        <f t="shared" si="7"/>
        <v>0</v>
      </c>
      <c r="M33" s="9">
        <f t="shared" si="8"/>
        <v>0</v>
      </c>
      <c r="N33" s="9">
        <f t="shared" si="9"/>
        <v>0</v>
      </c>
      <c r="O33" s="9">
        <f t="shared" si="10"/>
        <v>0</v>
      </c>
      <c r="P33" s="9">
        <f t="shared" si="11"/>
        <v>0</v>
      </c>
      <c r="Q33" s="9">
        <f t="shared" si="12"/>
        <v>0</v>
      </c>
      <c r="R33" s="9">
        <f t="shared" si="13"/>
        <v>0</v>
      </c>
      <c r="S33" s="9">
        <f t="shared" si="14"/>
        <v>0</v>
      </c>
      <c r="T33" s="9">
        <f t="shared" si="15"/>
        <v>0</v>
      </c>
      <c r="U33" s="9">
        <f t="shared" si="16"/>
        <v>0</v>
      </c>
      <c r="V33" s="9">
        <f t="shared" si="17"/>
        <v>0</v>
      </c>
      <c r="W33" s="9">
        <f t="shared" si="18"/>
        <v>0</v>
      </c>
      <c r="X33" s="9">
        <f t="shared" si="19"/>
        <v>0</v>
      </c>
      <c r="Y33" s="9">
        <f t="shared" si="20"/>
        <v>0</v>
      </c>
      <c r="Z33" s="9">
        <f t="shared" si="21"/>
        <v>0</v>
      </c>
      <c r="AA33" s="10">
        <f t="shared" si="22"/>
        <v>0</v>
      </c>
    </row>
    <row r="34" spans="1:27" x14ac:dyDescent="0.3">
      <c r="A34" s="4" t="s">
        <v>1305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4">
        <f t="shared" si="4"/>
        <v>0</v>
      </c>
      <c r="G34" s="4">
        <f t="shared" si="5"/>
        <v>1</v>
      </c>
      <c r="I34" s="11" t="s">
        <v>977</v>
      </c>
      <c r="J34" s="9">
        <f t="shared" si="6"/>
        <v>1</v>
      </c>
      <c r="K34" s="9">
        <f t="shared" si="23"/>
        <v>0</v>
      </c>
      <c r="L34" s="9">
        <f t="shared" si="7"/>
        <v>0</v>
      </c>
      <c r="M34" s="9">
        <f t="shared" si="8"/>
        <v>0</v>
      </c>
      <c r="N34" s="9">
        <f t="shared" si="9"/>
        <v>0</v>
      </c>
      <c r="O34" s="9">
        <f t="shared" si="10"/>
        <v>0</v>
      </c>
      <c r="P34" s="9">
        <f t="shared" si="11"/>
        <v>0</v>
      </c>
      <c r="Q34" s="9">
        <f t="shared" si="12"/>
        <v>0</v>
      </c>
      <c r="R34" s="9">
        <f t="shared" si="13"/>
        <v>0</v>
      </c>
      <c r="S34" s="9">
        <f t="shared" si="14"/>
        <v>0</v>
      </c>
      <c r="T34" s="9">
        <f t="shared" si="15"/>
        <v>0</v>
      </c>
      <c r="U34" s="9">
        <f t="shared" si="16"/>
        <v>0</v>
      </c>
      <c r="V34" s="9">
        <f t="shared" si="17"/>
        <v>0</v>
      </c>
      <c r="W34" s="9">
        <f t="shared" si="18"/>
        <v>0</v>
      </c>
      <c r="X34" s="9">
        <f t="shared" si="19"/>
        <v>0</v>
      </c>
      <c r="Y34" s="9">
        <f t="shared" si="20"/>
        <v>0</v>
      </c>
      <c r="Z34" s="9">
        <f t="shared" si="21"/>
        <v>0</v>
      </c>
      <c r="AA34" s="10">
        <f t="shared" si="22"/>
        <v>0</v>
      </c>
    </row>
    <row r="35" spans="1:27" x14ac:dyDescent="0.3">
      <c r="A35" s="18" t="s">
        <v>1302</v>
      </c>
      <c r="B35" s="4">
        <f t="shared" si="0"/>
        <v>1</v>
      </c>
      <c r="C35" s="4">
        <f t="shared" si="1"/>
        <v>0</v>
      </c>
      <c r="D35" s="4">
        <f t="shared" si="2"/>
        <v>0</v>
      </c>
      <c r="E35" s="4">
        <f t="shared" si="3"/>
        <v>0</v>
      </c>
      <c r="F35" s="4">
        <f t="shared" si="4"/>
        <v>0</v>
      </c>
      <c r="G35" s="4">
        <f t="shared" si="5"/>
        <v>0</v>
      </c>
      <c r="I35" s="8" t="s">
        <v>977</v>
      </c>
      <c r="J35" s="9">
        <f t="shared" si="6"/>
        <v>1</v>
      </c>
      <c r="K35" s="9">
        <f t="shared" si="23"/>
        <v>0</v>
      </c>
      <c r="L35" s="9">
        <f t="shared" si="7"/>
        <v>0</v>
      </c>
      <c r="M35" s="9">
        <f t="shared" si="8"/>
        <v>0</v>
      </c>
      <c r="N35" s="9">
        <f t="shared" si="9"/>
        <v>0</v>
      </c>
      <c r="O35" s="9">
        <f t="shared" si="10"/>
        <v>0</v>
      </c>
      <c r="P35" s="9">
        <f t="shared" si="11"/>
        <v>0</v>
      </c>
      <c r="Q35" s="9">
        <f t="shared" si="12"/>
        <v>0</v>
      </c>
      <c r="R35" s="9">
        <f t="shared" si="13"/>
        <v>0</v>
      </c>
      <c r="S35" s="9">
        <f t="shared" si="14"/>
        <v>0</v>
      </c>
      <c r="T35" s="9">
        <f t="shared" si="15"/>
        <v>0</v>
      </c>
      <c r="U35" s="9">
        <f t="shared" si="16"/>
        <v>0</v>
      </c>
      <c r="V35" s="9">
        <f t="shared" si="17"/>
        <v>0</v>
      </c>
      <c r="W35" s="9">
        <f t="shared" si="18"/>
        <v>0</v>
      </c>
      <c r="X35" s="9">
        <f t="shared" si="19"/>
        <v>0</v>
      </c>
      <c r="Y35" s="9">
        <f t="shared" si="20"/>
        <v>0</v>
      </c>
      <c r="Z35" s="9">
        <f t="shared" si="21"/>
        <v>0</v>
      </c>
      <c r="AA35" s="10">
        <f t="shared" si="22"/>
        <v>0</v>
      </c>
    </row>
    <row r="36" spans="1:27" x14ac:dyDescent="0.3">
      <c r="A36" s="4" t="s">
        <v>1302</v>
      </c>
      <c r="B36" s="4">
        <f t="shared" si="0"/>
        <v>1</v>
      </c>
      <c r="C36" s="4">
        <f t="shared" si="1"/>
        <v>0</v>
      </c>
      <c r="D36" s="4">
        <f t="shared" si="2"/>
        <v>0</v>
      </c>
      <c r="E36" s="4">
        <f t="shared" si="3"/>
        <v>0</v>
      </c>
      <c r="F36" s="4">
        <f t="shared" si="4"/>
        <v>0</v>
      </c>
      <c r="G36" s="4">
        <f t="shared" si="5"/>
        <v>0</v>
      </c>
      <c r="I36" s="11" t="s">
        <v>1026</v>
      </c>
      <c r="J36" s="9">
        <f t="shared" si="6"/>
        <v>0</v>
      </c>
      <c r="K36" s="9">
        <f t="shared" si="23"/>
        <v>0</v>
      </c>
      <c r="L36" s="9">
        <f t="shared" si="7"/>
        <v>0</v>
      </c>
      <c r="M36" s="9">
        <f t="shared" si="8"/>
        <v>0</v>
      </c>
      <c r="N36" s="9">
        <f t="shared" si="9"/>
        <v>0</v>
      </c>
      <c r="O36" s="9">
        <f t="shared" si="10"/>
        <v>0</v>
      </c>
      <c r="P36" s="9">
        <f t="shared" si="11"/>
        <v>0</v>
      </c>
      <c r="Q36" s="9">
        <f t="shared" si="12"/>
        <v>0</v>
      </c>
      <c r="R36" s="9">
        <f t="shared" si="13"/>
        <v>0</v>
      </c>
      <c r="S36" s="9">
        <f t="shared" si="14"/>
        <v>0</v>
      </c>
      <c r="T36" s="9">
        <f t="shared" si="15"/>
        <v>1</v>
      </c>
      <c r="U36" s="9">
        <f t="shared" si="16"/>
        <v>0</v>
      </c>
      <c r="V36" s="9">
        <f t="shared" si="17"/>
        <v>0</v>
      </c>
      <c r="W36" s="9">
        <f t="shared" si="18"/>
        <v>0</v>
      </c>
      <c r="X36" s="9">
        <f t="shared" si="19"/>
        <v>0</v>
      </c>
      <c r="Y36" s="9">
        <f t="shared" si="20"/>
        <v>0</v>
      </c>
      <c r="Z36" s="9">
        <f t="shared" si="21"/>
        <v>0</v>
      </c>
      <c r="AA36" s="10">
        <f t="shared" si="22"/>
        <v>0</v>
      </c>
    </row>
    <row r="37" spans="1:27" x14ac:dyDescent="0.3">
      <c r="A37" s="18" t="s">
        <v>1302</v>
      </c>
      <c r="B37" s="4">
        <f t="shared" si="0"/>
        <v>1</v>
      </c>
      <c r="C37" s="4">
        <f t="shared" si="1"/>
        <v>0</v>
      </c>
      <c r="D37" s="4">
        <f t="shared" si="2"/>
        <v>0</v>
      </c>
      <c r="E37" s="4">
        <f t="shared" si="3"/>
        <v>0</v>
      </c>
      <c r="F37" s="4">
        <f t="shared" si="4"/>
        <v>0</v>
      </c>
      <c r="G37" s="4">
        <f t="shared" si="5"/>
        <v>0</v>
      </c>
      <c r="I37" s="8" t="s">
        <v>977</v>
      </c>
      <c r="J37" s="9">
        <f t="shared" si="6"/>
        <v>1</v>
      </c>
      <c r="K37" s="9">
        <f t="shared" si="23"/>
        <v>0</v>
      </c>
      <c r="L37" s="9">
        <f t="shared" si="7"/>
        <v>0</v>
      </c>
      <c r="M37" s="9">
        <f t="shared" si="8"/>
        <v>0</v>
      </c>
      <c r="N37" s="9">
        <f t="shared" si="9"/>
        <v>0</v>
      </c>
      <c r="O37" s="9">
        <f t="shared" si="10"/>
        <v>0</v>
      </c>
      <c r="P37" s="9">
        <f t="shared" si="11"/>
        <v>0</v>
      </c>
      <c r="Q37" s="9">
        <f t="shared" si="12"/>
        <v>0</v>
      </c>
      <c r="R37" s="9">
        <f t="shared" si="13"/>
        <v>0</v>
      </c>
      <c r="S37" s="9">
        <f t="shared" si="14"/>
        <v>0</v>
      </c>
      <c r="T37" s="9">
        <f t="shared" si="15"/>
        <v>0</v>
      </c>
      <c r="U37" s="9">
        <f t="shared" si="16"/>
        <v>0</v>
      </c>
      <c r="V37" s="9">
        <f t="shared" si="17"/>
        <v>0</v>
      </c>
      <c r="W37" s="9">
        <f t="shared" si="18"/>
        <v>0</v>
      </c>
      <c r="X37" s="9">
        <f t="shared" si="19"/>
        <v>0</v>
      </c>
      <c r="Y37" s="9">
        <f t="shared" si="20"/>
        <v>0</v>
      </c>
      <c r="Z37" s="9">
        <f t="shared" si="21"/>
        <v>0</v>
      </c>
      <c r="AA37" s="10">
        <f t="shared" si="22"/>
        <v>0</v>
      </c>
    </row>
    <row r="38" spans="1:27" x14ac:dyDescent="0.3">
      <c r="A38" s="4" t="s">
        <v>1303</v>
      </c>
      <c r="B38" s="4">
        <f t="shared" si="0"/>
        <v>0</v>
      </c>
      <c r="C38" s="4">
        <f t="shared" si="1"/>
        <v>0</v>
      </c>
      <c r="D38" s="4">
        <f t="shared" si="2"/>
        <v>0</v>
      </c>
      <c r="E38" s="4">
        <f t="shared" si="3"/>
        <v>0</v>
      </c>
      <c r="F38" s="4">
        <f t="shared" si="4"/>
        <v>1</v>
      </c>
      <c r="G38" s="4">
        <f t="shared" si="5"/>
        <v>0</v>
      </c>
      <c r="I38" s="11" t="s">
        <v>977</v>
      </c>
      <c r="J38" s="9">
        <f t="shared" si="6"/>
        <v>1</v>
      </c>
      <c r="K38" s="9">
        <f t="shared" si="23"/>
        <v>0</v>
      </c>
      <c r="L38" s="9">
        <f t="shared" si="7"/>
        <v>0</v>
      </c>
      <c r="M38" s="9">
        <f t="shared" si="8"/>
        <v>0</v>
      </c>
      <c r="N38" s="9">
        <f t="shared" si="9"/>
        <v>0</v>
      </c>
      <c r="O38" s="9">
        <f t="shared" si="10"/>
        <v>0</v>
      </c>
      <c r="P38" s="9">
        <f t="shared" si="11"/>
        <v>0</v>
      </c>
      <c r="Q38" s="9">
        <f t="shared" si="12"/>
        <v>0</v>
      </c>
      <c r="R38" s="9">
        <f t="shared" si="13"/>
        <v>0</v>
      </c>
      <c r="S38" s="9">
        <f t="shared" si="14"/>
        <v>0</v>
      </c>
      <c r="T38" s="9">
        <f t="shared" si="15"/>
        <v>0</v>
      </c>
      <c r="U38" s="9">
        <f t="shared" si="16"/>
        <v>0</v>
      </c>
      <c r="V38" s="9">
        <f t="shared" si="17"/>
        <v>0</v>
      </c>
      <c r="W38" s="9">
        <f t="shared" si="18"/>
        <v>0</v>
      </c>
      <c r="X38" s="9">
        <f t="shared" si="19"/>
        <v>0</v>
      </c>
      <c r="Y38" s="9">
        <f t="shared" si="20"/>
        <v>0</v>
      </c>
      <c r="Z38" s="9">
        <f t="shared" si="21"/>
        <v>0</v>
      </c>
      <c r="AA38" s="10">
        <f t="shared" si="22"/>
        <v>0</v>
      </c>
    </row>
    <row r="39" spans="1:27" x14ac:dyDescent="0.3">
      <c r="A39" s="18" t="s">
        <v>1303</v>
      </c>
      <c r="B39" s="4">
        <f t="shared" si="0"/>
        <v>0</v>
      </c>
      <c r="C39" s="4">
        <f t="shared" si="1"/>
        <v>0</v>
      </c>
      <c r="D39" s="4">
        <f t="shared" si="2"/>
        <v>0</v>
      </c>
      <c r="E39" s="4">
        <f t="shared" si="3"/>
        <v>0</v>
      </c>
      <c r="F39" s="4">
        <f t="shared" si="4"/>
        <v>1</v>
      </c>
      <c r="G39" s="4">
        <f t="shared" si="5"/>
        <v>0</v>
      </c>
      <c r="I39" s="8" t="s">
        <v>988</v>
      </c>
      <c r="J39" s="9">
        <f t="shared" si="6"/>
        <v>0</v>
      </c>
      <c r="K39" s="9">
        <f t="shared" si="23"/>
        <v>0</v>
      </c>
      <c r="L39" s="9">
        <f t="shared" si="7"/>
        <v>1</v>
      </c>
      <c r="M39" s="9">
        <f t="shared" si="8"/>
        <v>0</v>
      </c>
      <c r="N39" s="9">
        <f t="shared" si="9"/>
        <v>0</v>
      </c>
      <c r="O39" s="9">
        <f t="shared" si="10"/>
        <v>0</v>
      </c>
      <c r="P39" s="9">
        <f t="shared" si="11"/>
        <v>0</v>
      </c>
      <c r="Q39" s="9">
        <f t="shared" si="12"/>
        <v>0</v>
      </c>
      <c r="R39" s="9">
        <f t="shared" si="13"/>
        <v>0</v>
      </c>
      <c r="S39" s="9">
        <f t="shared" si="14"/>
        <v>0</v>
      </c>
      <c r="T39" s="9">
        <f t="shared" si="15"/>
        <v>0</v>
      </c>
      <c r="U39" s="9">
        <f t="shared" si="16"/>
        <v>0</v>
      </c>
      <c r="V39" s="9">
        <f t="shared" si="17"/>
        <v>0</v>
      </c>
      <c r="W39" s="9">
        <f t="shared" si="18"/>
        <v>0</v>
      </c>
      <c r="X39" s="9">
        <f t="shared" si="19"/>
        <v>0</v>
      </c>
      <c r="Y39" s="9">
        <f t="shared" si="20"/>
        <v>0</v>
      </c>
      <c r="Z39" s="9">
        <f t="shared" si="21"/>
        <v>0</v>
      </c>
      <c r="AA39" s="10">
        <f t="shared" si="22"/>
        <v>0</v>
      </c>
    </row>
    <row r="40" spans="1:27" x14ac:dyDescent="0.3">
      <c r="A40" s="4" t="s">
        <v>1302</v>
      </c>
      <c r="B40" s="4">
        <f t="shared" si="0"/>
        <v>1</v>
      </c>
      <c r="C40" s="4">
        <f t="shared" si="1"/>
        <v>0</v>
      </c>
      <c r="D40" s="4">
        <f t="shared" si="2"/>
        <v>0</v>
      </c>
      <c r="E40" s="4">
        <f t="shared" si="3"/>
        <v>0</v>
      </c>
      <c r="F40" s="4">
        <f t="shared" si="4"/>
        <v>0</v>
      </c>
      <c r="G40" s="4">
        <f t="shared" si="5"/>
        <v>0</v>
      </c>
      <c r="I40" s="11" t="s">
        <v>982</v>
      </c>
      <c r="J40" s="9">
        <f t="shared" si="6"/>
        <v>0</v>
      </c>
      <c r="K40" s="9">
        <f t="shared" si="23"/>
        <v>1</v>
      </c>
      <c r="L40" s="9">
        <f t="shared" si="7"/>
        <v>0</v>
      </c>
      <c r="M40" s="9">
        <f t="shared" si="8"/>
        <v>0</v>
      </c>
      <c r="N40" s="9">
        <f t="shared" si="9"/>
        <v>0</v>
      </c>
      <c r="O40" s="9">
        <f t="shared" si="10"/>
        <v>0</v>
      </c>
      <c r="P40" s="9">
        <f t="shared" si="11"/>
        <v>0</v>
      </c>
      <c r="Q40" s="9">
        <f t="shared" si="12"/>
        <v>0</v>
      </c>
      <c r="R40" s="9">
        <f t="shared" si="13"/>
        <v>0</v>
      </c>
      <c r="S40" s="9">
        <f t="shared" si="14"/>
        <v>0</v>
      </c>
      <c r="T40" s="9">
        <f t="shared" si="15"/>
        <v>0</v>
      </c>
      <c r="U40" s="9">
        <f t="shared" si="16"/>
        <v>0</v>
      </c>
      <c r="V40" s="9">
        <f t="shared" si="17"/>
        <v>0</v>
      </c>
      <c r="W40" s="9">
        <f t="shared" si="18"/>
        <v>0</v>
      </c>
      <c r="X40" s="9">
        <f t="shared" si="19"/>
        <v>0</v>
      </c>
      <c r="Y40" s="9">
        <f t="shared" si="20"/>
        <v>0</v>
      </c>
      <c r="Z40" s="9">
        <f t="shared" si="21"/>
        <v>0</v>
      </c>
      <c r="AA40" s="10">
        <f t="shared" si="22"/>
        <v>0</v>
      </c>
    </row>
    <row r="41" spans="1:27" x14ac:dyDescent="0.3">
      <c r="A41" s="18" t="s">
        <v>1294</v>
      </c>
      <c r="B41" s="4">
        <f t="shared" si="0"/>
        <v>0</v>
      </c>
      <c r="C41" s="4">
        <f t="shared" si="1"/>
        <v>0</v>
      </c>
      <c r="D41" s="4">
        <f t="shared" si="2"/>
        <v>0</v>
      </c>
      <c r="E41" s="4">
        <f t="shared" si="3"/>
        <v>0</v>
      </c>
      <c r="F41" s="4">
        <f t="shared" si="4"/>
        <v>0</v>
      </c>
      <c r="G41" s="4">
        <f t="shared" si="5"/>
        <v>0</v>
      </c>
      <c r="I41" s="8" t="s">
        <v>977</v>
      </c>
      <c r="J41" s="9">
        <f t="shared" si="6"/>
        <v>1</v>
      </c>
      <c r="K41" s="9">
        <f t="shared" si="23"/>
        <v>0</v>
      </c>
      <c r="L41" s="9">
        <f t="shared" si="7"/>
        <v>0</v>
      </c>
      <c r="M41" s="9">
        <f t="shared" si="8"/>
        <v>0</v>
      </c>
      <c r="N41" s="9">
        <f t="shared" si="9"/>
        <v>0</v>
      </c>
      <c r="O41" s="9">
        <f t="shared" si="10"/>
        <v>0</v>
      </c>
      <c r="P41" s="9">
        <f t="shared" si="11"/>
        <v>0</v>
      </c>
      <c r="Q41" s="9">
        <f t="shared" si="12"/>
        <v>0</v>
      </c>
      <c r="R41" s="9">
        <f t="shared" si="13"/>
        <v>0</v>
      </c>
      <c r="S41" s="9">
        <f t="shared" si="14"/>
        <v>0</v>
      </c>
      <c r="T41" s="9">
        <f t="shared" si="15"/>
        <v>0</v>
      </c>
      <c r="U41" s="9">
        <f t="shared" si="16"/>
        <v>0</v>
      </c>
      <c r="V41" s="9">
        <f t="shared" si="17"/>
        <v>0</v>
      </c>
      <c r="W41" s="9">
        <f t="shared" si="18"/>
        <v>0</v>
      </c>
      <c r="X41" s="9">
        <f t="shared" si="19"/>
        <v>0</v>
      </c>
      <c r="Y41" s="9">
        <f t="shared" si="20"/>
        <v>0</v>
      </c>
      <c r="Z41" s="9">
        <f t="shared" si="21"/>
        <v>0</v>
      </c>
      <c r="AA41" s="10">
        <f t="shared" si="22"/>
        <v>0</v>
      </c>
    </row>
    <row r="42" spans="1:27" x14ac:dyDescent="0.3">
      <c r="A42" s="4" t="s">
        <v>1304</v>
      </c>
      <c r="B42" s="4">
        <f t="shared" si="0"/>
        <v>0</v>
      </c>
      <c r="C42" s="4">
        <f t="shared" si="1"/>
        <v>1</v>
      </c>
      <c r="D42" s="4">
        <f t="shared" si="2"/>
        <v>0</v>
      </c>
      <c r="E42" s="4">
        <f t="shared" si="3"/>
        <v>0</v>
      </c>
      <c r="F42" s="4">
        <f t="shared" si="4"/>
        <v>0</v>
      </c>
      <c r="G42" s="4">
        <f t="shared" si="5"/>
        <v>0</v>
      </c>
      <c r="I42" s="11" t="s">
        <v>977</v>
      </c>
      <c r="J42" s="9">
        <f t="shared" si="6"/>
        <v>1</v>
      </c>
      <c r="K42" s="9">
        <f t="shared" si="23"/>
        <v>0</v>
      </c>
      <c r="L42" s="9">
        <f t="shared" si="7"/>
        <v>0</v>
      </c>
      <c r="M42" s="9">
        <f t="shared" si="8"/>
        <v>0</v>
      </c>
      <c r="N42" s="9">
        <f t="shared" si="9"/>
        <v>0</v>
      </c>
      <c r="O42" s="9">
        <f t="shared" si="10"/>
        <v>0</v>
      </c>
      <c r="P42" s="9">
        <f t="shared" si="11"/>
        <v>0</v>
      </c>
      <c r="Q42" s="9">
        <f t="shared" si="12"/>
        <v>0</v>
      </c>
      <c r="R42" s="9">
        <f t="shared" si="13"/>
        <v>0</v>
      </c>
      <c r="S42" s="9">
        <f t="shared" si="14"/>
        <v>0</v>
      </c>
      <c r="T42" s="9">
        <f t="shared" si="15"/>
        <v>0</v>
      </c>
      <c r="U42" s="9">
        <f t="shared" si="16"/>
        <v>0</v>
      </c>
      <c r="V42" s="9">
        <f t="shared" si="17"/>
        <v>0</v>
      </c>
      <c r="W42" s="9">
        <f t="shared" si="18"/>
        <v>0</v>
      </c>
      <c r="X42" s="9">
        <f t="shared" si="19"/>
        <v>0</v>
      </c>
      <c r="Y42" s="9">
        <f t="shared" si="20"/>
        <v>0</v>
      </c>
      <c r="Z42" s="9">
        <f t="shared" si="21"/>
        <v>0</v>
      </c>
      <c r="AA42" s="10">
        <f t="shared" si="22"/>
        <v>0</v>
      </c>
    </row>
    <row r="43" spans="1:27" x14ac:dyDescent="0.3">
      <c r="A43" s="18" t="s">
        <v>1302</v>
      </c>
      <c r="B43" s="4">
        <f t="shared" si="0"/>
        <v>1</v>
      </c>
      <c r="C43" s="4">
        <f t="shared" si="1"/>
        <v>0</v>
      </c>
      <c r="D43" s="4">
        <f t="shared" si="2"/>
        <v>0</v>
      </c>
      <c r="E43" s="4">
        <f t="shared" si="3"/>
        <v>0</v>
      </c>
      <c r="F43" s="4">
        <f t="shared" si="4"/>
        <v>0</v>
      </c>
      <c r="G43" s="4">
        <f t="shared" si="5"/>
        <v>0</v>
      </c>
      <c r="I43" s="8" t="s">
        <v>990</v>
      </c>
      <c r="J43" s="9">
        <f t="shared" si="6"/>
        <v>0</v>
      </c>
      <c r="K43" s="9">
        <f t="shared" si="23"/>
        <v>0</v>
      </c>
      <c r="L43" s="9">
        <f t="shared" si="7"/>
        <v>0</v>
      </c>
      <c r="M43" s="9">
        <f t="shared" si="8"/>
        <v>0</v>
      </c>
      <c r="N43" s="9">
        <f t="shared" si="9"/>
        <v>1</v>
      </c>
      <c r="O43" s="9">
        <f t="shared" si="10"/>
        <v>0</v>
      </c>
      <c r="P43" s="9">
        <f t="shared" si="11"/>
        <v>0</v>
      </c>
      <c r="Q43" s="9">
        <f t="shared" si="12"/>
        <v>0</v>
      </c>
      <c r="R43" s="9">
        <f t="shared" si="13"/>
        <v>0</v>
      </c>
      <c r="S43" s="9">
        <f t="shared" si="14"/>
        <v>0</v>
      </c>
      <c r="T43" s="9">
        <f t="shared" si="15"/>
        <v>0</v>
      </c>
      <c r="U43" s="9">
        <f t="shared" si="16"/>
        <v>0</v>
      </c>
      <c r="V43" s="9">
        <f t="shared" si="17"/>
        <v>0</v>
      </c>
      <c r="W43" s="9">
        <f t="shared" si="18"/>
        <v>0</v>
      </c>
      <c r="X43" s="9">
        <f t="shared" si="19"/>
        <v>0</v>
      </c>
      <c r="Y43" s="9">
        <f t="shared" si="20"/>
        <v>0</v>
      </c>
      <c r="Z43" s="9">
        <f t="shared" si="21"/>
        <v>0</v>
      </c>
      <c r="AA43" s="10">
        <f t="shared" si="22"/>
        <v>0</v>
      </c>
    </row>
    <row r="44" spans="1:27" x14ac:dyDescent="0.3">
      <c r="A44" s="4" t="s">
        <v>1303</v>
      </c>
      <c r="B44" s="4">
        <f t="shared" si="0"/>
        <v>0</v>
      </c>
      <c r="C44" s="4">
        <f t="shared" si="1"/>
        <v>0</v>
      </c>
      <c r="D44" s="4">
        <f t="shared" si="2"/>
        <v>0</v>
      </c>
      <c r="E44" s="4">
        <f t="shared" si="3"/>
        <v>0</v>
      </c>
      <c r="F44" s="4">
        <f t="shared" si="4"/>
        <v>1</v>
      </c>
      <c r="G44" s="4">
        <f t="shared" si="5"/>
        <v>0</v>
      </c>
      <c r="I44" s="11" t="s">
        <v>977</v>
      </c>
      <c r="J44" s="9">
        <f t="shared" si="6"/>
        <v>1</v>
      </c>
      <c r="K44" s="9">
        <f t="shared" si="23"/>
        <v>0</v>
      </c>
      <c r="L44" s="9">
        <f t="shared" si="7"/>
        <v>0</v>
      </c>
      <c r="M44" s="9">
        <f t="shared" si="8"/>
        <v>0</v>
      </c>
      <c r="N44" s="9">
        <f t="shared" si="9"/>
        <v>0</v>
      </c>
      <c r="O44" s="9">
        <f t="shared" si="10"/>
        <v>0</v>
      </c>
      <c r="P44" s="9">
        <f t="shared" si="11"/>
        <v>0</v>
      </c>
      <c r="Q44" s="9">
        <f t="shared" si="12"/>
        <v>0</v>
      </c>
      <c r="R44" s="9">
        <f t="shared" si="13"/>
        <v>0</v>
      </c>
      <c r="S44" s="9">
        <f t="shared" si="14"/>
        <v>0</v>
      </c>
      <c r="T44" s="9">
        <f t="shared" si="15"/>
        <v>0</v>
      </c>
      <c r="U44" s="9">
        <f t="shared" si="16"/>
        <v>0</v>
      </c>
      <c r="V44" s="9">
        <f t="shared" si="17"/>
        <v>0</v>
      </c>
      <c r="W44" s="9">
        <f t="shared" si="18"/>
        <v>0</v>
      </c>
      <c r="X44" s="9">
        <f t="shared" si="19"/>
        <v>0</v>
      </c>
      <c r="Y44" s="9">
        <f t="shared" si="20"/>
        <v>0</v>
      </c>
      <c r="Z44" s="9">
        <f t="shared" si="21"/>
        <v>0</v>
      </c>
      <c r="AA44" s="10">
        <f t="shared" si="22"/>
        <v>0</v>
      </c>
    </row>
    <row r="45" spans="1:27" x14ac:dyDescent="0.3">
      <c r="A45" s="18" t="s">
        <v>1303</v>
      </c>
      <c r="B45" s="4">
        <f t="shared" si="0"/>
        <v>0</v>
      </c>
      <c r="C45" s="4">
        <f t="shared" si="1"/>
        <v>0</v>
      </c>
      <c r="D45" s="4">
        <f t="shared" si="2"/>
        <v>0</v>
      </c>
      <c r="E45" s="4">
        <f t="shared" si="3"/>
        <v>0</v>
      </c>
      <c r="F45" s="4">
        <f t="shared" si="4"/>
        <v>1</v>
      </c>
      <c r="G45" s="4">
        <f t="shared" si="5"/>
        <v>0</v>
      </c>
      <c r="I45" s="8" t="s">
        <v>977</v>
      </c>
      <c r="J45" s="9">
        <f t="shared" si="6"/>
        <v>1</v>
      </c>
      <c r="K45" s="9">
        <f t="shared" si="23"/>
        <v>0</v>
      </c>
      <c r="L45" s="9">
        <f t="shared" si="7"/>
        <v>0</v>
      </c>
      <c r="M45" s="9">
        <f t="shared" si="8"/>
        <v>0</v>
      </c>
      <c r="N45" s="9">
        <f t="shared" si="9"/>
        <v>0</v>
      </c>
      <c r="O45" s="9">
        <f t="shared" si="10"/>
        <v>0</v>
      </c>
      <c r="P45" s="9">
        <f t="shared" si="11"/>
        <v>0</v>
      </c>
      <c r="Q45" s="9">
        <f t="shared" si="12"/>
        <v>0</v>
      </c>
      <c r="R45" s="9">
        <f t="shared" si="13"/>
        <v>0</v>
      </c>
      <c r="S45" s="9">
        <f t="shared" si="14"/>
        <v>0</v>
      </c>
      <c r="T45" s="9">
        <f t="shared" si="15"/>
        <v>0</v>
      </c>
      <c r="U45" s="9">
        <f t="shared" si="16"/>
        <v>0</v>
      </c>
      <c r="V45" s="9">
        <f t="shared" si="17"/>
        <v>0</v>
      </c>
      <c r="W45" s="9">
        <f t="shared" si="18"/>
        <v>0</v>
      </c>
      <c r="X45" s="9">
        <f t="shared" si="19"/>
        <v>0</v>
      </c>
      <c r="Y45" s="9">
        <f t="shared" si="20"/>
        <v>0</v>
      </c>
      <c r="Z45" s="9">
        <f t="shared" si="21"/>
        <v>0</v>
      </c>
      <c r="AA45" s="10">
        <f t="shared" si="22"/>
        <v>0</v>
      </c>
    </row>
    <row r="46" spans="1:27" x14ac:dyDescent="0.3">
      <c r="A46" s="4" t="s">
        <v>1303</v>
      </c>
      <c r="B46" s="4">
        <f t="shared" si="0"/>
        <v>0</v>
      </c>
      <c r="C46" s="4">
        <f t="shared" si="1"/>
        <v>0</v>
      </c>
      <c r="D46" s="4">
        <f t="shared" si="2"/>
        <v>0</v>
      </c>
      <c r="E46" s="4">
        <f t="shared" si="3"/>
        <v>0</v>
      </c>
      <c r="F46" s="4">
        <f t="shared" si="4"/>
        <v>1</v>
      </c>
      <c r="G46" s="4">
        <f t="shared" si="5"/>
        <v>0</v>
      </c>
      <c r="I46" s="11" t="s">
        <v>990</v>
      </c>
      <c r="J46" s="9">
        <f t="shared" si="6"/>
        <v>0</v>
      </c>
      <c r="K46" s="9">
        <f t="shared" si="23"/>
        <v>0</v>
      </c>
      <c r="L46" s="9">
        <f t="shared" si="7"/>
        <v>0</v>
      </c>
      <c r="M46" s="9">
        <f t="shared" si="8"/>
        <v>0</v>
      </c>
      <c r="N46" s="9">
        <f t="shared" si="9"/>
        <v>1</v>
      </c>
      <c r="O46" s="9">
        <f t="shared" si="10"/>
        <v>0</v>
      </c>
      <c r="P46" s="9">
        <f t="shared" si="11"/>
        <v>0</v>
      </c>
      <c r="Q46" s="9">
        <f t="shared" si="12"/>
        <v>0</v>
      </c>
      <c r="R46" s="9">
        <f t="shared" si="13"/>
        <v>0</v>
      </c>
      <c r="S46" s="9">
        <f t="shared" si="14"/>
        <v>0</v>
      </c>
      <c r="T46" s="9">
        <f t="shared" si="15"/>
        <v>0</v>
      </c>
      <c r="U46" s="9">
        <f t="shared" si="16"/>
        <v>0</v>
      </c>
      <c r="V46" s="9">
        <f t="shared" si="17"/>
        <v>0</v>
      </c>
      <c r="W46" s="9">
        <f t="shared" si="18"/>
        <v>0</v>
      </c>
      <c r="X46" s="9">
        <f t="shared" si="19"/>
        <v>0</v>
      </c>
      <c r="Y46" s="9">
        <f t="shared" si="20"/>
        <v>0</v>
      </c>
      <c r="Z46" s="9">
        <f t="shared" si="21"/>
        <v>0</v>
      </c>
      <c r="AA46" s="10">
        <f t="shared" si="22"/>
        <v>0</v>
      </c>
    </row>
    <row r="47" spans="1:27" x14ac:dyDescent="0.3">
      <c r="A47" s="18" t="s">
        <v>1305</v>
      </c>
      <c r="B47" s="4">
        <f t="shared" si="0"/>
        <v>0</v>
      </c>
      <c r="C47" s="4">
        <f t="shared" si="1"/>
        <v>0</v>
      </c>
      <c r="D47" s="4">
        <f t="shared" si="2"/>
        <v>0</v>
      </c>
      <c r="E47" s="4">
        <f t="shared" si="3"/>
        <v>0</v>
      </c>
      <c r="F47" s="4">
        <f t="shared" si="4"/>
        <v>0</v>
      </c>
      <c r="G47" s="4">
        <f t="shared" si="5"/>
        <v>1</v>
      </c>
      <c r="I47" s="8" t="s">
        <v>996</v>
      </c>
      <c r="J47" s="9">
        <f t="shared" si="6"/>
        <v>0</v>
      </c>
      <c r="K47" s="9">
        <f t="shared" si="23"/>
        <v>0</v>
      </c>
      <c r="L47" s="9">
        <f t="shared" si="7"/>
        <v>0</v>
      </c>
      <c r="M47" s="9">
        <f t="shared" si="8"/>
        <v>0</v>
      </c>
      <c r="N47" s="9">
        <f t="shared" si="9"/>
        <v>0</v>
      </c>
      <c r="O47" s="9">
        <f t="shared" si="10"/>
        <v>0</v>
      </c>
      <c r="P47" s="9">
        <f t="shared" si="11"/>
        <v>0</v>
      </c>
      <c r="Q47" s="9">
        <f t="shared" si="12"/>
        <v>1</v>
      </c>
      <c r="R47" s="9">
        <f t="shared" si="13"/>
        <v>0</v>
      </c>
      <c r="S47" s="9">
        <f t="shared" si="14"/>
        <v>0</v>
      </c>
      <c r="T47" s="9">
        <f t="shared" si="15"/>
        <v>0</v>
      </c>
      <c r="U47" s="9">
        <f t="shared" si="16"/>
        <v>0</v>
      </c>
      <c r="V47" s="9">
        <f t="shared" si="17"/>
        <v>0</v>
      </c>
      <c r="W47" s="9">
        <f t="shared" si="18"/>
        <v>0</v>
      </c>
      <c r="X47" s="9">
        <f t="shared" si="19"/>
        <v>0</v>
      </c>
      <c r="Y47" s="9">
        <f t="shared" si="20"/>
        <v>0</v>
      </c>
      <c r="Z47" s="9">
        <f t="shared" si="21"/>
        <v>0</v>
      </c>
      <c r="AA47" s="10">
        <f t="shared" si="22"/>
        <v>0</v>
      </c>
    </row>
    <row r="48" spans="1:27" x14ac:dyDescent="0.3">
      <c r="A48" s="4" t="s">
        <v>1303</v>
      </c>
      <c r="B48" s="4">
        <f t="shared" si="0"/>
        <v>0</v>
      </c>
      <c r="C48" s="4">
        <f t="shared" si="1"/>
        <v>0</v>
      </c>
      <c r="D48" s="4">
        <f t="shared" si="2"/>
        <v>0</v>
      </c>
      <c r="E48" s="4">
        <f t="shared" si="3"/>
        <v>0</v>
      </c>
      <c r="F48" s="4">
        <f t="shared" si="4"/>
        <v>1</v>
      </c>
      <c r="G48" s="4">
        <f t="shared" si="5"/>
        <v>0</v>
      </c>
      <c r="I48" s="11" t="s">
        <v>977</v>
      </c>
      <c r="J48" s="9">
        <f t="shared" si="6"/>
        <v>1</v>
      </c>
      <c r="K48" s="9">
        <f t="shared" si="23"/>
        <v>0</v>
      </c>
      <c r="L48" s="9">
        <f t="shared" si="7"/>
        <v>0</v>
      </c>
      <c r="M48" s="9">
        <f t="shared" si="8"/>
        <v>0</v>
      </c>
      <c r="N48" s="9">
        <f t="shared" si="9"/>
        <v>0</v>
      </c>
      <c r="O48" s="9">
        <f t="shared" si="10"/>
        <v>0</v>
      </c>
      <c r="P48" s="9">
        <f t="shared" si="11"/>
        <v>0</v>
      </c>
      <c r="Q48" s="9">
        <f t="shared" si="12"/>
        <v>0</v>
      </c>
      <c r="R48" s="9">
        <f t="shared" si="13"/>
        <v>0</v>
      </c>
      <c r="S48" s="9">
        <f t="shared" si="14"/>
        <v>0</v>
      </c>
      <c r="T48" s="9">
        <f t="shared" si="15"/>
        <v>0</v>
      </c>
      <c r="U48" s="9">
        <f t="shared" si="16"/>
        <v>0</v>
      </c>
      <c r="V48" s="9">
        <f t="shared" si="17"/>
        <v>0</v>
      </c>
      <c r="W48" s="9">
        <f t="shared" si="18"/>
        <v>0</v>
      </c>
      <c r="X48" s="9">
        <f t="shared" si="19"/>
        <v>0</v>
      </c>
      <c r="Y48" s="9">
        <f t="shared" si="20"/>
        <v>0</v>
      </c>
      <c r="Z48" s="9">
        <f t="shared" si="21"/>
        <v>0</v>
      </c>
      <c r="AA48" s="10">
        <f t="shared" si="22"/>
        <v>0</v>
      </c>
    </row>
    <row r="49" spans="1:27" x14ac:dyDescent="0.3">
      <c r="A49" s="18" t="s">
        <v>1302</v>
      </c>
      <c r="B49" s="4">
        <f t="shared" si="0"/>
        <v>1</v>
      </c>
      <c r="C49" s="4">
        <f t="shared" si="1"/>
        <v>0</v>
      </c>
      <c r="D49" s="4">
        <f t="shared" si="2"/>
        <v>0</v>
      </c>
      <c r="E49" s="4">
        <f t="shared" si="3"/>
        <v>0</v>
      </c>
      <c r="F49" s="4">
        <f t="shared" si="4"/>
        <v>0</v>
      </c>
      <c r="G49" s="4">
        <f t="shared" si="5"/>
        <v>0</v>
      </c>
      <c r="I49" s="8" t="s">
        <v>988</v>
      </c>
      <c r="J49" s="9">
        <f t="shared" si="6"/>
        <v>0</v>
      </c>
      <c r="K49" s="9">
        <f t="shared" si="23"/>
        <v>0</v>
      </c>
      <c r="L49" s="9">
        <f t="shared" si="7"/>
        <v>1</v>
      </c>
      <c r="M49" s="9">
        <f t="shared" si="8"/>
        <v>0</v>
      </c>
      <c r="N49" s="9">
        <f t="shared" si="9"/>
        <v>0</v>
      </c>
      <c r="O49" s="9">
        <f t="shared" si="10"/>
        <v>0</v>
      </c>
      <c r="P49" s="9">
        <f t="shared" si="11"/>
        <v>0</v>
      </c>
      <c r="Q49" s="9">
        <f t="shared" si="12"/>
        <v>0</v>
      </c>
      <c r="R49" s="9">
        <f t="shared" si="13"/>
        <v>0</v>
      </c>
      <c r="S49" s="9">
        <f t="shared" si="14"/>
        <v>0</v>
      </c>
      <c r="T49" s="9">
        <f t="shared" si="15"/>
        <v>0</v>
      </c>
      <c r="U49" s="9">
        <f t="shared" si="16"/>
        <v>0</v>
      </c>
      <c r="V49" s="9">
        <f t="shared" si="17"/>
        <v>0</v>
      </c>
      <c r="W49" s="9">
        <f t="shared" si="18"/>
        <v>0</v>
      </c>
      <c r="X49" s="9">
        <f t="shared" si="19"/>
        <v>0</v>
      </c>
      <c r="Y49" s="9">
        <f t="shared" si="20"/>
        <v>0</v>
      </c>
      <c r="Z49" s="9">
        <f t="shared" si="21"/>
        <v>0</v>
      </c>
      <c r="AA49" s="10">
        <f t="shared" si="22"/>
        <v>0</v>
      </c>
    </row>
    <row r="50" spans="1:27" x14ac:dyDescent="0.3">
      <c r="A50" s="4" t="s">
        <v>1302</v>
      </c>
      <c r="B50" s="4">
        <f t="shared" si="0"/>
        <v>1</v>
      </c>
      <c r="C50" s="4">
        <f t="shared" si="1"/>
        <v>0</v>
      </c>
      <c r="D50" s="4">
        <f t="shared" si="2"/>
        <v>0</v>
      </c>
      <c r="E50" s="4">
        <f t="shared" si="3"/>
        <v>0</v>
      </c>
      <c r="F50" s="4">
        <f t="shared" si="4"/>
        <v>0</v>
      </c>
      <c r="G50" s="4">
        <f t="shared" si="5"/>
        <v>0</v>
      </c>
      <c r="I50" s="11" t="s">
        <v>988</v>
      </c>
      <c r="J50" s="9">
        <f t="shared" si="6"/>
        <v>0</v>
      </c>
      <c r="K50" s="9">
        <f t="shared" si="23"/>
        <v>0</v>
      </c>
      <c r="L50" s="9">
        <f t="shared" si="7"/>
        <v>1</v>
      </c>
      <c r="M50" s="9">
        <f t="shared" si="8"/>
        <v>0</v>
      </c>
      <c r="N50" s="9">
        <f t="shared" si="9"/>
        <v>0</v>
      </c>
      <c r="O50" s="9">
        <f t="shared" si="10"/>
        <v>0</v>
      </c>
      <c r="P50" s="9">
        <f t="shared" si="11"/>
        <v>0</v>
      </c>
      <c r="Q50" s="9">
        <f t="shared" si="12"/>
        <v>0</v>
      </c>
      <c r="R50" s="9">
        <f t="shared" si="13"/>
        <v>0</v>
      </c>
      <c r="S50" s="9">
        <f t="shared" si="14"/>
        <v>0</v>
      </c>
      <c r="T50" s="9">
        <f t="shared" si="15"/>
        <v>0</v>
      </c>
      <c r="U50" s="9">
        <f t="shared" si="16"/>
        <v>0</v>
      </c>
      <c r="V50" s="9">
        <f t="shared" si="17"/>
        <v>0</v>
      </c>
      <c r="W50" s="9">
        <f t="shared" si="18"/>
        <v>0</v>
      </c>
      <c r="X50" s="9">
        <f t="shared" si="19"/>
        <v>0</v>
      </c>
      <c r="Y50" s="9">
        <f t="shared" si="20"/>
        <v>0</v>
      </c>
      <c r="Z50" s="9">
        <f t="shared" si="21"/>
        <v>0</v>
      </c>
      <c r="AA50" s="10">
        <f t="shared" si="22"/>
        <v>0</v>
      </c>
    </row>
    <row r="51" spans="1:27" x14ac:dyDescent="0.3">
      <c r="A51" s="18" t="s">
        <v>1294</v>
      </c>
      <c r="B51" s="4">
        <f t="shared" si="0"/>
        <v>0</v>
      </c>
      <c r="C51" s="4">
        <f t="shared" si="1"/>
        <v>0</v>
      </c>
      <c r="D51" s="4">
        <f t="shared" si="2"/>
        <v>0</v>
      </c>
      <c r="E51" s="4">
        <f t="shared" si="3"/>
        <v>0</v>
      </c>
      <c r="F51" s="4">
        <f t="shared" si="4"/>
        <v>0</v>
      </c>
      <c r="G51" s="4">
        <f t="shared" si="5"/>
        <v>0</v>
      </c>
      <c r="I51" s="8" t="s">
        <v>988</v>
      </c>
      <c r="J51" s="9">
        <f t="shared" si="6"/>
        <v>0</v>
      </c>
      <c r="K51" s="9">
        <f t="shared" si="23"/>
        <v>0</v>
      </c>
      <c r="L51" s="9">
        <f t="shared" si="7"/>
        <v>1</v>
      </c>
      <c r="M51" s="9">
        <f t="shared" si="8"/>
        <v>0</v>
      </c>
      <c r="N51" s="9">
        <f t="shared" si="9"/>
        <v>0</v>
      </c>
      <c r="O51" s="9">
        <f t="shared" si="10"/>
        <v>0</v>
      </c>
      <c r="P51" s="9">
        <f t="shared" si="11"/>
        <v>0</v>
      </c>
      <c r="Q51" s="9">
        <f t="shared" si="12"/>
        <v>0</v>
      </c>
      <c r="R51" s="9">
        <f t="shared" si="13"/>
        <v>0</v>
      </c>
      <c r="S51" s="9">
        <f t="shared" si="14"/>
        <v>0</v>
      </c>
      <c r="T51" s="9">
        <f t="shared" si="15"/>
        <v>0</v>
      </c>
      <c r="U51" s="9">
        <f t="shared" si="16"/>
        <v>0</v>
      </c>
      <c r="V51" s="9">
        <f t="shared" si="17"/>
        <v>0</v>
      </c>
      <c r="W51" s="9">
        <f t="shared" si="18"/>
        <v>0</v>
      </c>
      <c r="X51" s="9">
        <f t="shared" si="19"/>
        <v>0</v>
      </c>
      <c r="Y51" s="9">
        <f t="shared" si="20"/>
        <v>0</v>
      </c>
      <c r="Z51" s="9">
        <f t="shared" si="21"/>
        <v>0</v>
      </c>
      <c r="AA51" s="10">
        <f t="shared" si="22"/>
        <v>0</v>
      </c>
    </row>
    <row r="52" spans="1:27" x14ac:dyDescent="0.3">
      <c r="A52" s="4" t="s">
        <v>1303</v>
      </c>
      <c r="B52" s="4">
        <f t="shared" si="0"/>
        <v>0</v>
      </c>
      <c r="C52" s="4">
        <f t="shared" si="1"/>
        <v>0</v>
      </c>
      <c r="D52" s="4">
        <f t="shared" si="2"/>
        <v>0</v>
      </c>
      <c r="E52" s="4">
        <f t="shared" si="3"/>
        <v>0</v>
      </c>
      <c r="F52" s="4">
        <f t="shared" si="4"/>
        <v>1</v>
      </c>
      <c r="G52" s="4">
        <f t="shared" si="5"/>
        <v>0</v>
      </c>
      <c r="I52" s="11" t="s">
        <v>977</v>
      </c>
      <c r="J52" s="9">
        <f t="shared" si="6"/>
        <v>1</v>
      </c>
      <c r="K52" s="9">
        <f t="shared" si="23"/>
        <v>0</v>
      </c>
      <c r="L52" s="9">
        <f t="shared" si="7"/>
        <v>0</v>
      </c>
      <c r="M52" s="9">
        <f t="shared" si="8"/>
        <v>0</v>
      </c>
      <c r="N52" s="9">
        <f t="shared" si="9"/>
        <v>0</v>
      </c>
      <c r="O52" s="9">
        <f t="shared" si="10"/>
        <v>0</v>
      </c>
      <c r="P52" s="9">
        <f t="shared" si="11"/>
        <v>0</v>
      </c>
      <c r="Q52" s="9">
        <f t="shared" si="12"/>
        <v>0</v>
      </c>
      <c r="R52" s="9">
        <f t="shared" si="13"/>
        <v>0</v>
      </c>
      <c r="S52" s="9">
        <f t="shared" si="14"/>
        <v>0</v>
      </c>
      <c r="T52" s="9">
        <f t="shared" si="15"/>
        <v>0</v>
      </c>
      <c r="U52" s="9">
        <f t="shared" si="16"/>
        <v>0</v>
      </c>
      <c r="V52" s="9">
        <f t="shared" si="17"/>
        <v>0</v>
      </c>
      <c r="W52" s="9">
        <f t="shared" si="18"/>
        <v>0</v>
      </c>
      <c r="X52" s="9">
        <f t="shared" si="19"/>
        <v>0</v>
      </c>
      <c r="Y52" s="9">
        <f t="shared" si="20"/>
        <v>0</v>
      </c>
      <c r="Z52" s="9">
        <f t="shared" si="21"/>
        <v>0</v>
      </c>
      <c r="AA52" s="10">
        <f t="shared" si="22"/>
        <v>0</v>
      </c>
    </row>
    <row r="53" spans="1:27" x14ac:dyDescent="0.3">
      <c r="A53" s="18" t="s">
        <v>1303</v>
      </c>
      <c r="B53" s="4">
        <f t="shared" si="0"/>
        <v>0</v>
      </c>
      <c r="C53" s="4">
        <f t="shared" si="1"/>
        <v>0</v>
      </c>
      <c r="D53" s="4">
        <f t="shared" si="2"/>
        <v>0</v>
      </c>
      <c r="E53" s="4">
        <f t="shared" si="3"/>
        <v>0</v>
      </c>
      <c r="F53" s="4">
        <f t="shared" si="4"/>
        <v>1</v>
      </c>
      <c r="G53" s="4">
        <f t="shared" si="5"/>
        <v>0</v>
      </c>
      <c r="I53" s="8" t="s">
        <v>996</v>
      </c>
      <c r="J53" s="9">
        <f t="shared" si="6"/>
        <v>0</v>
      </c>
      <c r="K53" s="9">
        <f t="shared" si="23"/>
        <v>0</v>
      </c>
      <c r="L53" s="9">
        <f t="shared" si="7"/>
        <v>0</v>
      </c>
      <c r="M53" s="9">
        <f t="shared" si="8"/>
        <v>0</v>
      </c>
      <c r="N53" s="9">
        <f t="shared" si="9"/>
        <v>0</v>
      </c>
      <c r="O53" s="9">
        <f t="shared" si="10"/>
        <v>0</v>
      </c>
      <c r="P53" s="9">
        <f t="shared" si="11"/>
        <v>0</v>
      </c>
      <c r="Q53" s="9">
        <f t="shared" si="12"/>
        <v>1</v>
      </c>
      <c r="R53" s="9">
        <f t="shared" si="13"/>
        <v>0</v>
      </c>
      <c r="S53" s="9">
        <f t="shared" si="14"/>
        <v>0</v>
      </c>
      <c r="T53" s="9">
        <f t="shared" si="15"/>
        <v>0</v>
      </c>
      <c r="U53" s="9">
        <f t="shared" si="16"/>
        <v>0</v>
      </c>
      <c r="V53" s="9">
        <f t="shared" si="17"/>
        <v>0</v>
      </c>
      <c r="W53" s="9">
        <f t="shared" si="18"/>
        <v>0</v>
      </c>
      <c r="X53" s="9">
        <f t="shared" si="19"/>
        <v>0</v>
      </c>
      <c r="Y53" s="9">
        <f t="shared" si="20"/>
        <v>0</v>
      </c>
      <c r="Z53" s="9">
        <f t="shared" si="21"/>
        <v>0</v>
      </c>
      <c r="AA53" s="10">
        <f t="shared" si="22"/>
        <v>0</v>
      </c>
    </row>
    <row r="54" spans="1:27" x14ac:dyDescent="0.3">
      <c r="A54" s="4" t="s">
        <v>1294</v>
      </c>
      <c r="B54" s="4">
        <f t="shared" si="0"/>
        <v>0</v>
      </c>
      <c r="C54" s="4">
        <f t="shared" si="1"/>
        <v>0</v>
      </c>
      <c r="D54" s="4">
        <f t="shared" si="2"/>
        <v>0</v>
      </c>
      <c r="E54" s="4">
        <f t="shared" si="3"/>
        <v>0</v>
      </c>
      <c r="F54" s="4">
        <f t="shared" si="4"/>
        <v>0</v>
      </c>
      <c r="G54" s="4">
        <f t="shared" si="5"/>
        <v>0</v>
      </c>
      <c r="I54" s="11" t="s">
        <v>977</v>
      </c>
      <c r="J54" s="9">
        <f t="shared" si="6"/>
        <v>1</v>
      </c>
      <c r="K54" s="9">
        <f t="shared" si="23"/>
        <v>0</v>
      </c>
      <c r="L54" s="9">
        <f t="shared" si="7"/>
        <v>0</v>
      </c>
      <c r="M54" s="9">
        <f t="shared" si="8"/>
        <v>0</v>
      </c>
      <c r="N54" s="9">
        <f t="shared" si="9"/>
        <v>0</v>
      </c>
      <c r="O54" s="9">
        <f t="shared" si="10"/>
        <v>0</v>
      </c>
      <c r="P54" s="9">
        <f t="shared" si="11"/>
        <v>0</v>
      </c>
      <c r="Q54" s="9">
        <f t="shared" si="12"/>
        <v>0</v>
      </c>
      <c r="R54" s="9">
        <f t="shared" si="13"/>
        <v>0</v>
      </c>
      <c r="S54" s="9">
        <f t="shared" si="14"/>
        <v>0</v>
      </c>
      <c r="T54" s="9">
        <f t="shared" si="15"/>
        <v>0</v>
      </c>
      <c r="U54" s="9">
        <f t="shared" si="16"/>
        <v>0</v>
      </c>
      <c r="V54" s="9">
        <f t="shared" si="17"/>
        <v>0</v>
      </c>
      <c r="W54" s="9">
        <f t="shared" si="18"/>
        <v>0</v>
      </c>
      <c r="X54" s="9">
        <f t="shared" si="19"/>
        <v>0</v>
      </c>
      <c r="Y54" s="9">
        <f t="shared" si="20"/>
        <v>0</v>
      </c>
      <c r="Z54" s="9">
        <f t="shared" si="21"/>
        <v>0</v>
      </c>
      <c r="AA54" s="10">
        <f t="shared" si="22"/>
        <v>0</v>
      </c>
    </row>
    <row r="55" spans="1:27" x14ac:dyDescent="0.3">
      <c r="A55" s="18" t="s">
        <v>1303</v>
      </c>
      <c r="B55" s="4">
        <f t="shared" si="0"/>
        <v>0</v>
      </c>
      <c r="C55" s="4">
        <f t="shared" si="1"/>
        <v>0</v>
      </c>
      <c r="D55" s="4">
        <f t="shared" si="2"/>
        <v>0</v>
      </c>
      <c r="E55" s="4">
        <f t="shared" si="3"/>
        <v>0</v>
      </c>
      <c r="F55" s="4">
        <f t="shared" si="4"/>
        <v>1</v>
      </c>
      <c r="G55" s="4">
        <f t="shared" si="5"/>
        <v>0</v>
      </c>
      <c r="I55" s="8" t="s">
        <v>996</v>
      </c>
      <c r="J55" s="9">
        <f t="shared" si="6"/>
        <v>0</v>
      </c>
      <c r="K55" s="9">
        <f t="shared" si="23"/>
        <v>0</v>
      </c>
      <c r="L55" s="9">
        <f t="shared" si="7"/>
        <v>0</v>
      </c>
      <c r="M55" s="9">
        <f t="shared" si="8"/>
        <v>0</v>
      </c>
      <c r="N55" s="9">
        <f t="shared" si="9"/>
        <v>0</v>
      </c>
      <c r="O55" s="9">
        <f t="shared" si="10"/>
        <v>0</v>
      </c>
      <c r="P55" s="9">
        <f t="shared" si="11"/>
        <v>0</v>
      </c>
      <c r="Q55" s="9">
        <f t="shared" si="12"/>
        <v>1</v>
      </c>
      <c r="R55" s="9">
        <f t="shared" si="13"/>
        <v>0</v>
      </c>
      <c r="S55" s="9">
        <f t="shared" si="14"/>
        <v>0</v>
      </c>
      <c r="T55" s="9">
        <f t="shared" si="15"/>
        <v>0</v>
      </c>
      <c r="U55" s="9">
        <f t="shared" si="16"/>
        <v>0</v>
      </c>
      <c r="V55" s="9">
        <f t="shared" si="17"/>
        <v>0</v>
      </c>
      <c r="W55" s="9">
        <f t="shared" si="18"/>
        <v>0</v>
      </c>
      <c r="X55" s="9">
        <f t="shared" si="19"/>
        <v>0</v>
      </c>
      <c r="Y55" s="9">
        <f t="shared" si="20"/>
        <v>0</v>
      </c>
      <c r="Z55" s="9">
        <f t="shared" si="21"/>
        <v>0</v>
      </c>
      <c r="AA55" s="10">
        <f t="shared" si="22"/>
        <v>0</v>
      </c>
    </row>
    <row r="56" spans="1:27" x14ac:dyDescent="0.3">
      <c r="A56" s="4" t="s">
        <v>1302</v>
      </c>
      <c r="B56" s="4">
        <f t="shared" si="0"/>
        <v>1</v>
      </c>
      <c r="C56" s="4">
        <f t="shared" si="1"/>
        <v>0</v>
      </c>
      <c r="D56" s="4">
        <f t="shared" si="2"/>
        <v>0</v>
      </c>
      <c r="E56" s="4">
        <f t="shared" si="3"/>
        <v>0</v>
      </c>
      <c r="F56" s="4">
        <f t="shared" si="4"/>
        <v>0</v>
      </c>
      <c r="G56" s="4">
        <f t="shared" si="5"/>
        <v>0</v>
      </c>
      <c r="I56" s="11" t="s">
        <v>988</v>
      </c>
      <c r="J56" s="9">
        <f t="shared" si="6"/>
        <v>0</v>
      </c>
      <c r="K56" s="9">
        <f t="shared" si="23"/>
        <v>0</v>
      </c>
      <c r="L56" s="9">
        <f t="shared" si="7"/>
        <v>1</v>
      </c>
      <c r="M56" s="9">
        <f t="shared" si="8"/>
        <v>0</v>
      </c>
      <c r="N56" s="9">
        <f t="shared" si="9"/>
        <v>0</v>
      </c>
      <c r="O56" s="9">
        <f t="shared" si="10"/>
        <v>0</v>
      </c>
      <c r="P56" s="9">
        <f t="shared" si="11"/>
        <v>0</v>
      </c>
      <c r="Q56" s="9">
        <f t="shared" si="12"/>
        <v>0</v>
      </c>
      <c r="R56" s="9">
        <f t="shared" si="13"/>
        <v>0</v>
      </c>
      <c r="S56" s="9">
        <f t="shared" si="14"/>
        <v>0</v>
      </c>
      <c r="T56" s="9">
        <f t="shared" si="15"/>
        <v>0</v>
      </c>
      <c r="U56" s="9">
        <f t="shared" si="16"/>
        <v>0</v>
      </c>
      <c r="V56" s="9">
        <f t="shared" si="17"/>
        <v>0</v>
      </c>
      <c r="W56" s="9">
        <f t="shared" si="18"/>
        <v>0</v>
      </c>
      <c r="X56" s="9">
        <f t="shared" si="19"/>
        <v>0</v>
      </c>
      <c r="Y56" s="9">
        <f t="shared" si="20"/>
        <v>0</v>
      </c>
      <c r="Z56" s="9">
        <f t="shared" si="21"/>
        <v>0</v>
      </c>
      <c r="AA56" s="10">
        <f t="shared" si="22"/>
        <v>0</v>
      </c>
    </row>
    <row r="57" spans="1:27" x14ac:dyDescent="0.3">
      <c r="A57" s="18" t="s">
        <v>1305</v>
      </c>
      <c r="B57" s="4">
        <f t="shared" si="0"/>
        <v>0</v>
      </c>
      <c r="C57" s="4">
        <f t="shared" si="1"/>
        <v>0</v>
      </c>
      <c r="D57" s="4">
        <f t="shared" si="2"/>
        <v>0</v>
      </c>
      <c r="E57" s="4">
        <f t="shared" si="3"/>
        <v>0</v>
      </c>
      <c r="F57" s="4">
        <f t="shared" si="4"/>
        <v>0</v>
      </c>
      <c r="G57" s="4">
        <f t="shared" si="5"/>
        <v>1</v>
      </c>
      <c r="I57" s="8" t="s">
        <v>988</v>
      </c>
      <c r="J57" s="9">
        <f t="shared" si="6"/>
        <v>0</v>
      </c>
      <c r="K57" s="9">
        <f t="shared" si="23"/>
        <v>0</v>
      </c>
      <c r="L57" s="9">
        <f t="shared" si="7"/>
        <v>1</v>
      </c>
      <c r="M57" s="9">
        <f t="shared" si="8"/>
        <v>0</v>
      </c>
      <c r="N57" s="9">
        <f t="shared" si="9"/>
        <v>0</v>
      </c>
      <c r="O57" s="9">
        <f t="shared" si="10"/>
        <v>0</v>
      </c>
      <c r="P57" s="9">
        <f t="shared" si="11"/>
        <v>0</v>
      </c>
      <c r="Q57" s="9">
        <f t="shared" si="12"/>
        <v>0</v>
      </c>
      <c r="R57" s="9">
        <f t="shared" si="13"/>
        <v>0</v>
      </c>
      <c r="S57" s="9">
        <f t="shared" si="14"/>
        <v>0</v>
      </c>
      <c r="T57" s="9">
        <f t="shared" si="15"/>
        <v>0</v>
      </c>
      <c r="U57" s="9">
        <f t="shared" si="16"/>
        <v>0</v>
      </c>
      <c r="V57" s="9">
        <f t="shared" si="17"/>
        <v>0</v>
      </c>
      <c r="W57" s="9">
        <f t="shared" si="18"/>
        <v>0</v>
      </c>
      <c r="X57" s="9">
        <f t="shared" si="19"/>
        <v>0</v>
      </c>
      <c r="Y57" s="9">
        <f t="shared" si="20"/>
        <v>0</v>
      </c>
      <c r="Z57" s="9">
        <f t="shared" si="21"/>
        <v>0</v>
      </c>
      <c r="AA57" s="10">
        <f t="shared" si="22"/>
        <v>0</v>
      </c>
    </row>
    <row r="58" spans="1:27" x14ac:dyDescent="0.3">
      <c r="A58" s="4" t="s">
        <v>1305</v>
      </c>
      <c r="B58" s="4">
        <f t="shared" si="0"/>
        <v>0</v>
      </c>
      <c r="C58" s="4">
        <f t="shared" si="1"/>
        <v>0</v>
      </c>
      <c r="D58" s="4">
        <f t="shared" si="2"/>
        <v>0</v>
      </c>
      <c r="E58" s="4">
        <f t="shared" si="3"/>
        <v>0</v>
      </c>
      <c r="F58" s="4">
        <f t="shared" si="4"/>
        <v>0</v>
      </c>
      <c r="G58" s="4">
        <f t="shared" si="5"/>
        <v>1</v>
      </c>
      <c r="I58" s="11" t="s">
        <v>988</v>
      </c>
      <c r="J58" s="9">
        <f t="shared" si="6"/>
        <v>0</v>
      </c>
      <c r="K58" s="9">
        <f t="shared" si="23"/>
        <v>0</v>
      </c>
      <c r="L58" s="9">
        <f t="shared" si="7"/>
        <v>1</v>
      </c>
      <c r="M58" s="9">
        <f t="shared" si="8"/>
        <v>0</v>
      </c>
      <c r="N58" s="9">
        <f t="shared" si="9"/>
        <v>0</v>
      </c>
      <c r="O58" s="9">
        <f t="shared" si="10"/>
        <v>0</v>
      </c>
      <c r="P58" s="9">
        <f t="shared" si="11"/>
        <v>0</v>
      </c>
      <c r="Q58" s="9">
        <f t="shared" si="12"/>
        <v>0</v>
      </c>
      <c r="R58" s="9">
        <f t="shared" si="13"/>
        <v>0</v>
      </c>
      <c r="S58" s="9">
        <f t="shared" si="14"/>
        <v>0</v>
      </c>
      <c r="T58" s="9">
        <f t="shared" si="15"/>
        <v>0</v>
      </c>
      <c r="U58" s="9">
        <f t="shared" si="16"/>
        <v>0</v>
      </c>
      <c r="V58" s="9">
        <f t="shared" si="17"/>
        <v>0</v>
      </c>
      <c r="W58" s="9">
        <f t="shared" si="18"/>
        <v>0</v>
      </c>
      <c r="X58" s="9">
        <f t="shared" si="19"/>
        <v>0</v>
      </c>
      <c r="Y58" s="9">
        <f t="shared" si="20"/>
        <v>0</v>
      </c>
      <c r="Z58" s="9">
        <f t="shared" si="21"/>
        <v>0</v>
      </c>
      <c r="AA58" s="10">
        <f t="shared" si="22"/>
        <v>0</v>
      </c>
    </row>
    <row r="59" spans="1:27" x14ac:dyDescent="0.3">
      <c r="A59" s="18" t="s">
        <v>1302</v>
      </c>
      <c r="B59" s="4">
        <f t="shared" si="0"/>
        <v>1</v>
      </c>
      <c r="C59" s="4">
        <f t="shared" si="1"/>
        <v>0</v>
      </c>
      <c r="D59" s="4">
        <f t="shared" si="2"/>
        <v>0</v>
      </c>
      <c r="E59" s="4">
        <f t="shared" si="3"/>
        <v>0</v>
      </c>
      <c r="F59" s="4">
        <f t="shared" si="4"/>
        <v>0</v>
      </c>
      <c r="G59" s="4">
        <f t="shared" si="5"/>
        <v>0</v>
      </c>
      <c r="I59" s="8" t="s">
        <v>988</v>
      </c>
      <c r="J59" s="9">
        <f t="shared" si="6"/>
        <v>0</v>
      </c>
      <c r="K59" s="9">
        <f t="shared" si="23"/>
        <v>0</v>
      </c>
      <c r="L59" s="9">
        <f t="shared" si="7"/>
        <v>1</v>
      </c>
      <c r="M59" s="9">
        <f t="shared" si="8"/>
        <v>0</v>
      </c>
      <c r="N59" s="9">
        <f t="shared" si="9"/>
        <v>0</v>
      </c>
      <c r="O59" s="9">
        <f t="shared" si="10"/>
        <v>0</v>
      </c>
      <c r="P59" s="9">
        <f t="shared" si="11"/>
        <v>0</v>
      </c>
      <c r="Q59" s="9">
        <f t="shared" si="12"/>
        <v>0</v>
      </c>
      <c r="R59" s="9">
        <f t="shared" si="13"/>
        <v>0</v>
      </c>
      <c r="S59" s="9">
        <f t="shared" si="14"/>
        <v>0</v>
      </c>
      <c r="T59" s="9">
        <f t="shared" si="15"/>
        <v>0</v>
      </c>
      <c r="U59" s="9">
        <f t="shared" si="16"/>
        <v>0</v>
      </c>
      <c r="V59" s="9">
        <f t="shared" si="17"/>
        <v>0</v>
      </c>
      <c r="W59" s="9">
        <f t="shared" si="18"/>
        <v>0</v>
      </c>
      <c r="X59" s="9">
        <f t="shared" si="19"/>
        <v>0</v>
      </c>
      <c r="Y59" s="9">
        <f t="shared" si="20"/>
        <v>0</v>
      </c>
      <c r="Z59" s="9">
        <f t="shared" si="21"/>
        <v>0</v>
      </c>
      <c r="AA59" s="10">
        <f t="shared" si="22"/>
        <v>0</v>
      </c>
    </row>
    <row r="60" spans="1:27" x14ac:dyDescent="0.3">
      <c r="A60" s="4" t="s">
        <v>1294</v>
      </c>
      <c r="B60" s="4">
        <f t="shared" si="0"/>
        <v>0</v>
      </c>
      <c r="C60" s="4">
        <f t="shared" si="1"/>
        <v>0</v>
      </c>
      <c r="D60" s="4">
        <f t="shared" si="2"/>
        <v>0</v>
      </c>
      <c r="E60" s="4">
        <f t="shared" si="3"/>
        <v>0</v>
      </c>
      <c r="F60" s="4">
        <f t="shared" si="4"/>
        <v>0</v>
      </c>
      <c r="G60" s="4">
        <f t="shared" si="5"/>
        <v>0</v>
      </c>
      <c r="I60" s="11" t="s">
        <v>1011</v>
      </c>
      <c r="J60" s="9">
        <f t="shared" si="6"/>
        <v>0</v>
      </c>
      <c r="K60" s="9">
        <f t="shared" si="23"/>
        <v>0</v>
      </c>
      <c r="L60" s="9">
        <f t="shared" si="7"/>
        <v>0</v>
      </c>
      <c r="M60" s="9">
        <f t="shared" si="8"/>
        <v>0</v>
      </c>
      <c r="N60" s="9">
        <f t="shared" si="9"/>
        <v>0</v>
      </c>
      <c r="O60" s="9">
        <f t="shared" si="10"/>
        <v>0</v>
      </c>
      <c r="P60" s="9">
        <f t="shared" si="11"/>
        <v>0</v>
      </c>
      <c r="Q60" s="9">
        <f t="shared" si="12"/>
        <v>0</v>
      </c>
      <c r="R60" s="9">
        <f t="shared" si="13"/>
        <v>0</v>
      </c>
      <c r="S60" s="9">
        <f t="shared" si="14"/>
        <v>1</v>
      </c>
      <c r="T60" s="9">
        <f t="shared" si="15"/>
        <v>0</v>
      </c>
      <c r="U60" s="9">
        <f t="shared" si="16"/>
        <v>0</v>
      </c>
      <c r="V60" s="9">
        <f t="shared" si="17"/>
        <v>0</v>
      </c>
      <c r="W60" s="9">
        <f t="shared" si="18"/>
        <v>0</v>
      </c>
      <c r="X60" s="9">
        <f t="shared" si="19"/>
        <v>0</v>
      </c>
      <c r="Y60" s="9">
        <f t="shared" si="20"/>
        <v>0</v>
      </c>
      <c r="Z60" s="9">
        <f t="shared" si="21"/>
        <v>0</v>
      </c>
      <c r="AA60" s="10">
        <f t="shared" si="22"/>
        <v>0</v>
      </c>
    </row>
    <row r="61" spans="1:27" x14ac:dyDescent="0.3">
      <c r="A61" s="18" t="s">
        <v>1303</v>
      </c>
      <c r="B61" s="4">
        <f t="shared" si="0"/>
        <v>0</v>
      </c>
      <c r="C61" s="4">
        <f t="shared" si="1"/>
        <v>0</v>
      </c>
      <c r="D61" s="4">
        <f t="shared" si="2"/>
        <v>0</v>
      </c>
      <c r="E61" s="4">
        <f t="shared" si="3"/>
        <v>0</v>
      </c>
      <c r="F61" s="4">
        <f t="shared" si="4"/>
        <v>1</v>
      </c>
      <c r="G61" s="4">
        <f t="shared" si="5"/>
        <v>0</v>
      </c>
      <c r="I61" s="8" t="s">
        <v>977</v>
      </c>
      <c r="J61" s="9">
        <f t="shared" si="6"/>
        <v>1</v>
      </c>
      <c r="K61" s="9">
        <f t="shared" si="23"/>
        <v>0</v>
      </c>
      <c r="L61" s="9">
        <f t="shared" si="7"/>
        <v>0</v>
      </c>
      <c r="M61" s="9">
        <f t="shared" si="8"/>
        <v>0</v>
      </c>
      <c r="N61" s="9">
        <f t="shared" si="9"/>
        <v>0</v>
      </c>
      <c r="O61" s="9">
        <f t="shared" si="10"/>
        <v>0</v>
      </c>
      <c r="P61" s="9">
        <f t="shared" si="11"/>
        <v>0</v>
      </c>
      <c r="Q61" s="9">
        <f t="shared" si="12"/>
        <v>0</v>
      </c>
      <c r="R61" s="9">
        <f t="shared" si="13"/>
        <v>0</v>
      </c>
      <c r="S61" s="9">
        <f t="shared" si="14"/>
        <v>0</v>
      </c>
      <c r="T61" s="9">
        <f t="shared" si="15"/>
        <v>0</v>
      </c>
      <c r="U61" s="9">
        <f t="shared" si="16"/>
        <v>0</v>
      </c>
      <c r="V61" s="9">
        <f t="shared" si="17"/>
        <v>0</v>
      </c>
      <c r="W61" s="9">
        <f t="shared" si="18"/>
        <v>0</v>
      </c>
      <c r="X61" s="9">
        <f t="shared" si="19"/>
        <v>0</v>
      </c>
      <c r="Y61" s="9">
        <f t="shared" si="20"/>
        <v>0</v>
      </c>
      <c r="Z61" s="9">
        <f t="shared" si="21"/>
        <v>0</v>
      </c>
      <c r="AA61" s="10">
        <f t="shared" si="22"/>
        <v>0</v>
      </c>
    </row>
    <row r="62" spans="1:27" x14ac:dyDescent="0.3">
      <c r="A62" s="4" t="s">
        <v>1305</v>
      </c>
      <c r="B62" s="4">
        <f t="shared" si="0"/>
        <v>0</v>
      </c>
      <c r="C62" s="4">
        <f t="shared" si="1"/>
        <v>0</v>
      </c>
      <c r="D62" s="4">
        <f t="shared" si="2"/>
        <v>0</v>
      </c>
      <c r="E62" s="4">
        <f t="shared" si="3"/>
        <v>0</v>
      </c>
      <c r="F62" s="4">
        <f t="shared" si="4"/>
        <v>0</v>
      </c>
      <c r="G62" s="4">
        <f t="shared" si="5"/>
        <v>1</v>
      </c>
      <c r="I62" s="11" t="s">
        <v>1044</v>
      </c>
      <c r="J62" s="9">
        <f t="shared" si="6"/>
        <v>0</v>
      </c>
      <c r="K62" s="9">
        <f t="shared" si="23"/>
        <v>0</v>
      </c>
      <c r="L62" s="9">
        <f t="shared" si="7"/>
        <v>0</v>
      </c>
      <c r="M62" s="9">
        <f t="shared" si="8"/>
        <v>0</v>
      </c>
      <c r="N62" s="9">
        <f t="shared" si="9"/>
        <v>0</v>
      </c>
      <c r="O62" s="9">
        <f t="shared" si="10"/>
        <v>0</v>
      </c>
      <c r="P62" s="9">
        <f t="shared" si="11"/>
        <v>0</v>
      </c>
      <c r="Q62" s="9">
        <f t="shared" si="12"/>
        <v>0</v>
      </c>
      <c r="R62" s="9">
        <f t="shared" si="13"/>
        <v>0</v>
      </c>
      <c r="S62" s="9">
        <f t="shared" si="14"/>
        <v>0</v>
      </c>
      <c r="T62" s="9">
        <f t="shared" si="15"/>
        <v>0</v>
      </c>
      <c r="U62" s="9">
        <f t="shared" si="16"/>
        <v>1</v>
      </c>
      <c r="V62" s="9">
        <f t="shared" si="17"/>
        <v>0</v>
      </c>
      <c r="W62" s="9">
        <f t="shared" si="18"/>
        <v>0</v>
      </c>
      <c r="X62" s="9">
        <f t="shared" si="19"/>
        <v>0</v>
      </c>
      <c r="Y62" s="9">
        <f t="shared" si="20"/>
        <v>0</v>
      </c>
      <c r="Z62" s="9">
        <f t="shared" si="21"/>
        <v>0</v>
      </c>
      <c r="AA62" s="10">
        <f t="shared" si="22"/>
        <v>0</v>
      </c>
    </row>
    <row r="63" spans="1:27" x14ac:dyDescent="0.3">
      <c r="A63" s="18" t="s">
        <v>1302</v>
      </c>
      <c r="B63" s="4">
        <f t="shared" si="0"/>
        <v>1</v>
      </c>
      <c r="C63" s="4">
        <f t="shared" si="1"/>
        <v>0</v>
      </c>
      <c r="D63" s="4">
        <f t="shared" si="2"/>
        <v>0</v>
      </c>
      <c r="E63" s="4">
        <f t="shared" si="3"/>
        <v>0</v>
      </c>
      <c r="F63" s="4">
        <f t="shared" si="4"/>
        <v>0</v>
      </c>
      <c r="G63" s="4">
        <f t="shared" si="5"/>
        <v>0</v>
      </c>
      <c r="I63" s="8" t="s">
        <v>994</v>
      </c>
      <c r="J63" s="9">
        <f t="shared" si="6"/>
        <v>0</v>
      </c>
      <c r="K63" s="9">
        <f t="shared" si="23"/>
        <v>0</v>
      </c>
      <c r="L63" s="9">
        <f t="shared" si="7"/>
        <v>0</v>
      </c>
      <c r="M63" s="9">
        <f t="shared" si="8"/>
        <v>0</v>
      </c>
      <c r="N63" s="9">
        <f t="shared" si="9"/>
        <v>0</v>
      </c>
      <c r="O63" s="9">
        <f t="shared" si="10"/>
        <v>0</v>
      </c>
      <c r="P63" s="9">
        <f t="shared" si="11"/>
        <v>1</v>
      </c>
      <c r="Q63" s="9">
        <f t="shared" si="12"/>
        <v>0</v>
      </c>
      <c r="R63" s="9">
        <f t="shared" si="13"/>
        <v>0</v>
      </c>
      <c r="S63" s="9">
        <f t="shared" si="14"/>
        <v>0</v>
      </c>
      <c r="T63" s="9">
        <f t="shared" si="15"/>
        <v>0</v>
      </c>
      <c r="U63" s="9">
        <f t="shared" si="16"/>
        <v>0</v>
      </c>
      <c r="V63" s="9">
        <f t="shared" si="17"/>
        <v>0</v>
      </c>
      <c r="W63" s="9">
        <f t="shared" si="18"/>
        <v>0</v>
      </c>
      <c r="X63" s="9">
        <f t="shared" si="19"/>
        <v>0</v>
      </c>
      <c r="Y63" s="9">
        <f t="shared" si="20"/>
        <v>0</v>
      </c>
      <c r="Z63" s="9">
        <f t="shared" si="21"/>
        <v>0</v>
      </c>
      <c r="AA63" s="10">
        <f t="shared" si="22"/>
        <v>0</v>
      </c>
    </row>
    <row r="64" spans="1:27" x14ac:dyDescent="0.3">
      <c r="A64" s="4" t="s">
        <v>1302</v>
      </c>
      <c r="B64" s="4">
        <f t="shared" si="0"/>
        <v>1</v>
      </c>
      <c r="C64" s="4">
        <f t="shared" si="1"/>
        <v>0</v>
      </c>
      <c r="D64" s="4">
        <f t="shared" si="2"/>
        <v>0</v>
      </c>
      <c r="E64" s="4">
        <f t="shared" si="3"/>
        <v>0</v>
      </c>
      <c r="F64" s="4">
        <f t="shared" si="4"/>
        <v>0</v>
      </c>
      <c r="G64" s="4">
        <f t="shared" si="5"/>
        <v>0</v>
      </c>
      <c r="I64" s="11" t="s">
        <v>977</v>
      </c>
      <c r="J64" s="9">
        <f t="shared" si="6"/>
        <v>1</v>
      </c>
      <c r="K64" s="9">
        <f t="shared" si="23"/>
        <v>0</v>
      </c>
      <c r="L64" s="9">
        <f t="shared" si="7"/>
        <v>0</v>
      </c>
      <c r="M64" s="9">
        <f t="shared" si="8"/>
        <v>0</v>
      </c>
      <c r="N64" s="9">
        <f t="shared" si="9"/>
        <v>0</v>
      </c>
      <c r="O64" s="9">
        <f t="shared" si="10"/>
        <v>0</v>
      </c>
      <c r="P64" s="9">
        <f t="shared" si="11"/>
        <v>0</v>
      </c>
      <c r="Q64" s="9">
        <f t="shared" si="12"/>
        <v>0</v>
      </c>
      <c r="R64" s="9">
        <f t="shared" si="13"/>
        <v>0</v>
      </c>
      <c r="S64" s="9">
        <f t="shared" si="14"/>
        <v>0</v>
      </c>
      <c r="T64" s="9">
        <f t="shared" si="15"/>
        <v>0</v>
      </c>
      <c r="U64" s="9">
        <f t="shared" si="16"/>
        <v>0</v>
      </c>
      <c r="V64" s="9">
        <f t="shared" si="17"/>
        <v>0</v>
      </c>
      <c r="W64" s="9">
        <f t="shared" si="18"/>
        <v>0</v>
      </c>
      <c r="X64" s="9">
        <f t="shared" si="19"/>
        <v>0</v>
      </c>
      <c r="Y64" s="9">
        <f t="shared" si="20"/>
        <v>0</v>
      </c>
      <c r="Z64" s="9">
        <f t="shared" si="21"/>
        <v>0</v>
      </c>
      <c r="AA64" s="10">
        <f t="shared" si="22"/>
        <v>0</v>
      </c>
    </row>
    <row r="65" spans="1:27" x14ac:dyDescent="0.3">
      <c r="A65" s="18" t="s">
        <v>1294</v>
      </c>
      <c r="B65" s="4">
        <f t="shared" si="0"/>
        <v>0</v>
      </c>
      <c r="C65" s="4">
        <f t="shared" si="1"/>
        <v>0</v>
      </c>
      <c r="D65" s="4">
        <f t="shared" si="2"/>
        <v>0</v>
      </c>
      <c r="E65" s="4">
        <f t="shared" si="3"/>
        <v>0</v>
      </c>
      <c r="F65" s="4">
        <f t="shared" si="4"/>
        <v>0</v>
      </c>
      <c r="G65" s="4">
        <f t="shared" si="5"/>
        <v>0</v>
      </c>
      <c r="I65" s="8" t="s">
        <v>988</v>
      </c>
      <c r="J65" s="9">
        <f t="shared" si="6"/>
        <v>0</v>
      </c>
      <c r="K65" s="9">
        <f t="shared" si="23"/>
        <v>0</v>
      </c>
      <c r="L65" s="9">
        <f t="shared" si="7"/>
        <v>1</v>
      </c>
      <c r="M65" s="9">
        <f t="shared" si="8"/>
        <v>0</v>
      </c>
      <c r="N65" s="9">
        <f t="shared" si="9"/>
        <v>0</v>
      </c>
      <c r="O65" s="9">
        <f t="shared" si="10"/>
        <v>0</v>
      </c>
      <c r="P65" s="9">
        <f t="shared" si="11"/>
        <v>0</v>
      </c>
      <c r="Q65" s="9">
        <f t="shared" si="12"/>
        <v>0</v>
      </c>
      <c r="R65" s="9">
        <f t="shared" si="13"/>
        <v>0</v>
      </c>
      <c r="S65" s="9">
        <f t="shared" si="14"/>
        <v>0</v>
      </c>
      <c r="T65" s="9">
        <f t="shared" si="15"/>
        <v>0</v>
      </c>
      <c r="U65" s="9">
        <f t="shared" si="16"/>
        <v>0</v>
      </c>
      <c r="V65" s="9">
        <f t="shared" si="17"/>
        <v>0</v>
      </c>
      <c r="W65" s="9">
        <f t="shared" si="18"/>
        <v>0</v>
      </c>
      <c r="X65" s="9">
        <f t="shared" si="19"/>
        <v>0</v>
      </c>
      <c r="Y65" s="9">
        <f t="shared" si="20"/>
        <v>0</v>
      </c>
      <c r="Z65" s="9">
        <f t="shared" si="21"/>
        <v>0</v>
      </c>
      <c r="AA65" s="10">
        <f t="shared" si="22"/>
        <v>0</v>
      </c>
    </row>
    <row r="66" spans="1:27" x14ac:dyDescent="0.3">
      <c r="A66" s="4" t="s">
        <v>1305</v>
      </c>
      <c r="B66" s="4">
        <f t="shared" si="0"/>
        <v>0</v>
      </c>
      <c r="C66" s="4">
        <f t="shared" si="1"/>
        <v>0</v>
      </c>
      <c r="D66" s="4">
        <f t="shared" si="2"/>
        <v>0</v>
      </c>
      <c r="E66" s="4">
        <f t="shared" si="3"/>
        <v>0</v>
      </c>
      <c r="F66" s="4">
        <f t="shared" si="4"/>
        <v>0</v>
      </c>
      <c r="G66" s="4">
        <f t="shared" si="5"/>
        <v>1</v>
      </c>
      <c r="I66" s="11" t="s">
        <v>994</v>
      </c>
      <c r="J66" s="9">
        <f t="shared" si="6"/>
        <v>0</v>
      </c>
      <c r="K66" s="9">
        <f t="shared" si="23"/>
        <v>0</v>
      </c>
      <c r="L66" s="9">
        <f t="shared" si="7"/>
        <v>0</v>
      </c>
      <c r="M66" s="9">
        <f t="shared" si="8"/>
        <v>0</v>
      </c>
      <c r="N66" s="9">
        <f t="shared" si="9"/>
        <v>0</v>
      </c>
      <c r="O66" s="9">
        <f t="shared" si="10"/>
        <v>0</v>
      </c>
      <c r="P66" s="9">
        <f t="shared" si="11"/>
        <v>1</v>
      </c>
      <c r="Q66" s="9">
        <f t="shared" si="12"/>
        <v>0</v>
      </c>
      <c r="R66" s="9">
        <f t="shared" si="13"/>
        <v>0</v>
      </c>
      <c r="S66" s="9">
        <f t="shared" si="14"/>
        <v>0</v>
      </c>
      <c r="T66" s="9">
        <f t="shared" si="15"/>
        <v>0</v>
      </c>
      <c r="U66" s="9">
        <f t="shared" si="16"/>
        <v>0</v>
      </c>
      <c r="V66" s="9">
        <f t="shared" si="17"/>
        <v>0</v>
      </c>
      <c r="W66" s="9">
        <f t="shared" si="18"/>
        <v>0</v>
      </c>
      <c r="X66" s="9">
        <f t="shared" si="19"/>
        <v>0</v>
      </c>
      <c r="Y66" s="9">
        <f t="shared" si="20"/>
        <v>0</v>
      </c>
      <c r="Z66" s="9">
        <f t="shared" si="21"/>
        <v>0</v>
      </c>
      <c r="AA66" s="10">
        <f t="shared" si="22"/>
        <v>0</v>
      </c>
    </row>
    <row r="67" spans="1:27" x14ac:dyDescent="0.3">
      <c r="A67" s="18" t="s">
        <v>1302</v>
      </c>
      <c r="B67" s="4">
        <f t="shared" si="0"/>
        <v>1</v>
      </c>
      <c r="C67" s="4">
        <f t="shared" si="1"/>
        <v>0</v>
      </c>
      <c r="D67" s="4">
        <f t="shared" si="2"/>
        <v>0</v>
      </c>
      <c r="E67" s="4">
        <f t="shared" si="3"/>
        <v>0</v>
      </c>
      <c r="F67" s="4">
        <f t="shared" si="4"/>
        <v>0</v>
      </c>
      <c r="G67" s="4">
        <f t="shared" si="5"/>
        <v>0</v>
      </c>
      <c r="I67" s="8" t="s">
        <v>988</v>
      </c>
      <c r="J67" s="9">
        <f t="shared" si="6"/>
        <v>0</v>
      </c>
      <c r="K67" s="9">
        <f t="shared" si="23"/>
        <v>0</v>
      </c>
      <c r="L67" s="9">
        <f t="shared" si="7"/>
        <v>1</v>
      </c>
      <c r="M67" s="9">
        <f t="shared" si="8"/>
        <v>0</v>
      </c>
      <c r="N67" s="9">
        <f t="shared" si="9"/>
        <v>0</v>
      </c>
      <c r="O67" s="9">
        <f t="shared" si="10"/>
        <v>0</v>
      </c>
      <c r="P67" s="9">
        <f t="shared" si="11"/>
        <v>0</v>
      </c>
      <c r="Q67" s="9">
        <f t="shared" si="12"/>
        <v>0</v>
      </c>
      <c r="R67" s="9">
        <f t="shared" si="13"/>
        <v>0</v>
      </c>
      <c r="S67" s="9">
        <f t="shared" si="14"/>
        <v>0</v>
      </c>
      <c r="T67" s="9">
        <f t="shared" si="15"/>
        <v>0</v>
      </c>
      <c r="U67" s="9">
        <f t="shared" si="16"/>
        <v>0</v>
      </c>
      <c r="V67" s="9">
        <f t="shared" si="17"/>
        <v>0</v>
      </c>
      <c r="W67" s="9">
        <f t="shared" si="18"/>
        <v>0</v>
      </c>
      <c r="X67" s="9">
        <f t="shared" si="19"/>
        <v>0</v>
      </c>
      <c r="Y67" s="9">
        <f t="shared" si="20"/>
        <v>0</v>
      </c>
      <c r="Z67" s="9">
        <f t="shared" si="21"/>
        <v>0</v>
      </c>
      <c r="AA67" s="10">
        <f t="shared" si="22"/>
        <v>0</v>
      </c>
    </row>
    <row r="68" spans="1:27" x14ac:dyDescent="0.3">
      <c r="A68" s="4" t="s">
        <v>1302</v>
      </c>
      <c r="B68" s="4">
        <f t="shared" ref="B68:B131" si="24">IF($A68="Asia",1,0)</f>
        <v>1</v>
      </c>
      <c r="C68" s="4">
        <f t="shared" ref="C68:C131" si="25">IF(A68="Europe",1,0)</f>
        <v>0</v>
      </c>
      <c r="D68" s="4">
        <f t="shared" ref="D68:D131" si="26">IF(A68="Africa",1,0)</f>
        <v>0</v>
      </c>
      <c r="E68" s="4">
        <f t="shared" ref="E68:E131" si="27">IF($A68="Australia",1,0)</f>
        <v>0</v>
      </c>
      <c r="F68" s="4">
        <f t="shared" ref="F68:F131" si="28">IF($A68="North America",1,0)</f>
        <v>0</v>
      </c>
      <c r="G68" s="4">
        <f t="shared" ref="G68:G131" si="29">IF($A68="South America",1,0)</f>
        <v>0</v>
      </c>
      <c r="I68" s="11" t="s">
        <v>977</v>
      </c>
      <c r="J68" s="9">
        <f t="shared" ref="J68:J131" si="30">IF(I68="Music",1,0)</f>
        <v>1</v>
      </c>
      <c r="K68" s="9">
        <f t="shared" si="23"/>
        <v>0</v>
      </c>
      <c r="L68" s="9">
        <f t="shared" ref="L68:L131" si="31">IF(I68="Entertainment",1,0)</f>
        <v>0</v>
      </c>
      <c r="M68" s="9">
        <f t="shared" ref="M68:M131" si="32">IF(I68="Nonprofits &amp; Activism",1,0)</f>
        <v>0</v>
      </c>
      <c r="N68" s="9">
        <f t="shared" ref="N68:N131" si="33">IF(I68="Education",1,0)</f>
        <v>0</v>
      </c>
      <c r="O68" s="9">
        <f t="shared" ref="O68:O131" si="34">IF(I68="Shows",1,0)</f>
        <v>0</v>
      </c>
      <c r="P68" s="9">
        <f t="shared" ref="P68:P131" si="35">IF(I68="People &amp; Blogs",1,0)</f>
        <v>0</v>
      </c>
      <c r="Q68" s="9">
        <f t="shared" ref="Q68:Q131" si="36">IF(I68="Gaming",1,0)</f>
        <v>0</v>
      </c>
      <c r="R68" s="9">
        <f t="shared" ref="R68:R131" si="37">IF(I68="Sports",1,0)</f>
        <v>0</v>
      </c>
      <c r="S68" s="9">
        <f t="shared" ref="S68:S131" si="38">IF(I68="Howto &amp; Style",1,0)</f>
        <v>0</v>
      </c>
      <c r="T68" s="9">
        <f t="shared" ref="T68:T131" si="39">IF(I68="News &amp; Politics",1,0)</f>
        <v>0</v>
      </c>
      <c r="U68" s="9">
        <f t="shared" ref="U68:U131" si="40">IF(I68="Comedy",1,0)</f>
        <v>0</v>
      </c>
      <c r="V68" s="9">
        <f t="shared" ref="V68:V131" si="41">IF(I68="Trailers",1,0)</f>
        <v>0</v>
      </c>
      <c r="W68" s="9">
        <f t="shared" ref="W68:W131" si="42">IF(I68="Movies",1,0)</f>
        <v>0</v>
      </c>
      <c r="X68" s="9">
        <f t="shared" ref="X68:X131" si="43">IF(I68="Autos &amp; Vehicles",1,0)</f>
        <v>0</v>
      </c>
      <c r="Y68" s="9">
        <f t="shared" ref="Y68:Y131" si="44">IF(I68="Pets &amp; Animals",1,0)</f>
        <v>0</v>
      </c>
      <c r="Z68" s="9">
        <f t="shared" ref="Z68:Z131" si="45">IF(I68="Science &amp; Technology",1,0)</f>
        <v>0</v>
      </c>
      <c r="AA68" s="10">
        <f t="shared" ref="AA68:AA131" si="46">IF(I68="Travel &amp; Events",1,0)</f>
        <v>0</v>
      </c>
    </row>
    <row r="69" spans="1:27" x14ac:dyDescent="0.3">
      <c r="A69" s="18" t="s">
        <v>1303</v>
      </c>
      <c r="B69" s="4">
        <f t="shared" si="24"/>
        <v>0</v>
      </c>
      <c r="C69" s="4">
        <f t="shared" si="25"/>
        <v>0</v>
      </c>
      <c r="D69" s="4">
        <f t="shared" si="26"/>
        <v>0</v>
      </c>
      <c r="E69" s="4">
        <f t="shared" si="27"/>
        <v>0</v>
      </c>
      <c r="F69" s="4">
        <f t="shared" si="28"/>
        <v>1</v>
      </c>
      <c r="G69" s="4">
        <f t="shared" si="29"/>
        <v>0</v>
      </c>
      <c r="I69" s="8" t="s">
        <v>988</v>
      </c>
      <c r="J69" s="9">
        <f t="shared" si="30"/>
        <v>0</v>
      </c>
      <c r="K69" s="9">
        <f t="shared" ref="K69:K132" si="47">IF(I69="Film &amp; Animation",1,0)</f>
        <v>0</v>
      </c>
      <c r="L69" s="9">
        <f t="shared" si="31"/>
        <v>1</v>
      </c>
      <c r="M69" s="9">
        <f t="shared" si="32"/>
        <v>0</v>
      </c>
      <c r="N69" s="9">
        <f t="shared" si="33"/>
        <v>0</v>
      </c>
      <c r="O69" s="9">
        <f t="shared" si="34"/>
        <v>0</v>
      </c>
      <c r="P69" s="9">
        <f t="shared" si="35"/>
        <v>0</v>
      </c>
      <c r="Q69" s="9">
        <f t="shared" si="36"/>
        <v>0</v>
      </c>
      <c r="R69" s="9">
        <f t="shared" si="37"/>
        <v>0</v>
      </c>
      <c r="S69" s="9">
        <f t="shared" si="38"/>
        <v>0</v>
      </c>
      <c r="T69" s="9">
        <f t="shared" si="39"/>
        <v>0</v>
      </c>
      <c r="U69" s="9">
        <f t="shared" si="40"/>
        <v>0</v>
      </c>
      <c r="V69" s="9">
        <f t="shared" si="41"/>
        <v>0</v>
      </c>
      <c r="W69" s="9">
        <f t="shared" si="42"/>
        <v>0</v>
      </c>
      <c r="X69" s="9">
        <f t="shared" si="43"/>
        <v>0</v>
      </c>
      <c r="Y69" s="9">
        <f t="shared" si="44"/>
        <v>0</v>
      </c>
      <c r="Z69" s="9">
        <f t="shared" si="45"/>
        <v>0</v>
      </c>
      <c r="AA69" s="10">
        <f t="shared" si="46"/>
        <v>0</v>
      </c>
    </row>
    <row r="70" spans="1:27" x14ac:dyDescent="0.3">
      <c r="A70" s="4" t="s">
        <v>1303</v>
      </c>
      <c r="B70" s="4">
        <f t="shared" si="24"/>
        <v>0</v>
      </c>
      <c r="C70" s="4">
        <f t="shared" si="25"/>
        <v>0</v>
      </c>
      <c r="D70" s="4">
        <f t="shared" si="26"/>
        <v>0</v>
      </c>
      <c r="E70" s="4">
        <f t="shared" si="27"/>
        <v>0</v>
      </c>
      <c r="F70" s="4">
        <f t="shared" si="28"/>
        <v>1</v>
      </c>
      <c r="G70" s="4">
        <f t="shared" si="29"/>
        <v>0</v>
      </c>
      <c r="I70" s="11" t="s">
        <v>992</v>
      </c>
      <c r="J70" s="9">
        <f t="shared" si="30"/>
        <v>0</v>
      </c>
      <c r="K70" s="9">
        <f t="shared" si="47"/>
        <v>0</v>
      </c>
      <c r="L70" s="9">
        <f t="shared" si="31"/>
        <v>0</v>
      </c>
      <c r="M70" s="9">
        <f t="shared" si="32"/>
        <v>0</v>
      </c>
      <c r="N70" s="9">
        <f t="shared" si="33"/>
        <v>0</v>
      </c>
      <c r="O70" s="9">
        <f t="shared" si="34"/>
        <v>1</v>
      </c>
      <c r="P70" s="9">
        <f t="shared" si="35"/>
        <v>0</v>
      </c>
      <c r="Q70" s="9">
        <f t="shared" si="36"/>
        <v>0</v>
      </c>
      <c r="R70" s="9">
        <f t="shared" si="37"/>
        <v>0</v>
      </c>
      <c r="S70" s="9">
        <f t="shared" si="38"/>
        <v>0</v>
      </c>
      <c r="T70" s="9">
        <f t="shared" si="39"/>
        <v>0</v>
      </c>
      <c r="U70" s="9">
        <f t="shared" si="40"/>
        <v>0</v>
      </c>
      <c r="V70" s="9">
        <f t="shared" si="41"/>
        <v>0</v>
      </c>
      <c r="W70" s="9">
        <f t="shared" si="42"/>
        <v>0</v>
      </c>
      <c r="X70" s="9">
        <f t="shared" si="43"/>
        <v>0</v>
      </c>
      <c r="Y70" s="9">
        <f t="shared" si="44"/>
        <v>0</v>
      </c>
      <c r="Z70" s="9">
        <f t="shared" si="45"/>
        <v>0</v>
      </c>
      <c r="AA70" s="10">
        <f t="shared" si="46"/>
        <v>0</v>
      </c>
    </row>
    <row r="71" spans="1:27" x14ac:dyDescent="0.3">
      <c r="A71" s="18" t="s">
        <v>1303</v>
      </c>
      <c r="B71" s="4">
        <f t="shared" si="24"/>
        <v>0</v>
      </c>
      <c r="C71" s="4">
        <f t="shared" si="25"/>
        <v>0</v>
      </c>
      <c r="D71" s="4">
        <f t="shared" si="26"/>
        <v>0</v>
      </c>
      <c r="E71" s="4">
        <f t="shared" si="27"/>
        <v>0</v>
      </c>
      <c r="F71" s="4">
        <f t="shared" si="28"/>
        <v>1</v>
      </c>
      <c r="G71" s="4">
        <f t="shared" si="29"/>
        <v>0</v>
      </c>
      <c r="I71" s="8" t="s">
        <v>988</v>
      </c>
      <c r="J71" s="9">
        <f t="shared" si="30"/>
        <v>0</v>
      </c>
      <c r="K71" s="9">
        <f t="shared" si="47"/>
        <v>0</v>
      </c>
      <c r="L71" s="9">
        <f t="shared" si="31"/>
        <v>1</v>
      </c>
      <c r="M71" s="9">
        <f t="shared" si="32"/>
        <v>0</v>
      </c>
      <c r="N71" s="9">
        <f t="shared" si="33"/>
        <v>0</v>
      </c>
      <c r="O71" s="9">
        <f t="shared" si="34"/>
        <v>0</v>
      </c>
      <c r="P71" s="9">
        <f t="shared" si="35"/>
        <v>0</v>
      </c>
      <c r="Q71" s="9">
        <f t="shared" si="36"/>
        <v>0</v>
      </c>
      <c r="R71" s="9">
        <f t="shared" si="37"/>
        <v>0</v>
      </c>
      <c r="S71" s="9">
        <f t="shared" si="38"/>
        <v>0</v>
      </c>
      <c r="T71" s="9">
        <f t="shared" si="39"/>
        <v>0</v>
      </c>
      <c r="U71" s="9">
        <f t="shared" si="40"/>
        <v>0</v>
      </c>
      <c r="V71" s="9">
        <f t="shared" si="41"/>
        <v>0</v>
      </c>
      <c r="W71" s="9">
        <f t="shared" si="42"/>
        <v>0</v>
      </c>
      <c r="X71" s="9">
        <f t="shared" si="43"/>
        <v>0</v>
      </c>
      <c r="Y71" s="9">
        <f t="shared" si="44"/>
        <v>0</v>
      </c>
      <c r="Z71" s="9">
        <f t="shared" si="45"/>
        <v>0</v>
      </c>
      <c r="AA71" s="10">
        <f t="shared" si="46"/>
        <v>0</v>
      </c>
    </row>
    <row r="72" spans="1:27" x14ac:dyDescent="0.3">
      <c r="A72" s="4" t="s">
        <v>1302</v>
      </c>
      <c r="B72" s="4">
        <f t="shared" si="24"/>
        <v>1</v>
      </c>
      <c r="C72" s="4">
        <f t="shared" si="25"/>
        <v>0</v>
      </c>
      <c r="D72" s="4">
        <f t="shared" si="26"/>
        <v>0</v>
      </c>
      <c r="E72" s="4">
        <f t="shared" si="27"/>
        <v>0</v>
      </c>
      <c r="F72" s="4">
        <f t="shared" si="28"/>
        <v>0</v>
      </c>
      <c r="G72" s="4">
        <f t="shared" si="29"/>
        <v>0</v>
      </c>
      <c r="I72" s="11" t="s">
        <v>1057</v>
      </c>
      <c r="J72" s="9">
        <f t="shared" si="30"/>
        <v>0</v>
      </c>
      <c r="K72" s="9">
        <f t="shared" si="47"/>
        <v>0</v>
      </c>
      <c r="L72" s="9">
        <f t="shared" si="31"/>
        <v>0</v>
      </c>
      <c r="M72" s="9">
        <f t="shared" si="32"/>
        <v>0</v>
      </c>
      <c r="N72" s="9">
        <f t="shared" si="33"/>
        <v>0</v>
      </c>
      <c r="O72" s="9">
        <f t="shared" si="34"/>
        <v>0</v>
      </c>
      <c r="P72" s="9">
        <f t="shared" si="35"/>
        <v>0</v>
      </c>
      <c r="Q72" s="9">
        <f t="shared" si="36"/>
        <v>0</v>
      </c>
      <c r="R72" s="9">
        <f t="shared" si="37"/>
        <v>0</v>
      </c>
      <c r="S72" s="9">
        <f t="shared" si="38"/>
        <v>0</v>
      </c>
      <c r="T72" s="9">
        <f t="shared" si="39"/>
        <v>0</v>
      </c>
      <c r="U72" s="9">
        <f t="shared" si="40"/>
        <v>0</v>
      </c>
      <c r="V72" s="9">
        <f t="shared" si="41"/>
        <v>1</v>
      </c>
      <c r="W72" s="9">
        <f t="shared" si="42"/>
        <v>0</v>
      </c>
      <c r="X72" s="9">
        <f t="shared" si="43"/>
        <v>0</v>
      </c>
      <c r="Y72" s="9">
        <f t="shared" si="44"/>
        <v>0</v>
      </c>
      <c r="Z72" s="9">
        <f t="shared" si="45"/>
        <v>0</v>
      </c>
      <c r="AA72" s="10">
        <f t="shared" si="46"/>
        <v>0</v>
      </c>
    </row>
    <row r="73" spans="1:27" x14ac:dyDescent="0.3">
      <c r="A73" s="18" t="s">
        <v>1305</v>
      </c>
      <c r="B73" s="4">
        <f t="shared" si="24"/>
        <v>0</v>
      </c>
      <c r="C73" s="4">
        <f t="shared" si="25"/>
        <v>0</v>
      </c>
      <c r="D73" s="4">
        <f t="shared" si="26"/>
        <v>0</v>
      </c>
      <c r="E73" s="4">
        <f t="shared" si="27"/>
        <v>0</v>
      </c>
      <c r="F73" s="4">
        <f t="shared" si="28"/>
        <v>0</v>
      </c>
      <c r="G73" s="4">
        <f t="shared" si="29"/>
        <v>1</v>
      </c>
      <c r="I73" s="8" t="s">
        <v>994</v>
      </c>
      <c r="J73" s="9">
        <f t="shared" si="30"/>
        <v>0</v>
      </c>
      <c r="K73" s="9">
        <f t="shared" si="47"/>
        <v>0</v>
      </c>
      <c r="L73" s="9">
        <f t="shared" si="31"/>
        <v>0</v>
      </c>
      <c r="M73" s="9">
        <f t="shared" si="32"/>
        <v>0</v>
      </c>
      <c r="N73" s="9">
        <f t="shared" si="33"/>
        <v>0</v>
      </c>
      <c r="O73" s="9">
        <f t="shared" si="34"/>
        <v>0</v>
      </c>
      <c r="P73" s="9">
        <f t="shared" si="35"/>
        <v>1</v>
      </c>
      <c r="Q73" s="9">
        <f t="shared" si="36"/>
        <v>0</v>
      </c>
      <c r="R73" s="9">
        <f t="shared" si="37"/>
        <v>0</v>
      </c>
      <c r="S73" s="9">
        <f t="shared" si="38"/>
        <v>0</v>
      </c>
      <c r="T73" s="9">
        <f t="shared" si="39"/>
        <v>0</v>
      </c>
      <c r="U73" s="9">
        <f t="shared" si="40"/>
        <v>0</v>
      </c>
      <c r="V73" s="9">
        <f t="shared" si="41"/>
        <v>0</v>
      </c>
      <c r="W73" s="9">
        <f t="shared" si="42"/>
        <v>0</v>
      </c>
      <c r="X73" s="9">
        <f t="shared" si="43"/>
        <v>0</v>
      </c>
      <c r="Y73" s="9">
        <f t="shared" si="44"/>
        <v>0</v>
      </c>
      <c r="Z73" s="9">
        <f t="shared" si="45"/>
        <v>0</v>
      </c>
      <c r="AA73" s="10">
        <f t="shared" si="46"/>
        <v>0</v>
      </c>
    </row>
    <row r="74" spans="1:27" x14ac:dyDescent="0.3">
      <c r="A74" s="4" t="s">
        <v>1303</v>
      </c>
      <c r="B74" s="4">
        <f t="shared" si="24"/>
        <v>0</v>
      </c>
      <c r="C74" s="4">
        <f t="shared" si="25"/>
        <v>0</v>
      </c>
      <c r="D74" s="4">
        <f t="shared" si="26"/>
        <v>0</v>
      </c>
      <c r="E74" s="4">
        <f t="shared" si="27"/>
        <v>0</v>
      </c>
      <c r="F74" s="4">
        <f t="shared" si="28"/>
        <v>1</v>
      </c>
      <c r="G74" s="4">
        <f t="shared" si="29"/>
        <v>0</v>
      </c>
      <c r="I74" s="11" t="s">
        <v>990</v>
      </c>
      <c r="J74" s="9">
        <f t="shared" si="30"/>
        <v>0</v>
      </c>
      <c r="K74" s="9">
        <f t="shared" si="47"/>
        <v>0</v>
      </c>
      <c r="L74" s="9">
        <f t="shared" si="31"/>
        <v>0</v>
      </c>
      <c r="M74" s="9">
        <f t="shared" si="32"/>
        <v>0</v>
      </c>
      <c r="N74" s="9">
        <f t="shared" si="33"/>
        <v>1</v>
      </c>
      <c r="O74" s="9">
        <f t="shared" si="34"/>
        <v>0</v>
      </c>
      <c r="P74" s="9">
        <f t="shared" si="35"/>
        <v>0</v>
      </c>
      <c r="Q74" s="9">
        <f t="shared" si="36"/>
        <v>0</v>
      </c>
      <c r="R74" s="9">
        <f t="shared" si="37"/>
        <v>0</v>
      </c>
      <c r="S74" s="9">
        <f t="shared" si="38"/>
        <v>0</v>
      </c>
      <c r="T74" s="9">
        <f t="shared" si="39"/>
        <v>0</v>
      </c>
      <c r="U74" s="9">
        <f t="shared" si="40"/>
        <v>0</v>
      </c>
      <c r="V74" s="9">
        <f t="shared" si="41"/>
        <v>0</v>
      </c>
      <c r="W74" s="9">
        <f t="shared" si="42"/>
        <v>0</v>
      </c>
      <c r="X74" s="9">
        <f t="shared" si="43"/>
        <v>0</v>
      </c>
      <c r="Y74" s="9">
        <f t="shared" si="44"/>
        <v>0</v>
      </c>
      <c r="Z74" s="9">
        <f t="shared" si="45"/>
        <v>0</v>
      </c>
      <c r="AA74" s="10">
        <f t="shared" si="46"/>
        <v>0</v>
      </c>
    </row>
    <row r="75" spans="1:27" x14ac:dyDescent="0.3">
      <c r="A75" s="18" t="s">
        <v>1305</v>
      </c>
      <c r="B75" s="4">
        <f t="shared" si="24"/>
        <v>0</v>
      </c>
      <c r="C75" s="4">
        <f t="shared" si="25"/>
        <v>0</v>
      </c>
      <c r="D75" s="4">
        <f t="shared" si="26"/>
        <v>0</v>
      </c>
      <c r="E75" s="4">
        <f t="shared" si="27"/>
        <v>0</v>
      </c>
      <c r="F75" s="4">
        <f t="shared" si="28"/>
        <v>0</v>
      </c>
      <c r="G75" s="4">
        <f t="shared" si="29"/>
        <v>1</v>
      </c>
      <c r="I75" s="8" t="s">
        <v>1044</v>
      </c>
      <c r="J75" s="9">
        <f t="shared" si="30"/>
        <v>0</v>
      </c>
      <c r="K75" s="9">
        <f t="shared" si="47"/>
        <v>0</v>
      </c>
      <c r="L75" s="9">
        <f t="shared" si="31"/>
        <v>0</v>
      </c>
      <c r="M75" s="9">
        <f t="shared" si="32"/>
        <v>0</v>
      </c>
      <c r="N75" s="9">
        <f t="shared" si="33"/>
        <v>0</v>
      </c>
      <c r="O75" s="9">
        <f t="shared" si="34"/>
        <v>0</v>
      </c>
      <c r="P75" s="9">
        <f t="shared" si="35"/>
        <v>0</v>
      </c>
      <c r="Q75" s="9">
        <f t="shared" si="36"/>
        <v>0</v>
      </c>
      <c r="R75" s="9">
        <f t="shared" si="37"/>
        <v>0</v>
      </c>
      <c r="S75" s="9">
        <f t="shared" si="38"/>
        <v>0</v>
      </c>
      <c r="T75" s="9">
        <f t="shared" si="39"/>
        <v>0</v>
      </c>
      <c r="U75" s="9">
        <f t="shared" si="40"/>
        <v>1</v>
      </c>
      <c r="V75" s="9">
        <f t="shared" si="41"/>
        <v>0</v>
      </c>
      <c r="W75" s="9">
        <f t="shared" si="42"/>
        <v>0</v>
      </c>
      <c r="X75" s="9">
        <f t="shared" si="43"/>
        <v>0</v>
      </c>
      <c r="Y75" s="9">
        <f t="shared" si="44"/>
        <v>0</v>
      </c>
      <c r="Z75" s="9">
        <f t="shared" si="45"/>
        <v>0</v>
      </c>
      <c r="AA75" s="10">
        <f t="shared" si="46"/>
        <v>0</v>
      </c>
    </row>
    <row r="76" spans="1:27" x14ac:dyDescent="0.3">
      <c r="A76" s="4" t="s">
        <v>1294</v>
      </c>
      <c r="B76" s="4">
        <f t="shared" si="24"/>
        <v>0</v>
      </c>
      <c r="C76" s="4">
        <f t="shared" si="25"/>
        <v>0</v>
      </c>
      <c r="D76" s="4">
        <f t="shared" si="26"/>
        <v>0</v>
      </c>
      <c r="E76" s="4">
        <f t="shared" si="27"/>
        <v>0</v>
      </c>
      <c r="F76" s="4">
        <f t="shared" si="28"/>
        <v>0</v>
      </c>
      <c r="G76" s="4">
        <f t="shared" si="29"/>
        <v>0</v>
      </c>
      <c r="I76" s="11" t="s">
        <v>996</v>
      </c>
      <c r="J76" s="9">
        <f t="shared" si="30"/>
        <v>0</v>
      </c>
      <c r="K76" s="9">
        <f t="shared" si="47"/>
        <v>0</v>
      </c>
      <c r="L76" s="9">
        <f t="shared" si="31"/>
        <v>0</v>
      </c>
      <c r="M76" s="9">
        <f t="shared" si="32"/>
        <v>0</v>
      </c>
      <c r="N76" s="9">
        <f t="shared" si="33"/>
        <v>0</v>
      </c>
      <c r="O76" s="9">
        <f t="shared" si="34"/>
        <v>0</v>
      </c>
      <c r="P76" s="9">
        <f t="shared" si="35"/>
        <v>0</v>
      </c>
      <c r="Q76" s="9">
        <f t="shared" si="36"/>
        <v>1</v>
      </c>
      <c r="R76" s="9">
        <f t="shared" si="37"/>
        <v>0</v>
      </c>
      <c r="S76" s="9">
        <f t="shared" si="38"/>
        <v>0</v>
      </c>
      <c r="T76" s="9">
        <f t="shared" si="39"/>
        <v>0</v>
      </c>
      <c r="U76" s="9">
        <f t="shared" si="40"/>
        <v>0</v>
      </c>
      <c r="V76" s="9">
        <f t="shared" si="41"/>
        <v>0</v>
      </c>
      <c r="W76" s="9">
        <f t="shared" si="42"/>
        <v>0</v>
      </c>
      <c r="X76" s="9">
        <f t="shared" si="43"/>
        <v>0</v>
      </c>
      <c r="Y76" s="9">
        <f t="shared" si="44"/>
        <v>0</v>
      </c>
      <c r="Z76" s="9">
        <f t="shared" si="45"/>
        <v>0</v>
      </c>
      <c r="AA76" s="10">
        <f t="shared" si="46"/>
        <v>0</v>
      </c>
    </row>
    <row r="77" spans="1:27" x14ac:dyDescent="0.3">
      <c r="A77" s="18" t="s">
        <v>1294</v>
      </c>
      <c r="B77" s="4">
        <f t="shared" si="24"/>
        <v>0</v>
      </c>
      <c r="C77" s="4">
        <f t="shared" si="25"/>
        <v>0</v>
      </c>
      <c r="D77" s="4">
        <f t="shared" si="26"/>
        <v>0</v>
      </c>
      <c r="E77" s="4">
        <f t="shared" si="27"/>
        <v>0</v>
      </c>
      <c r="F77" s="4">
        <f t="shared" si="28"/>
        <v>0</v>
      </c>
      <c r="G77" s="4">
        <f t="shared" si="29"/>
        <v>0</v>
      </c>
      <c r="I77" s="8" t="s">
        <v>988</v>
      </c>
      <c r="J77" s="9">
        <f t="shared" si="30"/>
        <v>0</v>
      </c>
      <c r="K77" s="9">
        <f t="shared" si="47"/>
        <v>0</v>
      </c>
      <c r="L77" s="9">
        <f t="shared" si="31"/>
        <v>1</v>
      </c>
      <c r="M77" s="9">
        <f t="shared" si="32"/>
        <v>0</v>
      </c>
      <c r="N77" s="9">
        <f t="shared" si="33"/>
        <v>0</v>
      </c>
      <c r="O77" s="9">
        <f t="shared" si="34"/>
        <v>0</v>
      </c>
      <c r="P77" s="9">
        <f t="shared" si="35"/>
        <v>0</v>
      </c>
      <c r="Q77" s="9">
        <f t="shared" si="36"/>
        <v>0</v>
      </c>
      <c r="R77" s="9">
        <f t="shared" si="37"/>
        <v>0</v>
      </c>
      <c r="S77" s="9">
        <f t="shared" si="38"/>
        <v>0</v>
      </c>
      <c r="T77" s="9">
        <f t="shared" si="39"/>
        <v>0</v>
      </c>
      <c r="U77" s="9">
        <f t="shared" si="40"/>
        <v>0</v>
      </c>
      <c r="V77" s="9">
        <f t="shared" si="41"/>
        <v>0</v>
      </c>
      <c r="W77" s="9">
        <f t="shared" si="42"/>
        <v>0</v>
      </c>
      <c r="X77" s="9">
        <f t="shared" si="43"/>
        <v>0</v>
      </c>
      <c r="Y77" s="9">
        <f t="shared" si="44"/>
        <v>0</v>
      </c>
      <c r="Z77" s="9">
        <f t="shared" si="45"/>
        <v>0</v>
      </c>
      <c r="AA77" s="10">
        <f t="shared" si="46"/>
        <v>0</v>
      </c>
    </row>
    <row r="78" spans="1:27" x14ac:dyDescent="0.3">
      <c r="A78" s="4" t="s">
        <v>1302</v>
      </c>
      <c r="B78" s="4">
        <f t="shared" si="24"/>
        <v>1</v>
      </c>
      <c r="C78" s="4">
        <f t="shared" si="25"/>
        <v>0</v>
      </c>
      <c r="D78" s="4">
        <f t="shared" si="26"/>
        <v>0</v>
      </c>
      <c r="E78" s="4">
        <f t="shared" si="27"/>
        <v>0</v>
      </c>
      <c r="F78" s="4">
        <f t="shared" si="28"/>
        <v>0</v>
      </c>
      <c r="G78" s="4">
        <f t="shared" si="29"/>
        <v>0</v>
      </c>
      <c r="I78" s="11" t="s">
        <v>994</v>
      </c>
      <c r="J78" s="9">
        <f t="shared" si="30"/>
        <v>0</v>
      </c>
      <c r="K78" s="9">
        <f t="shared" si="47"/>
        <v>0</v>
      </c>
      <c r="L78" s="9">
        <f t="shared" si="31"/>
        <v>0</v>
      </c>
      <c r="M78" s="9">
        <f t="shared" si="32"/>
        <v>0</v>
      </c>
      <c r="N78" s="9">
        <f t="shared" si="33"/>
        <v>0</v>
      </c>
      <c r="O78" s="9">
        <f t="shared" si="34"/>
        <v>0</v>
      </c>
      <c r="P78" s="9">
        <f t="shared" si="35"/>
        <v>1</v>
      </c>
      <c r="Q78" s="9">
        <f t="shared" si="36"/>
        <v>0</v>
      </c>
      <c r="R78" s="9">
        <f t="shared" si="37"/>
        <v>0</v>
      </c>
      <c r="S78" s="9">
        <f t="shared" si="38"/>
        <v>0</v>
      </c>
      <c r="T78" s="9">
        <f t="shared" si="39"/>
        <v>0</v>
      </c>
      <c r="U78" s="9">
        <f t="shared" si="40"/>
        <v>0</v>
      </c>
      <c r="V78" s="9">
        <f t="shared" si="41"/>
        <v>0</v>
      </c>
      <c r="W78" s="9">
        <f t="shared" si="42"/>
        <v>0</v>
      </c>
      <c r="X78" s="9">
        <f t="shared" si="43"/>
        <v>0</v>
      </c>
      <c r="Y78" s="9">
        <f t="shared" si="44"/>
        <v>0</v>
      </c>
      <c r="Z78" s="9">
        <f t="shared" si="45"/>
        <v>0</v>
      </c>
      <c r="AA78" s="10">
        <f t="shared" si="46"/>
        <v>0</v>
      </c>
    </row>
    <row r="79" spans="1:27" x14ac:dyDescent="0.3">
      <c r="A79" s="18" t="s">
        <v>1294</v>
      </c>
      <c r="B79" s="4">
        <f t="shared" si="24"/>
        <v>0</v>
      </c>
      <c r="C79" s="4">
        <f t="shared" si="25"/>
        <v>0</v>
      </c>
      <c r="D79" s="4">
        <f t="shared" si="26"/>
        <v>0</v>
      </c>
      <c r="E79" s="4">
        <f t="shared" si="27"/>
        <v>0</v>
      </c>
      <c r="F79" s="4">
        <f t="shared" si="28"/>
        <v>0</v>
      </c>
      <c r="G79" s="4">
        <f t="shared" si="29"/>
        <v>0</v>
      </c>
      <c r="I79" s="8" t="s">
        <v>994</v>
      </c>
      <c r="J79" s="9">
        <f t="shared" si="30"/>
        <v>0</v>
      </c>
      <c r="K79" s="9">
        <f t="shared" si="47"/>
        <v>0</v>
      </c>
      <c r="L79" s="9">
        <f t="shared" si="31"/>
        <v>0</v>
      </c>
      <c r="M79" s="9">
        <f t="shared" si="32"/>
        <v>0</v>
      </c>
      <c r="N79" s="9">
        <f t="shared" si="33"/>
        <v>0</v>
      </c>
      <c r="O79" s="9">
        <f t="shared" si="34"/>
        <v>0</v>
      </c>
      <c r="P79" s="9">
        <f t="shared" si="35"/>
        <v>1</v>
      </c>
      <c r="Q79" s="9">
        <f t="shared" si="36"/>
        <v>0</v>
      </c>
      <c r="R79" s="9">
        <f t="shared" si="37"/>
        <v>0</v>
      </c>
      <c r="S79" s="9">
        <f t="shared" si="38"/>
        <v>0</v>
      </c>
      <c r="T79" s="9">
        <f t="shared" si="39"/>
        <v>0</v>
      </c>
      <c r="U79" s="9">
        <f t="shared" si="40"/>
        <v>0</v>
      </c>
      <c r="V79" s="9">
        <f t="shared" si="41"/>
        <v>0</v>
      </c>
      <c r="W79" s="9">
        <f t="shared" si="42"/>
        <v>0</v>
      </c>
      <c r="X79" s="9">
        <f t="shared" si="43"/>
        <v>0</v>
      </c>
      <c r="Y79" s="9">
        <f t="shared" si="44"/>
        <v>0</v>
      </c>
      <c r="Z79" s="9">
        <f t="shared" si="45"/>
        <v>0</v>
      </c>
      <c r="AA79" s="10">
        <f t="shared" si="46"/>
        <v>0</v>
      </c>
    </row>
    <row r="80" spans="1:27" x14ac:dyDescent="0.3">
      <c r="A80" s="4" t="s">
        <v>1302</v>
      </c>
      <c r="B80" s="4">
        <f t="shared" si="24"/>
        <v>1</v>
      </c>
      <c r="C80" s="4">
        <f t="shared" si="25"/>
        <v>0</v>
      </c>
      <c r="D80" s="4">
        <f t="shared" si="26"/>
        <v>0</v>
      </c>
      <c r="E80" s="4">
        <f t="shared" si="27"/>
        <v>0</v>
      </c>
      <c r="F80" s="4">
        <f t="shared" si="28"/>
        <v>0</v>
      </c>
      <c r="G80" s="4">
        <f t="shared" si="29"/>
        <v>0</v>
      </c>
      <c r="I80" s="11" t="s">
        <v>1044</v>
      </c>
      <c r="J80" s="9">
        <f t="shared" si="30"/>
        <v>0</v>
      </c>
      <c r="K80" s="9">
        <f t="shared" si="47"/>
        <v>0</v>
      </c>
      <c r="L80" s="9">
        <f t="shared" si="31"/>
        <v>0</v>
      </c>
      <c r="M80" s="9">
        <f t="shared" si="32"/>
        <v>0</v>
      </c>
      <c r="N80" s="9">
        <f t="shared" si="33"/>
        <v>0</v>
      </c>
      <c r="O80" s="9">
        <f t="shared" si="34"/>
        <v>0</v>
      </c>
      <c r="P80" s="9">
        <f t="shared" si="35"/>
        <v>0</v>
      </c>
      <c r="Q80" s="9">
        <f t="shared" si="36"/>
        <v>0</v>
      </c>
      <c r="R80" s="9">
        <f t="shared" si="37"/>
        <v>0</v>
      </c>
      <c r="S80" s="9">
        <f t="shared" si="38"/>
        <v>0</v>
      </c>
      <c r="T80" s="9">
        <f t="shared" si="39"/>
        <v>0</v>
      </c>
      <c r="U80" s="9">
        <f t="shared" si="40"/>
        <v>1</v>
      </c>
      <c r="V80" s="9">
        <f t="shared" si="41"/>
        <v>0</v>
      </c>
      <c r="W80" s="9">
        <f t="shared" si="42"/>
        <v>0</v>
      </c>
      <c r="X80" s="9">
        <f t="shared" si="43"/>
        <v>0</v>
      </c>
      <c r="Y80" s="9">
        <f t="shared" si="44"/>
        <v>0</v>
      </c>
      <c r="Z80" s="9">
        <f t="shared" si="45"/>
        <v>0</v>
      </c>
      <c r="AA80" s="10">
        <f t="shared" si="46"/>
        <v>0</v>
      </c>
    </row>
    <row r="81" spans="1:27" x14ac:dyDescent="0.3">
      <c r="A81" s="18" t="s">
        <v>1303</v>
      </c>
      <c r="B81" s="4">
        <f t="shared" si="24"/>
        <v>0</v>
      </c>
      <c r="C81" s="4">
        <f t="shared" si="25"/>
        <v>0</v>
      </c>
      <c r="D81" s="4">
        <f t="shared" si="26"/>
        <v>0</v>
      </c>
      <c r="E81" s="4">
        <f t="shared" si="27"/>
        <v>0</v>
      </c>
      <c r="F81" s="4">
        <f t="shared" si="28"/>
        <v>1</v>
      </c>
      <c r="G81" s="4">
        <f t="shared" si="29"/>
        <v>0</v>
      </c>
      <c r="I81" s="8" t="s">
        <v>977</v>
      </c>
      <c r="J81" s="9">
        <f t="shared" si="30"/>
        <v>1</v>
      </c>
      <c r="K81" s="9">
        <f t="shared" si="47"/>
        <v>0</v>
      </c>
      <c r="L81" s="9">
        <f t="shared" si="31"/>
        <v>0</v>
      </c>
      <c r="M81" s="9">
        <f t="shared" si="32"/>
        <v>0</v>
      </c>
      <c r="N81" s="9">
        <f t="shared" si="33"/>
        <v>0</v>
      </c>
      <c r="O81" s="9">
        <f t="shared" si="34"/>
        <v>0</v>
      </c>
      <c r="P81" s="9">
        <f t="shared" si="35"/>
        <v>0</v>
      </c>
      <c r="Q81" s="9">
        <f t="shared" si="36"/>
        <v>0</v>
      </c>
      <c r="R81" s="9">
        <f t="shared" si="37"/>
        <v>0</v>
      </c>
      <c r="S81" s="9">
        <f t="shared" si="38"/>
        <v>0</v>
      </c>
      <c r="T81" s="9">
        <f t="shared" si="39"/>
        <v>0</v>
      </c>
      <c r="U81" s="9">
        <f t="shared" si="40"/>
        <v>0</v>
      </c>
      <c r="V81" s="9">
        <f t="shared" si="41"/>
        <v>0</v>
      </c>
      <c r="W81" s="9">
        <f t="shared" si="42"/>
        <v>0</v>
      </c>
      <c r="X81" s="9">
        <f t="shared" si="43"/>
        <v>0</v>
      </c>
      <c r="Y81" s="9">
        <f t="shared" si="44"/>
        <v>0</v>
      </c>
      <c r="Z81" s="9">
        <f t="shared" si="45"/>
        <v>0</v>
      </c>
      <c r="AA81" s="10">
        <f t="shared" si="46"/>
        <v>0</v>
      </c>
    </row>
    <row r="82" spans="1:27" x14ac:dyDescent="0.3">
      <c r="A82" s="4" t="s">
        <v>1303</v>
      </c>
      <c r="B82" s="4">
        <f t="shared" si="24"/>
        <v>0</v>
      </c>
      <c r="C82" s="4">
        <f t="shared" si="25"/>
        <v>0</v>
      </c>
      <c r="D82" s="4">
        <f t="shared" si="26"/>
        <v>0</v>
      </c>
      <c r="E82" s="4">
        <f t="shared" si="27"/>
        <v>0</v>
      </c>
      <c r="F82" s="4">
        <f t="shared" si="28"/>
        <v>1</v>
      </c>
      <c r="G82" s="4">
        <f t="shared" si="29"/>
        <v>0</v>
      </c>
      <c r="I82" s="11" t="s">
        <v>990</v>
      </c>
      <c r="J82" s="9">
        <f t="shared" si="30"/>
        <v>0</v>
      </c>
      <c r="K82" s="9">
        <f t="shared" si="47"/>
        <v>0</v>
      </c>
      <c r="L82" s="9">
        <f t="shared" si="31"/>
        <v>0</v>
      </c>
      <c r="M82" s="9">
        <f t="shared" si="32"/>
        <v>0</v>
      </c>
      <c r="N82" s="9">
        <f t="shared" si="33"/>
        <v>1</v>
      </c>
      <c r="O82" s="9">
        <f t="shared" si="34"/>
        <v>0</v>
      </c>
      <c r="P82" s="9">
        <f t="shared" si="35"/>
        <v>0</v>
      </c>
      <c r="Q82" s="9">
        <f t="shared" si="36"/>
        <v>0</v>
      </c>
      <c r="R82" s="9">
        <f t="shared" si="37"/>
        <v>0</v>
      </c>
      <c r="S82" s="9">
        <f t="shared" si="38"/>
        <v>0</v>
      </c>
      <c r="T82" s="9">
        <f t="shared" si="39"/>
        <v>0</v>
      </c>
      <c r="U82" s="9">
        <f t="shared" si="40"/>
        <v>0</v>
      </c>
      <c r="V82" s="9">
        <f t="shared" si="41"/>
        <v>0</v>
      </c>
      <c r="W82" s="9">
        <f t="shared" si="42"/>
        <v>0</v>
      </c>
      <c r="X82" s="9">
        <f t="shared" si="43"/>
        <v>0</v>
      </c>
      <c r="Y82" s="9">
        <f t="shared" si="44"/>
        <v>0</v>
      </c>
      <c r="Z82" s="9">
        <f t="shared" si="45"/>
        <v>0</v>
      </c>
      <c r="AA82" s="10">
        <f t="shared" si="46"/>
        <v>0</v>
      </c>
    </row>
    <row r="83" spans="1:27" x14ac:dyDescent="0.3">
      <c r="A83" s="18" t="s">
        <v>1304</v>
      </c>
      <c r="B83" s="4">
        <f t="shared" si="24"/>
        <v>0</v>
      </c>
      <c r="C83" s="4">
        <f t="shared" si="25"/>
        <v>1</v>
      </c>
      <c r="D83" s="4">
        <f t="shared" si="26"/>
        <v>0</v>
      </c>
      <c r="E83" s="4">
        <f t="shared" si="27"/>
        <v>0</v>
      </c>
      <c r="F83" s="4">
        <f t="shared" si="28"/>
        <v>0</v>
      </c>
      <c r="G83" s="4">
        <f t="shared" si="29"/>
        <v>0</v>
      </c>
      <c r="I83" s="8" t="s">
        <v>996</v>
      </c>
      <c r="J83" s="9">
        <f t="shared" si="30"/>
        <v>0</v>
      </c>
      <c r="K83" s="9">
        <f t="shared" si="47"/>
        <v>0</v>
      </c>
      <c r="L83" s="9">
        <f t="shared" si="31"/>
        <v>0</v>
      </c>
      <c r="M83" s="9">
        <f t="shared" si="32"/>
        <v>0</v>
      </c>
      <c r="N83" s="9">
        <f t="shared" si="33"/>
        <v>0</v>
      </c>
      <c r="O83" s="9">
        <f t="shared" si="34"/>
        <v>0</v>
      </c>
      <c r="P83" s="9">
        <f t="shared" si="35"/>
        <v>0</v>
      </c>
      <c r="Q83" s="9">
        <f t="shared" si="36"/>
        <v>1</v>
      </c>
      <c r="R83" s="9">
        <f t="shared" si="37"/>
        <v>0</v>
      </c>
      <c r="S83" s="9">
        <f t="shared" si="38"/>
        <v>0</v>
      </c>
      <c r="T83" s="9">
        <f t="shared" si="39"/>
        <v>0</v>
      </c>
      <c r="U83" s="9">
        <f t="shared" si="40"/>
        <v>0</v>
      </c>
      <c r="V83" s="9">
        <f t="shared" si="41"/>
        <v>0</v>
      </c>
      <c r="W83" s="9">
        <f t="shared" si="42"/>
        <v>0</v>
      </c>
      <c r="X83" s="9">
        <f t="shared" si="43"/>
        <v>0</v>
      </c>
      <c r="Y83" s="9">
        <f t="shared" si="44"/>
        <v>0</v>
      </c>
      <c r="Z83" s="9">
        <f t="shared" si="45"/>
        <v>0</v>
      </c>
      <c r="AA83" s="10">
        <f t="shared" si="46"/>
        <v>0</v>
      </c>
    </row>
    <row r="84" spans="1:27" x14ac:dyDescent="0.3">
      <c r="A84" s="4" t="s">
        <v>1302</v>
      </c>
      <c r="B84" s="4">
        <f t="shared" si="24"/>
        <v>1</v>
      </c>
      <c r="C84" s="4">
        <f t="shared" si="25"/>
        <v>0</v>
      </c>
      <c r="D84" s="4">
        <f t="shared" si="26"/>
        <v>0</v>
      </c>
      <c r="E84" s="4">
        <f t="shared" si="27"/>
        <v>0</v>
      </c>
      <c r="F84" s="4">
        <f t="shared" si="28"/>
        <v>0</v>
      </c>
      <c r="G84" s="4">
        <f t="shared" si="29"/>
        <v>0</v>
      </c>
      <c r="I84" s="11" t="s">
        <v>988</v>
      </c>
      <c r="J84" s="9">
        <f t="shared" si="30"/>
        <v>0</v>
      </c>
      <c r="K84" s="9">
        <f t="shared" si="47"/>
        <v>0</v>
      </c>
      <c r="L84" s="9">
        <f t="shared" si="31"/>
        <v>1</v>
      </c>
      <c r="M84" s="9">
        <f t="shared" si="32"/>
        <v>0</v>
      </c>
      <c r="N84" s="9">
        <f t="shared" si="33"/>
        <v>0</v>
      </c>
      <c r="O84" s="9">
        <f t="shared" si="34"/>
        <v>0</v>
      </c>
      <c r="P84" s="9">
        <f t="shared" si="35"/>
        <v>0</v>
      </c>
      <c r="Q84" s="9">
        <f t="shared" si="36"/>
        <v>0</v>
      </c>
      <c r="R84" s="9">
        <f t="shared" si="37"/>
        <v>0</v>
      </c>
      <c r="S84" s="9">
        <f t="shared" si="38"/>
        <v>0</v>
      </c>
      <c r="T84" s="9">
        <f t="shared" si="39"/>
        <v>0</v>
      </c>
      <c r="U84" s="9">
        <f t="shared" si="40"/>
        <v>0</v>
      </c>
      <c r="V84" s="9">
        <f t="shared" si="41"/>
        <v>0</v>
      </c>
      <c r="W84" s="9">
        <f t="shared" si="42"/>
        <v>0</v>
      </c>
      <c r="X84" s="9">
        <f t="shared" si="43"/>
        <v>0</v>
      </c>
      <c r="Y84" s="9">
        <f t="shared" si="44"/>
        <v>0</v>
      </c>
      <c r="Z84" s="9">
        <f t="shared" si="45"/>
        <v>0</v>
      </c>
      <c r="AA84" s="10">
        <f t="shared" si="46"/>
        <v>0</v>
      </c>
    </row>
    <row r="85" spans="1:27" x14ac:dyDescent="0.3">
      <c r="A85" s="18" t="s">
        <v>1305</v>
      </c>
      <c r="B85" s="4">
        <f t="shared" si="24"/>
        <v>0</v>
      </c>
      <c r="C85" s="4">
        <f t="shared" si="25"/>
        <v>0</v>
      </c>
      <c r="D85" s="4">
        <f t="shared" si="26"/>
        <v>0</v>
      </c>
      <c r="E85" s="4">
        <f t="shared" si="27"/>
        <v>0</v>
      </c>
      <c r="F85" s="4">
        <f t="shared" si="28"/>
        <v>0</v>
      </c>
      <c r="G85" s="4">
        <f t="shared" si="29"/>
        <v>1</v>
      </c>
      <c r="I85" s="8" t="s">
        <v>977</v>
      </c>
      <c r="J85" s="9">
        <f t="shared" si="30"/>
        <v>1</v>
      </c>
      <c r="K85" s="9">
        <f t="shared" si="47"/>
        <v>0</v>
      </c>
      <c r="L85" s="9">
        <f t="shared" si="31"/>
        <v>0</v>
      </c>
      <c r="M85" s="9">
        <f t="shared" si="32"/>
        <v>0</v>
      </c>
      <c r="N85" s="9">
        <f t="shared" si="33"/>
        <v>0</v>
      </c>
      <c r="O85" s="9">
        <f t="shared" si="34"/>
        <v>0</v>
      </c>
      <c r="P85" s="9">
        <f t="shared" si="35"/>
        <v>0</v>
      </c>
      <c r="Q85" s="9">
        <f t="shared" si="36"/>
        <v>0</v>
      </c>
      <c r="R85" s="9">
        <f t="shared" si="37"/>
        <v>0</v>
      </c>
      <c r="S85" s="9">
        <f t="shared" si="38"/>
        <v>0</v>
      </c>
      <c r="T85" s="9">
        <f t="shared" si="39"/>
        <v>0</v>
      </c>
      <c r="U85" s="9">
        <f t="shared" si="40"/>
        <v>0</v>
      </c>
      <c r="V85" s="9">
        <f t="shared" si="41"/>
        <v>0</v>
      </c>
      <c r="W85" s="9">
        <f t="shared" si="42"/>
        <v>0</v>
      </c>
      <c r="X85" s="9">
        <f t="shared" si="43"/>
        <v>0</v>
      </c>
      <c r="Y85" s="9">
        <f t="shared" si="44"/>
        <v>0</v>
      </c>
      <c r="Z85" s="9">
        <f t="shared" si="45"/>
        <v>0</v>
      </c>
      <c r="AA85" s="10">
        <f t="shared" si="46"/>
        <v>0</v>
      </c>
    </row>
    <row r="86" spans="1:27" x14ac:dyDescent="0.3">
      <c r="A86" s="4" t="s">
        <v>1303</v>
      </c>
      <c r="B86" s="4">
        <f t="shared" si="24"/>
        <v>0</v>
      </c>
      <c r="C86" s="4">
        <f t="shared" si="25"/>
        <v>0</v>
      </c>
      <c r="D86" s="4">
        <f t="shared" si="26"/>
        <v>0</v>
      </c>
      <c r="E86" s="4">
        <f t="shared" si="27"/>
        <v>0</v>
      </c>
      <c r="F86" s="4">
        <f t="shared" si="28"/>
        <v>1</v>
      </c>
      <c r="G86" s="4">
        <f t="shared" si="29"/>
        <v>0</v>
      </c>
      <c r="I86" s="11" t="s">
        <v>1067</v>
      </c>
      <c r="J86" s="9">
        <f t="shared" si="30"/>
        <v>0</v>
      </c>
      <c r="K86" s="9">
        <f t="shared" si="47"/>
        <v>0</v>
      </c>
      <c r="L86" s="9">
        <f t="shared" si="31"/>
        <v>0</v>
      </c>
      <c r="M86" s="9">
        <f t="shared" si="32"/>
        <v>1</v>
      </c>
      <c r="N86" s="9">
        <f t="shared" si="33"/>
        <v>0</v>
      </c>
      <c r="O86" s="9">
        <f t="shared" si="34"/>
        <v>0</v>
      </c>
      <c r="P86" s="9">
        <f t="shared" si="35"/>
        <v>0</v>
      </c>
      <c r="Q86" s="9">
        <f t="shared" si="36"/>
        <v>0</v>
      </c>
      <c r="R86" s="9">
        <f t="shared" si="37"/>
        <v>0</v>
      </c>
      <c r="S86" s="9">
        <f t="shared" si="38"/>
        <v>0</v>
      </c>
      <c r="T86" s="9">
        <f t="shared" si="39"/>
        <v>0</v>
      </c>
      <c r="U86" s="9">
        <f t="shared" si="40"/>
        <v>0</v>
      </c>
      <c r="V86" s="9">
        <f t="shared" si="41"/>
        <v>0</v>
      </c>
      <c r="W86" s="9">
        <f t="shared" si="42"/>
        <v>0</v>
      </c>
      <c r="X86" s="9">
        <f t="shared" si="43"/>
        <v>0</v>
      </c>
      <c r="Y86" s="9">
        <f t="shared" si="44"/>
        <v>0</v>
      </c>
      <c r="Z86" s="9">
        <f t="shared" si="45"/>
        <v>0</v>
      </c>
      <c r="AA86" s="10">
        <f t="shared" si="46"/>
        <v>0</v>
      </c>
    </row>
    <row r="87" spans="1:27" x14ac:dyDescent="0.3">
      <c r="A87" s="18" t="s">
        <v>1302</v>
      </c>
      <c r="B87" s="4">
        <f t="shared" si="24"/>
        <v>1</v>
      </c>
      <c r="C87" s="4">
        <f t="shared" si="25"/>
        <v>0</v>
      </c>
      <c r="D87" s="4">
        <f t="shared" si="26"/>
        <v>0</v>
      </c>
      <c r="E87" s="4">
        <f t="shared" si="27"/>
        <v>0</v>
      </c>
      <c r="F87" s="4">
        <f t="shared" si="28"/>
        <v>0</v>
      </c>
      <c r="G87" s="4">
        <f t="shared" si="29"/>
        <v>0</v>
      </c>
      <c r="I87" s="8" t="s">
        <v>977</v>
      </c>
      <c r="J87" s="9">
        <f t="shared" si="30"/>
        <v>1</v>
      </c>
      <c r="K87" s="9">
        <f t="shared" si="47"/>
        <v>0</v>
      </c>
      <c r="L87" s="9">
        <f t="shared" si="31"/>
        <v>0</v>
      </c>
      <c r="M87" s="9">
        <f t="shared" si="32"/>
        <v>0</v>
      </c>
      <c r="N87" s="9">
        <f t="shared" si="33"/>
        <v>0</v>
      </c>
      <c r="O87" s="9">
        <f t="shared" si="34"/>
        <v>0</v>
      </c>
      <c r="P87" s="9">
        <f t="shared" si="35"/>
        <v>0</v>
      </c>
      <c r="Q87" s="9">
        <f t="shared" si="36"/>
        <v>0</v>
      </c>
      <c r="R87" s="9">
        <f t="shared" si="37"/>
        <v>0</v>
      </c>
      <c r="S87" s="9">
        <f t="shared" si="38"/>
        <v>0</v>
      </c>
      <c r="T87" s="9">
        <f t="shared" si="39"/>
        <v>0</v>
      </c>
      <c r="U87" s="9">
        <f t="shared" si="40"/>
        <v>0</v>
      </c>
      <c r="V87" s="9">
        <f t="shared" si="41"/>
        <v>0</v>
      </c>
      <c r="W87" s="9">
        <f t="shared" si="42"/>
        <v>0</v>
      </c>
      <c r="X87" s="9">
        <f t="shared" si="43"/>
        <v>0</v>
      </c>
      <c r="Y87" s="9">
        <f t="shared" si="44"/>
        <v>0</v>
      </c>
      <c r="Z87" s="9">
        <f t="shared" si="45"/>
        <v>0</v>
      </c>
      <c r="AA87" s="10">
        <f t="shared" si="46"/>
        <v>0</v>
      </c>
    </row>
    <row r="88" spans="1:27" x14ac:dyDescent="0.3">
      <c r="A88" s="4" t="s">
        <v>1302</v>
      </c>
      <c r="B88" s="4">
        <f t="shared" si="24"/>
        <v>1</v>
      </c>
      <c r="C88" s="4">
        <f t="shared" si="25"/>
        <v>0</v>
      </c>
      <c r="D88" s="4">
        <f t="shared" si="26"/>
        <v>0</v>
      </c>
      <c r="E88" s="4">
        <f t="shared" si="27"/>
        <v>0</v>
      </c>
      <c r="F88" s="4">
        <f t="shared" si="28"/>
        <v>0</v>
      </c>
      <c r="G88" s="4">
        <f t="shared" si="29"/>
        <v>0</v>
      </c>
      <c r="I88" s="11" t="s">
        <v>992</v>
      </c>
      <c r="J88" s="9">
        <f t="shared" si="30"/>
        <v>0</v>
      </c>
      <c r="K88" s="9">
        <f t="shared" si="47"/>
        <v>0</v>
      </c>
      <c r="L88" s="9">
        <f t="shared" si="31"/>
        <v>0</v>
      </c>
      <c r="M88" s="9">
        <f t="shared" si="32"/>
        <v>0</v>
      </c>
      <c r="N88" s="9">
        <f t="shared" si="33"/>
        <v>0</v>
      </c>
      <c r="O88" s="9">
        <f t="shared" si="34"/>
        <v>1</v>
      </c>
      <c r="P88" s="9">
        <f t="shared" si="35"/>
        <v>0</v>
      </c>
      <c r="Q88" s="9">
        <f t="shared" si="36"/>
        <v>0</v>
      </c>
      <c r="R88" s="9">
        <f t="shared" si="37"/>
        <v>0</v>
      </c>
      <c r="S88" s="9">
        <f t="shared" si="38"/>
        <v>0</v>
      </c>
      <c r="T88" s="9">
        <f t="shared" si="39"/>
        <v>0</v>
      </c>
      <c r="U88" s="9">
        <f t="shared" si="40"/>
        <v>0</v>
      </c>
      <c r="V88" s="9">
        <f t="shared" si="41"/>
        <v>0</v>
      </c>
      <c r="W88" s="9">
        <f t="shared" si="42"/>
        <v>0</v>
      </c>
      <c r="X88" s="9">
        <f t="shared" si="43"/>
        <v>0</v>
      </c>
      <c r="Y88" s="9">
        <f t="shared" si="44"/>
        <v>0</v>
      </c>
      <c r="Z88" s="9">
        <f t="shared" si="45"/>
        <v>0</v>
      </c>
      <c r="AA88" s="10">
        <f t="shared" si="46"/>
        <v>0</v>
      </c>
    </row>
    <row r="89" spans="1:27" x14ac:dyDescent="0.3">
      <c r="A89" s="18" t="s">
        <v>1303</v>
      </c>
      <c r="B89" s="4">
        <f t="shared" si="24"/>
        <v>0</v>
      </c>
      <c r="C89" s="4">
        <f t="shared" si="25"/>
        <v>0</v>
      </c>
      <c r="D89" s="4">
        <f t="shared" si="26"/>
        <v>0</v>
      </c>
      <c r="E89" s="4">
        <f t="shared" si="27"/>
        <v>0</v>
      </c>
      <c r="F89" s="4">
        <f t="shared" si="28"/>
        <v>1</v>
      </c>
      <c r="G89" s="4">
        <f t="shared" si="29"/>
        <v>0</v>
      </c>
      <c r="I89" s="8" t="s">
        <v>977</v>
      </c>
      <c r="J89" s="9">
        <f t="shared" si="30"/>
        <v>1</v>
      </c>
      <c r="K89" s="9">
        <f t="shared" si="47"/>
        <v>0</v>
      </c>
      <c r="L89" s="9">
        <f t="shared" si="31"/>
        <v>0</v>
      </c>
      <c r="M89" s="9">
        <f t="shared" si="32"/>
        <v>0</v>
      </c>
      <c r="N89" s="9">
        <f t="shared" si="33"/>
        <v>0</v>
      </c>
      <c r="O89" s="9">
        <f t="shared" si="34"/>
        <v>0</v>
      </c>
      <c r="P89" s="9">
        <f t="shared" si="35"/>
        <v>0</v>
      </c>
      <c r="Q89" s="9">
        <f t="shared" si="36"/>
        <v>0</v>
      </c>
      <c r="R89" s="9">
        <f t="shared" si="37"/>
        <v>0</v>
      </c>
      <c r="S89" s="9">
        <f t="shared" si="38"/>
        <v>0</v>
      </c>
      <c r="T89" s="9">
        <f t="shared" si="39"/>
        <v>0</v>
      </c>
      <c r="U89" s="9">
        <f t="shared" si="40"/>
        <v>0</v>
      </c>
      <c r="V89" s="9">
        <f t="shared" si="41"/>
        <v>0</v>
      </c>
      <c r="W89" s="9">
        <f t="shared" si="42"/>
        <v>0</v>
      </c>
      <c r="X89" s="9">
        <f t="shared" si="43"/>
        <v>0</v>
      </c>
      <c r="Y89" s="9">
        <f t="shared" si="44"/>
        <v>0</v>
      </c>
      <c r="Z89" s="9">
        <f t="shared" si="45"/>
        <v>0</v>
      </c>
      <c r="AA89" s="10">
        <f t="shared" si="46"/>
        <v>0</v>
      </c>
    </row>
    <row r="90" spans="1:27" x14ac:dyDescent="0.3">
      <c r="A90" s="4" t="s">
        <v>1303</v>
      </c>
      <c r="B90" s="4">
        <f t="shared" si="24"/>
        <v>0</v>
      </c>
      <c r="C90" s="4">
        <f t="shared" si="25"/>
        <v>0</v>
      </c>
      <c r="D90" s="4">
        <f t="shared" si="26"/>
        <v>0</v>
      </c>
      <c r="E90" s="4">
        <f t="shared" si="27"/>
        <v>0</v>
      </c>
      <c r="F90" s="4">
        <f t="shared" si="28"/>
        <v>1</v>
      </c>
      <c r="G90" s="4">
        <f t="shared" si="29"/>
        <v>0</v>
      </c>
      <c r="I90" s="11" t="s">
        <v>988</v>
      </c>
      <c r="J90" s="9">
        <f t="shared" si="30"/>
        <v>0</v>
      </c>
      <c r="K90" s="9">
        <f t="shared" si="47"/>
        <v>0</v>
      </c>
      <c r="L90" s="9">
        <f t="shared" si="31"/>
        <v>1</v>
      </c>
      <c r="M90" s="9">
        <f t="shared" si="32"/>
        <v>0</v>
      </c>
      <c r="N90" s="9">
        <f t="shared" si="33"/>
        <v>0</v>
      </c>
      <c r="O90" s="9">
        <f t="shared" si="34"/>
        <v>0</v>
      </c>
      <c r="P90" s="9">
        <f t="shared" si="35"/>
        <v>0</v>
      </c>
      <c r="Q90" s="9">
        <f t="shared" si="36"/>
        <v>0</v>
      </c>
      <c r="R90" s="9">
        <f t="shared" si="37"/>
        <v>0</v>
      </c>
      <c r="S90" s="9">
        <f t="shared" si="38"/>
        <v>0</v>
      </c>
      <c r="T90" s="9">
        <f t="shared" si="39"/>
        <v>0</v>
      </c>
      <c r="U90" s="9">
        <f t="shared" si="40"/>
        <v>0</v>
      </c>
      <c r="V90" s="9">
        <f t="shared" si="41"/>
        <v>0</v>
      </c>
      <c r="W90" s="9">
        <f t="shared" si="42"/>
        <v>0</v>
      </c>
      <c r="X90" s="9">
        <f t="shared" si="43"/>
        <v>0</v>
      </c>
      <c r="Y90" s="9">
        <f t="shared" si="44"/>
        <v>0</v>
      </c>
      <c r="Z90" s="9">
        <f t="shared" si="45"/>
        <v>0</v>
      </c>
      <c r="AA90" s="10">
        <f t="shared" si="46"/>
        <v>0</v>
      </c>
    </row>
    <row r="91" spans="1:27" x14ac:dyDescent="0.3">
      <c r="A91" s="18" t="s">
        <v>1303</v>
      </c>
      <c r="B91" s="4">
        <f t="shared" si="24"/>
        <v>0</v>
      </c>
      <c r="C91" s="4">
        <f t="shared" si="25"/>
        <v>0</v>
      </c>
      <c r="D91" s="4">
        <f t="shared" si="26"/>
        <v>0</v>
      </c>
      <c r="E91" s="4">
        <f t="shared" si="27"/>
        <v>0</v>
      </c>
      <c r="F91" s="4">
        <f t="shared" si="28"/>
        <v>1</v>
      </c>
      <c r="G91" s="4">
        <f t="shared" si="29"/>
        <v>0</v>
      </c>
      <c r="I91" s="8" t="s">
        <v>977</v>
      </c>
      <c r="J91" s="9">
        <f t="shared" si="30"/>
        <v>1</v>
      </c>
      <c r="K91" s="9">
        <f t="shared" si="47"/>
        <v>0</v>
      </c>
      <c r="L91" s="9">
        <f t="shared" si="31"/>
        <v>0</v>
      </c>
      <c r="M91" s="9">
        <f t="shared" si="32"/>
        <v>0</v>
      </c>
      <c r="N91" s="9">
        <f t="shared" si="33"/>
        <v>0</v>
      </c>
      <c r="O91" s="9">
        <f t="shared" si="34"/>
        <v>0</v>
      </c>
      <c r="P91" s="9">
        <f t="shared" si="35"/>
        <v>0</v>
      </c>
      <c r="Q91" s="9">
        <f t="shared" si="36"/>
        <v>0</v>
      </c>
      <c r="R91" s="9">
        <f t="shared" si="37"/>
        <v>0</v>
      </c>
      <c r="S91" s="9">
        <f t="shared" si="38"/>
        <v>0</v>
      </c>
      <c r="T91" s="9">
        <f t="shared" si="39"/>
        <v>0</v>
      </c>
      <c r="U91" s="9">
        <f t="shared" si="40"/>
        <v>0</v>
      </c>
      <c r="V91" s="9">
        <f t="shared" si="41"/>
        <v>0</v>
      </c>
      <c r="W91" s="9">
        <f t="shared" si="42"/>
        <v>0</v>
      </c>
      <c r="X91" s="9">
        <f t="shared" si="43"/>
        <v>0</v>
      </c>
      <c r="Y91" s="9">
        <f t="shared" si="44"/>
        <v>0</v>
      </c>
      <c r="Z91" s="9">
        <f t="shared" si="45"/>
        <v>0</v>
      </c>
      <c r="AA91" s="10">
        <f t="shared" si="46"/>
        <v>0</v>
      </c>
    </row>
    <row r="92" spans="1:27" x14ac:dyDescent="0.3">
      <c r="A92" s="4" t="s">
        <v>1303</v>
      </c>
      <c r="B92" s="4">
        <f t="shared" si="24"/>
        <v>0</v>
      </c>
      <c r="C92" s="4">
        <f t="shared" si="25"/>
        <v>0</v>
      </c>
      <c r="D92" s="4">
        <f t="shared" si="26"/>
        <v>0</v>
      </c>
      <c r="E92" s="4">
        <f t="shared" si="27"/>
        <v>0</v>
      </c>
      <c r="F92" s="4">
        <f t="shared" si="28"/>
        <v>1</v>
      </c>
      <c r="G92" s="4">
        <f t="shared" si="29"/>
        <v>0</v>
      </c>
      <c r="I92" s="11" t="s">
        <v>1294</v>
      </c>
      <c r="J92" s="9">
        <f t="shared" si="30"/>
        <v>0</v>
      </c>
      <c r="K92" s="9">
        <f t="shared" si="47"/>
        <v>0</v>
      </c>
      <c r="L92" s="9">
        <f t="shared" si="31"/>
        <v>0</v>
      </c>
      <c r="M92" s="9">
        <f t="shared" si="32"/>
        <v>0</v>
      </c>
      <c r="N92" s="9">
        <f t="shared" si="33"/>
        <v>0</v>
      </c>
      <c r="O92" s="9">
        <f t="shared" si="34"/>
        <v>0</v>
      </c>
      <c r="P92" s="9">
        <f t="shared" si="35"/>
        <v>0</v>
      </c>
      <c r="Q92" s="9">
        <f t="shared" si="36"/>
        <v>0</v>
      </c>
      <c r="R92" s="9">
        <f t="shared" si="37"/>
        <v>0</v>
      </c>
      <c r="S92" s="9">
        <f t="shared" si="38"/>
        <v>0</v>
      </c>
      <c r="T92" s="9">
        <f t="shared" si="39"/>
        <v>0</v>
      </c>
      <c r="U92" s="9">
        <f t="shared" si="40"/>
        <v>0</v>
      </c>
      <c r="V92" s="9">
        <f t="shared" si="41"/>
        <v>0</v>
      </c>
      <c r="W92" s="9">
        <f t="shared" si="42"/>
        <v>0</v>
      </c>
      <c r="X92" s="9">
        <f t="shared" si="43"/>
        <v>0</v>
      </c>
      <c r="Y92" s="9">
        <f t="shared" si="44"/>
        <v>0</v>
      </c>
      <c r="Z92" s="9">
        <f t="shared" si="45"/>
        <v>0</v>
      </c>
      <c r="AA92" s="10">
        <f t="shared" si="46"/>
        <v>0</v>
      </c>
    </row>
    <row r="93" spans="1:27" x14ac:dyDescent="0.3">
      <c r="A93" s="18" t="s">
        <v>1303</v>
      </c>
      <c r="B93" s="4">
        <f t="shared" si="24"/>
        <v>0</v>
      </c>
      <c r="C93" s="4">
        <f t="shared" si="25"/>
        <v>0</v>
      </c>
      <c r="D93" s="4">
        <f t="shared" si="26"/>
        <v>0</v>
      </c>
      <c r="E93" s="4">
        <f t="shared" si="27"/>
        <v>0</v>
      </c>
      <c r="F93" s="4">
        <f t="shared" si="28"/>
        <v>1</v>
      </c>
      <c r="G93" s="4">
        <f t="shared" si="29"/>
        <v>0</v>
      </c>
      <c r="I93" s="8" t="s">
        <v>988</v>
      </c>
      <c r="J93" s="9">
        <f t="shared" si="30"/>
        <v>0</v>
      </c>
      <c r="K93" s="9">
        <f t="shared" si="47"/>
        <v>0</v>
      </c>
      <c r="L93" s="9">
        <f t="shared" si="31"/>
        <v>1</v>
      </c>
      <c r="M93" s="9">
        <f t="shared" si="32"/>
        <v>0</v>
      </c>
      <c r="N93" s="9">
        <f t="shared" si="33"/>
        <v>0</v>
      </c>
      <c r="O93" s="9">
        <f t="shared" si="34"/>
        <v>0</v>
      </c>
      <c r="P93" s="9">
        <f t="shared" si="35"/>
        <v>0</v>
      </c>
      <c r="Q93" s="9">
        <f t="shared" si="36"/>
        <v>0</v>
      </c>
      <c r="R93" s="9">
        <f t="shared" si="37"/>
        <v>0</v>
      </c>
      <c r="S93" s="9">
        <f t="shared" si="38"/>
        <v>0</v>
      </c>
      <c r="T93" s="9">
        <f t="shared" si="39"/>
        <v>0</v>
      </c>
      <c r="U93" s="9">
        <f t="shared" si="40"/>
        <v>0</v>
      </c>
      <c r="V93" s="9">
        <f t="shared" si="41"/>
        <v>0</v>
      </c>
      <c r="W93" s="9">
        <f t="shared" si="42"/>
        <v>0</v>
      </c>
      <c r="X93" s="9">
        <f t="shared" si="43"/>
        <v>0</v>
      </c>
      <c r="Y93" s="9">
        <f t="shared" si="44"/>
        <v>0</v>
      </c>
      <c r="Z93" s="9">
        <f t="shared" si="45"/>
        <v>0</v>
      </c>
      <c r="AA93" s="10">
        <f t="shared" si="46"/>
        <v>0</v>
      </c>
    </row>
    <row r="94" spans="1:27" x14ac:dyDescent="0.3">
      <c r="A94" s="4" t="s">
        <v>1302</v>
      </c>
      <c r="B94" s="4">
        <f t="shared" si="24"/>
        <v>1</v>
      </c>
      <c r="C94" s="4">
        <f t="shared" si="25"/>
        <v>0</v>
      </c>
      <c r="D94" s="4">
        <f t="shared" si="26"/>
        <v>0</v>
      </c>
      <c r="E94" s="4">
        <f t="shared" si="27"/>
        <v>0</v>
      </c>
      <c r="F94" s="4">
        <f t="shared" si="28"/>
        <v>0</v>
      </c>
      <c r="G94" s="4">
        <f t="shared" si="29"/>
        <v>0</v>
      </c>
      <c r="I94" s="11" t="s">
        <v>1044</v>
      </c>
      <c r="J94" s="9">
        <f t="shared" si="30"/>
        <v>0</v>
      </c>
      <c r="K94" s="9">
        <f t="shared" si="47"/>
        <v>0</v>
      </c>
      <c r="L94" s="9">
        <f t="shared" si="31"/>
        <v>0</v>
      </c>
      <c r="M94" s="9">
        <f t="shared" si="32"/>
        <v>0</v>
      </c>
      <c r="N94" s="9">
        <f t="shared" si="33"/>
        <v>0</v>
      </c>
      <c r="O94" s="9">
        <f t="shared" si="34"/>
        <v>0</v>
      </c>
      <c r="P94" s="9">
        <f t="shared" si="35"/>
        <v>0</v>
      </c>
      <c r="Q94" s="9">
        <f t="shared" si="36"/>
        <v>0</v>
      </c>
      <c r="R94" s="9">
        <f t="shared" si="37"/>
        <v>0</v>
      </c>
      <c r="S94" s="9">
        <f t="shared" si="38"/>
        <v>0</v>
      </c>
      <c r="T94" s="9">
        <f t="shared" si="39"/>
        <v>0</v>
      </c>
      <c r="U94" s="9">
        <f t="shared" si="40"/>
        <v>1</v>
      </c>
      <c r="V94" s="9">
        <f t="shared" si="41"/>
        <v>0</v>
      </c>
      <c r="W94" s="9">
        <f t="shared" si="42"/>
        <v>0</v>
      </c>
      <c r="X94" s="9">
        <f t="shared" si="43"/>
        <v>0</v>
      </c>
      <c r="Y94" s="9">
        <f t="shared" si="44"/>
        <v>0</v>
      </c>
      <c r="Z94" s="9">
        <f t="shared" si="45"/>
        <v>0</v>
      </c>
      <c r="AA94" s="10">
        <f t="shared" si="46"/>
        <v>0</v>
      </c>
    </row>
    <row r="95" spans="1:27" x14ac:dyDescent="0.3">
      <c r="A95" s="18" t="s">
        <v>1302</v>
      </c>
      <c r="B95" s="4">
        <f t="shared" si="24"/>
        <v>1</v>
      </c>
      <c r="C95" s="4">
        <f t="shared" si="25"/>
        <v>0</v>
      </c>
      <c r="D95" s="4">
        <f t="shared" si="26"/>
        <v>0</v>
      </c>
      <c r="E95" s="4">
        <f t="shared" si="27"/>
        <v>0</v>
      </c>
      <c r="F95" s="4">
        <f t="shared" si="28"/>
        <v>0</v>
      </c>
      <c r="G95" s="4">
        <f t="shared" si="29"/>
        <v>0</v>
      </c>
      <c r="I95" s="8" t="s">
        <v>994</v>
      </c>
      <c r="J95" s="9">
        <f t="shared" si="30"/>
        <v>0</v>
      </c>
      <c r="K95" s="9">
        <f t="shared" si="47"/>
        <v>0</v>
      </c>
      <c r="L95" s="9">
        <f t="shared" si="31"/>
        <v>0</v>
      </c>
      <c r="M95" s="9">
        <f t="shared" si="32"/>
        <v>0</v>
      </c>
      <c r="N95" s="9">
        <f t="shared" si="33"/>
        <v>0</v>
      </c>
      <c r="O95" s="9">
        <f t="shared" si="34"/>
        <v>0</v>
      </c>
      <c r="P95" s="9">
        <f t="shared" si="35"/>
        <v>1</v>
      </c>
      <c r="Q95" s="9">
        <f t="shared" si="36"/>
        <v>0</v>
      </c>
      <c r="R95" s="9">
        <f t="shared" si="37"/>
        <v>0</v>
      </c>
      <c r="S95" s="9">
        <f t="shared" si="38"/>
        <v>0</v>
      </c>
      <c r="T95" s="9">
        <f t="shared" si="39"/>
        <v>0</v>
      </c>
      <c r="U95" s="9">
        <f t="shared" si="40"/>
        <v>0</v>
      </c>
      <c r="V95" s="9">
        <f t="shared" si="41"/>
        <v>0</v>
      </c>
      <c r="W95" s="9">
        <f t="shared" si="42"/>
        <v>0</v>
      </c>
      <c r="X95" s="9">
        <f t="shared" si="43"/>
        <v>0</v>
      </c>
      <c r="Y95" s="9">
        <f t="shared" si="44"/>
        <v>0</v>
      </c>
      <c r="Z95" s="9">
        <f t="shared" si="45"/>
        <v>0</v>
      </c>
      <c r="AA95" s="10">
        <f t="shared" si="46"/>
        <v>0</v>
      </c>
    </row>
    <row r="96" spans="1:27" x14ac:dyDescent="0.3">
      <c r="A96" s="4" t="s">
        <v>1305</v>
      </c>
      <c r="B96" s="4">
        <f t="shared" si="24"/>
        <v>0</v>
      </c>
      <c r="C96" s="4">
        <f t="shared" si="25"/>
        <v>0</v>
      </c>
      <c r="D96" s="4">
        <f t="shared" si="26"/>
        <v>0</v>
      </c>
      <c r="E96" s="4">
        <f t="shared" si="27"/>
        <v>0</v>
      </c>
      <c r="F96" s="4">
        <f t="shared" si="28"/>
        <v>0</v>
      </c>
      <c r="G96" s="4">
        <f t="shared" si="29"/>
        <v>1</v>
      </c>
      <c r="I96" s="11" t="s">
        <v>994</v>
      </c>
      <c r="J96" s="9">
        <f t="shared" si="30"/>
        <v>0</v>
      </c>
      <c r="K96" s="9">
        <f t="shared" si="47"/>
        <v>0</v>
      </c>
      <c r="L96" s="9">
        <f t="shared" si="31"/>
        <v>0</v>
      </c>
      <c r="M96" s="9">
        <f t="shared" si="32"/>
        <v>0</v>
      </c>
      <c r="N96" s="9">
        <f t="shared" si="33"/>
        <v>0</v>
      </c>
      <c r="O96" s="9">
        <f t="shared" si="34"/>
        <v>0</v>
      </c>
      <c r="P96" s="9">
        <f t="shared" si="35"/>
        <v>1</v>
      </c>
      <c r="Q96" s="9">
        <f t="shared" si="36"/>
        <v>0</v>
      </c>
      <c r="R96" s="9">
        <f t="shared" si="37"/>
        <v>0</v>
      </c>
      <c r="S96" s="9">
        <f t="shared" si="38"/>
        <v>0</v>
      </c>
      <c r="T96" s="9">
        <f t="shared" si="39"/>
        <v>0</v>
      </c>
      <c r="U96" s="9">
        <f t="shared" si="40"/>
        <v>0</v>
      </c>
      <c r="V96" s="9">
        <f t="shared" si="41"/>
        <v>0</v>
      </c>
      <c r="W96" s="9">
        <f t="shared" si="42"/>
        <v>0</v>
      </c>
      <c r="X96" s="9">
        <f t="shared" si="43"/>
        <v>0</v>
      </c>
      <c r="Y96" s="9">
        <f t="shared" si="44"/>
        <v>0</v>
      </c>
      <c r="Z96" s="9">
        <f t="shared" si="45"/>
        <v>0</v>
      </c>
      <c r="AA96" s="10">
        <f t="shared" si="46"/>
        <v>0</v>
      </c>
    </row>
    <row r="97" spans="1:27" x14ac:dyDescent="0.3">
      <c r="A97" s="18" t="s">
        <v>1303</v>
      </c>
      <c r="B97" s="4">
        <f t="shared" si="24"/>
        <v>0</v>
      </c>
      <c r="C97" s="4">
        <f t="shared" si="25"/>
        <v>0</v>
      </c>
      <c r="D97" s="4">
        <f t="shared" si="26"/>
        <v>0</v>
      </c>
      <c r="E97" s="4">
        <f t="shared" si="27"/>
        <v>0</v>
      </c>
      <c r="F97" s="4">
        <f t="shared" si="28"/>
        <v>1</v>
      </c>
      <c r="G97" s="4">
        <f t="shared" si="29"/>
        <v>0</v>
      </c>
      <c r="I97" s="8" t="s">
        <v>977</v>
      </c>
      <c r="J97" s="9">
        <f t="shared" si="30"/>
        <v>1</v>
      </c>
      <c r="K97" s="9">
        <f t="shared" si="47"/>
        <v>0</v>
      </c>
      <c r="L97" s="9">
        <f t="shared" si="31"/>
        <v>0</v>
      </c>
      <c r="M97" s="9">
        <f t="shared" si="32"/>
        <v>0</v>
      </c>
      <c r="N97" s="9">
        <f t="shared" si="33"/>
        <v>0</v>
      </c>
      <c r="O97" s="9">
        <f t="shared" si="34"/>
        <v>0</v>
      </c>
      <c r="P97" s="9">
        <f t="shared" si="35"/>
        <v>0</v>
      </c>
      <c r="Q97" s="9">
        <f t="shared" si="36"/>
        <v>0</v>
      </c>
      <c r="R97" s="9">
        <f t="shared" si="37"/>
        <v>0</v>
      </c>
      <c r="S97" s="9">
        <f t="shared" si="38"/>
        <v>0</v>
      </c>
      <c r="T97" s="9">
        <f t="shared" si="39"/>
        <v>0</v>
      </c>
      <c r="U97" s="9">
        <f t="shared" si="40"/>
        <v>0</v>
      </c>
      <c r="V97" s="9">
        <f t="shared" si="41"/>
        <v>0</v>
      </c>
      <c r="W97" s="9">
        <f t="shared" si="42"/>
        <v>0</v>
      </c>
      <c r="X97" s="9">
        <f t="shared" si="43"/>
        <v>0</v>
      </c>
      <c r="Y97" s="9">
        <f t="shared" si="44"/>
        <v>0</v>
      </c>
      <c r="Z97" s="9">
        <f t="shared" si="45"/>
        <v>0</v>
      </c>
      <c r="AA97" s="10">
        <f t="shared" si="46"/>
        <v>0</v>
      </c>
    </row>
    <row r="98" spans="1:27" x14ac:dyDescent="0.3">
      <c r="A98" s="4" t="s">
        <v>1302</v>
      </c>
      <c r="B98" s="4">
        <f t="shared" si="24"/>
        <v>1</v>
      </c>
      <c r="C98" s="4">
        <f t="shared" si="25"/>
        <v>0</v>
      </c>
      <c r="D98" s="4">
        <f t="shared" si="26"/>
        <v>0</v>
      </c>
      <c r="E98" s="4">
        <f t="shared" si="27"/>
        <v>0</v>
      </c>
      <c r="F98" s="4">
        <f t="shared" si="28"/>
        <v>0</v>
      </c>
      <c r="G98" s="4">
        <f t="shared" si="29"/>
        <v>0</v>
      </c>
      <c r="I98" s="11" t="s">
        <v>1057</v>
      </c>
      <c r="J98" s="9">
        <f t="shared" si="30"/>
        <v>0</v>
      </c>
      <c r="K98" s="9">
        <f t="shared" si="47"/>
        <v>0</v>
      </c>
      <c r="L98" s="9">
        <f t="shared" si="31"/>
        <v>0</v>
      </c>
      <c r="M98" s="9">
        <f t="shared" si="32"/>
        <v>0</v>
      </c>
      <c r="N98" s="9">
        <f t="shared" si="33"/>
        <v>0</v>
      </c>
      <c r="O98" s="9">
        <f t="shared" si="34"/>
        <v>0</v>
      </c>
      <c r="P98" s="9">
        <f t="shared" si="35"/>
        <v>0</v>
      </c>
      <c r="Q98" s="9">
        <f t="shared" si="36"/>
        <v>0</v>
      </c>
      <c r="R98" s="9">
        <f t="shared" si="37"/>
        <v>0</v>
      </c>
      <c r="S98" s="9">
        <f t="shared" si="38"/>
        <v>0</v>
      </c>
      <c r="T98" s="9">
        <f t="shared" si="39"/>
        <v>0</v>
      </c>
      <c r="U98" s="9">
        <f t="shared" si="40"/>
        <v>0</v>
      </c>
      <c r="V98" s="9">
        <f t="shared" si="41"/>
        <v>1</v>
      </c>
      <c r="W98" s="9">
        <f t="shared" si="42"/>
        <v>0</v>
      </c>
      <c r="X98" s="9">
        <f t="shared" si="43"/>
        <v>0</v>
      </c>
      <c r="Y98" s="9">
        <f t="shared" si="44"/>
        <v>0</v>
      </c>
      <c r="Z98" s="9">
        <f t="shared" si="45"/>
        <v>0</v>
      </c>
      <c r="AA98" s="10">
        <f t="shared" si="46"/>
        <v>0</v>
      </c>
    </row>
    <row r="99" spans="1:27" x14ac:dyDescent="0.3">
      <c r="A99" s="18" t="s">
        <v>1303</v>
      </c>
      <c r="B99" s="4">
        <f t="shared" si="24"/>
        <v>0</v>
      </c>
      <c r="C99" s="4">
        <f t="shared" si="25"/>
        <v>0</v>
      </c>
      <c r="D99" s="4">
        <f t="shared" si="26"/>
        <v>0</v>
      </c>
      <c r="E99" s="4">
        <f t="shared" si="27"/>
        <v>0</v>
      </c>
      <c r="F99" s="4">
        <f t="shared" si="28"/>
        <v>1</v>
      </c>
      <c r="G99" s="4">
        <f t="shared" si="29"/>
        <v>0</v>
      </c>
      <c r="I99" s="8" t="s">
        <v>977</v>
      </c>
      <c r="J99" s="9">
        <f t="shared" si="30"/>
        <v>1</v>
      </c>
      <c r="K99" s="9">
        <f t="shared" si="47"/>
        <v>0</v>
      </c>
      <c r="L99" s="9">
        <f t="shared" si="31"/>
        <v>0</v>
      </c>
      <c r="M99" s="9">
        <f t="shared" si="32"/>
        <v>0</v>
      </c>
      <c r="N99" s="9">
        <f t="shared" si="33"/>
        <v>0</v>
      </c>
      <c r="O99" s="9">
        <f t="shared" si="34"/>
        <v>0</v>
      </c>
      <c r="P99" s="9">
        <f t="shared" si="35"/>
        <v>0</v>
      </c>
      <c r="Q99" s="9">
        <f t="shared" si="36"/>
        <v>0</v>
      </c>
      <c r="R99" s="9">
        <f t="shared" si="37"/>
        <v>0</v>
      </c>
      <c r="S99" s="9">
        <f t="shared" si="38"/>
        <v>0</v>
      </c>
      <c r="T99" s="9">
        <f t="shared" si="39"/>
        <v>0</v>
      </c>
      <c r="U99" s="9">
        <f t="shared" si="40"/>
        <v>0</v>
      </c>
      <c r="V99" s="9">
        <f t="shared" si="41"/>
        <v>0</v>
      </c>
      <c r="W99" s="9">
        <f t="shared" si="42"/>
        <v>0</v>
      </c>
      <c r="X99" s="9">
        <f t="shared" si="43"/>
        <v>0</v>
      </c>
      <c r="Y99" s="9">
        <f t="shared" si="44"/>
        <v>0</v>
      </c>
      <c r="Z99" s="9">
        <f t="shared" si="45"/>
        <v>0</v>
      </c>
      <c r="AA99" s="10">
        <f t="shared" si="46"/>
        <v>0</v>
      </c>
    </row>
    <row r="100" spans="1:27" x14ac:dyDescent="0.3">
      <c r="A100" s="4" t="s">
        <v>1294</v>
      </c>
      <c r="B100" s="4">
        <f t="shared" si="24"/>
        <v>0</v>
      </c>
      <c r="C100" s="4">
        <f t="shared" si="25"/>
        <v>0</v>
      </c>
      <c r="D100" s="4">
        <f t="shared" si="26"/>
        <v>0</v>
      </c>
      <c r="E100" s="4">
        <f t="shared" si="27"/>
        <v>0</v>
      </c>
      <c r="F100" s="4">
        <f t="shared" si="28"/>
        <v>0</v>
      </c>
      <c r="G100" s="4">
        <f t="shared" si="29"/>
        <v>0</v>
      </c>
      <c r="I100" s="11" t="s">
        <v>982</v>
      </c>
      <c r="J100" s="9">
        <f t="shared" si="30"/>
        <v>0</v>
      </c>
      <c r="K100" s="9">
        <f t="shared" si="47"/>
        <v>1</v>
      </c>
      <c r="L100" s="9">
        <f t="shared" si="31"/>
        <v>0</v>
      </c>
      <c r="M100" s="9">
        <f t="shared" si="32"/>
        <v>0</v>
      </c>
      <c r="N100" s="9">
        <f t="shared" si="33"/>
        <v>0</v>
      </c>
      <c r="O100" s="9">
        <f t="shared" si="34"/>
        <v>0</v>
      </c>
      <c r="P100" s="9">
        <f t="shared" si="35"/>
        <v>0</v>
      </c>
      <c r="Q100" s="9">
        <f t="shared" si="36"/>
        <v>0</v>
      </c>
      <c r="R100" s="9">
        <f t="shared" si="37"/>
        <v>0</v>
      </c>
      <c r="S100" s="9">
        <f t="shared" si="38"/>
        <v>0</v>
      </c>
      <c r="T100" s="9">
        <f t="shared" si="39"/>
        <v>0</v>
      </c>
      <c r="U100" s="9">
        <f t="shared" si="40"/>
        <v>0</v>
      </c>
      <c r="V100" s="9">
        <f t="shared" si="41"/>
        <v>0</v>
      </c>
      <c r="W100" s="9">
        <f t="shared" si="42"/>
        <v>0</v>
      </c>
      <c r="X100" s="9">
        <f t="shared" si="43"/>
        <v>0</v>
      </c>
      <c r="Y100" s="9">
        <f t="shared" si="44"/>
        <v>0</v>
      </c>
      <c r="Z100" s="9">
        <f t="shared" si="45"/>
        <v>0</v>
      </c>
      <c r="AA100" s="10">
        <f t="shared" si="46"/>
        <v>0</v>
      </c>
    </row>
    <row r="101" spans="1:27" x14ac:dyDescent="0.3">
      <c r="A101" s="18" t="s">
        <v>1294</v>
      </c>
      <c r="B101" s="4">
        <f t="shared" si="24"/>
        <v>0</v>
      </c>
      <c r="C101" s="4">
        <f t="shared" si="25"/>
        <v>0</v>
      </c>
      <c r="D101" s="4">
        <f t="shared" si="26"/>
        <v>0</v>
      </c>
      <c r="E101" s="4">
        <f t="shared" si="27"/>
        <v>0</v>
      </c>
      <c r="F101" s="4">
        <f t="shared" si="28"/>
        <v>0</v>
      </c>
      <c r="G101" s="4">
        <f t="shared" si="29"/>
        <v>0</v>
      </c>
      <c r="I101" s="8" t="s">
        <v>1294</v>
      </c>
      <c r="J101" s="9">
        <f t="shared" si="30"/>
        <v>0</v>
      </c>
      <c r="K101" s="9">
        <f t="shared" si="47"/>
        <v>0</v>
      </c>
      <c r="L101" s="9">
        <f t="shared" si="31"/>
        <v>0</v>
      </c>
      <c r="M101" s="9">
        <f t="shared" si="32"/>
        <v>0</v>
      </c>
      <c r="N101" s="9">
        <f t="shared" si="33"/>
        <v>0</v>
      </c>
      <c r="O101" s="9">
        <f t="shared" si="34"/>
        <v>0</v>
      </c>
      <c r="P101" s="9">
        <f t="shared" si="35"/>
        <v>0</v>
      </c>
      <c r="Q101" s="9">
        <f t="shared" si="36"/>
        <v>0</v>
      </c>
      <c r="R101" s="9">
        <f t="shared" si="37"/>
        <v>0</v>
      </c>
      <c r="S101" s="9">
        <f t="shared" si="38"/>
        <v>0</v>
      </c>
      <c r="T101" s="9">
        <f t="shared" si="39"/>
        <v>0</v>
      </c>
      <c r="U101" s="9">
        <f t="shared" si="40"/>
        <v>0</v>
      </c>
      <c r="V101" s="9">
        <f t="shared" si="41"/>
        <v>0</v>
      </c>
      <c r="W101" s="9">
        <f t="shared" si="42"/>
        <v>0</v>
      </c>
      <c r="X101" s="9">
        <f t="shared" si="43"/>
        <v>0</v>
      </c>
      <c r="Y101" s="9">
        <f t="shared" si="44"/>
        <v>0</v>
      </c>
      <c r="Z101" s="9">
        <f t="shared" si="45"/>
        <v>0</v>
      </c>
      <c r="AA101" s="10">
        <f t="shared" si="46"/>
        <v>0</v>
      </c>
    </row>
    <row r="102" spans="1:27" x14ac:dyDescent="0.3">
      <c r="A102" s="4" t="s">
        <v>1303</v>
      </c>
      <c r="B102" s="4">
        <f t="shared" si="24"/>
        <v>0</v>
      </c>
      <c r="C102" s="4">
        <f t="shared" si="25"/>
        <v>0</v>
      </c>
      <c r="D102" s="4">
        <f t="shared" si="26"/>
        <v>0</v>
      </c>
      <c r="E102" s="4">
        <f t="shared" si="27"/>
        <v>0</v>
      </c>
      <c r="F102" s="4">
        <f t="shared" si="28"/>
        <v>1</v>
      </c>
      <c r="G102" s="4">
        <f t="shared" si="29"/>
        <v>0</v>
      </c>
      <c r="I102" s="11" t="s">
        <v>1026</v>
      </c>
      <c r="J102" s="9">
        <f t="shared" si="30"/>
        <v>0</v>
      </c>
      <c r="K102" s="9">
        <f t="shared" si="47"/>
        <v>0</v>
      </c>
      <c r="L102" s="9">
        <f t="shared" si="31"/>
        <v>0</v>
      </c>
      <c r="M102" s="9">
        <f t="shared" si="32"/>
        <v>0</v>
      </c>
      <c r="N102" s="9">
        <f t="shared" si="33"/>
        <v>0</v>
      </c>
      <c r="O102" s="9">
        <f t="shared" si="34"/>
        <v>0</v>
      </c>
      <c r="P102" s="9">
        <f t="shared" si="35"/>
        <v>0</v>
      </c>
      <c r="Q102" s="9">
        <f t="shared" si="36"/>
        <v>0</v>
      </c>
      <c r="R102" s="9">
        <f t="shared" si="37"/>
        <v>0</v>
      </c>
      <c r="S102" s="9">
        <f t="shared" si="38"/>
        <v>0</v>
      </c>
      <c r="T102" s="9">
        <f t="shared" si="39"/>
        <v>1</v>
      </c>
      <c r="U102" s="9">
        <f t="shared" si="40"/>
        <v>0</v>
      </c>
      <c r="V102" s="9">
        <f t="shared" si="41"/>
        <v>0</v>
      </c>
      <c r="W102" s="9">
        <f t="shared" si="42"/>
        <v>0</v>
      </c>
      <c r="X102" s="9">
        <f t="shared" si="43"/>
        <v>0</v>
      </c>
      <c r="Y102" s="9">
        <f t="shared" si="44"/>
        <v>0</v>
      </c>
      <c r="Z102" s="9">
        <f t="shared" si="45"/>
        <v>0</v>
      </c>
      <c r="AA102" s="10">
        <f t="shared" si="46"/>
        <v>0</v>
      </c>
    </row>
    <row r="103" spans="1:27" x14ac:dyDescent="0.3">
      <c r="A103" s="18" t="s">
        <v>1294</v>
      </c>
      <c r="B103" s="4">
        <f t="shared" si="24"/>
        <v>0</v>
      </c>
      <c r="C103" s="4">
        <f t="shared" si="25"/>
        <v>0</v>
      </c>
      <c r="D103" s="4">
        <f t="shared" si="26"/>
        <v>0</v>
      </c>
      <c r="E103" s="4">
        <f t="shared" si="27"/>
        <v>0</v>
      </c>
      <c r="F103" s="4">
        <f t="shared" si="28"/>
        <v>0</v>
      </c>
      <c r="G103" s="4">
        <f t="shared" si="29"/>
        <v>0</v>
      </c>
      <c r="I103" s="8" t="s">
        <v>977</v>
      </c>
      <c r="J103" s="9">
        <f t="shared" si="30"/>
        <v>1</v>
      </c>
      <c r="K103" s="9">
        <f t="shared" si="47"/>
        <v>0</v>
      </c>
      <c r="L103" s="9">
        <f t="shared" si="31"/>
        <v>0</v>
      </c>
      <c r="M103" s="9">
        <f t="shared" si="32"/>
        <v>0</v>
      </c>
      <c r="N103" s="9">
        <f t="shared" si="33"/>
        <v>0</v>
      </c>
      <c r="O103" s="9">
        <f t="shared" si="34"/>
        <v>0</v>
      </c>
      <c r="P103" s="9">
        <f t="shared" si="35"/>
        <v>0</v>
      </c>
      <c r="Q103" s="9">
        <f t="shared" si="36"/>
        <v>0</v>
      </c>
      <c r="R103" s="9">
        <f t="shared" si="37"/>
        <v>0</v>
      </c>
      <c r="S103" s="9">
        <f t="shared" si="38"/>
        <v>0</v>
      </c>
      <c r="T103" s="9">
        <f t="shared" si="39"/>
        <v>0</v>
      </c>
      <c r="U103" s="9">
        <f t="shared" si="40"/>
        <v>0</v>
      </c>
      <c r="V103" s="9">
        <f t="shared" si="41"/>
        <v>0</v>
      </c>
      <c r="W103" s="9">
        <f t="shared" si="42"/>
        <v>0</v>
      </c>
      <c r="X103" s="9">
        <f t="shared" si="43"/>
        <v>0</v>
      </c>
      <c r="Y103" s="9">
        <f t="shared" si="44"/>
        <v>0</v>
      </c>
      <c r="Z103" s="9">
        <f t="shared" si="45"/>
        <v>0</v>
      </c>
      <c r="AA103" s="10">
        <f t="shared" si="46"/>
        <v>0</v>
      </c>
    </row>
    <row r="104" spans="1:27" x14ac:dyDescent="0.3">
      <c r="A104" s="4" t="s">
        <v>1294</v>
      </c>
      <c r="B104" s="4">
        <f t="shared" si="24"/>
        <v>0</v>
      </c>
      <c r="C104" s="4">
        <f t="shared" si="25"/>
        <v>0</v>
      </c>
      <c r="D104" s="4">
        <f t="shared" si="26"/>
        <v>0</v>
      </c>
      <c r="E104" s="4">
        <f t="shared" si="27"/>
        <v>0</v>
      </c>
      <c r="F104" s="4">
        <f t="shared" si="28"/>
        <v>0</v>
      </c>
      <c r="G104" s="4">
        <f t="shared" si="29"/>
        <v>0</v>
      </c>
      <c r="I104" s="11" t="s">
        <v>996</v>
      </c>
      <c r="J104" s="9">
        <f t="shared" si="30"/>
        <v>0</v>
      </c>
      <c r="K104" s="9">
        <f t="shared" si="47"/>
        <v>0</v>
      </c>
      <c r="L104" s="9">
        <f t="shared" si="31"/>
        <v>0</v>
      </c>
      <c r="M104" s="9">
        <f t="shared" si="32"/>
        <v>0</v>
      </c>
      <c r="N104" s="9">
        <f t="shared" si="33"/>
        <v>0</v>
      </c>
      <c r="O104" s="9">
        <f t="shared" si="34"/>
        <v>0</v>
      </c>
      <c r="P104" s="9">
        <f t="shared" si="35"/>
        <v>0</v>
      </c>
      <c r="Q104" s="9">
        <f t="shared" si="36"/>
        <v>1</v>
      </c>
      <c r="R104" s="9">
        <f t="shared" si="37"/>
        <v>0</v>
      </c>
      <c r="S104" s="9">
        <f t="shared" si="38"/>
        <v>0</v>
      </c>
      <c r="T104" s="9">
        <f t="shared" si="39"/>
        <v>0</v>
      </c>
      <c r="U104" s="9">
        <f t="shared" si="40"/>
        <v>0</v>
      </c>
      <c r="V104" s="9">
        <f t="shared" si="41"/>
        <v>0</v>
      </c>
      <c r="W104" s="9">
        <f t="shared" si="42"/>
        <v>0</v>
      </c>
      <c r="X104" s="9">
        <f t="shared" si="43"/>
        <v>0</v>
      </c>
      <c r="Y104" s="9">
        <f t="shared" si="44"/>
        <v>0</v>
      </c>
      <c r="Z104" s="9">
        <f t="shared" si="45"/>
        <v>0</v>
      </c>
      <c r="AA104" s="10">
        <f t="shared" si="46"/>
        <v>0</v>
      </c>
    </row>
    <row r="105" spans="1:27" x14ac:dyDescent="0.3">
      <c r="A105" s="18" t="s">
        <v>1305</v>
      </c>
      <c r="B105" s="4">
        <f t="shared" si="24"/>
        <v>0</v>
      </c>
      <c r="C105" s="4">
        <f t="shared" si="25"/>
        <v>0</v>
      </c>
      <c r="D105" s="4">
        <f t="shared" si="26"/>
        <v>0</v>
      </c>
      <c r="E105" s="4">
        <f t="shared" si="27"/>
        <v>0</v>
      </c>
      <c r="F105" s="4">
        <f t="shared" si="28"/>
        <v>0</v>
      </c>
      <c r="G105" s="4">
        <f t="shared" si="29"/>
        <v>1</v>
      </c>
      <c r="I105" s="8" t="s">
        <v>977</v>
      </c>
      <c r="J105" s="9">
        <f t="shared" si="30"/>
        <v>1</v>
      </c>
      <c r="K105" s="9">
        <f t="shared" si="47"/>
        <v>0</v>
      </c>
      <c r="L105" s="9">
        <f t="shared" si="31"/>
        <v>0</v>
      </c>
      <c r="M105" s="9">
        <f t="shared" si="32"/>
        <v>0</v>
      </c>
      <c r="N105" s="9">
        <f t="shared" si="33"/>
        <v>0</v>
      </c>
      <c r="O105" s="9">
        <f t="shared" si="34"/>
        <v>0</v>
      </c>
      <c r="P105" s="9">
        <f t="shared" si="35"/>
        <v>0</v>
      </c>
      <c r="Q105" s="9">
        <f t="shared" si="36"/>
        <v>0</v>
      </c>
      <c r="R105" s="9">
        <f t="shared" si="37"/>
        <v>0</v>
      </c>
      <c r="S105" s="9">
        <f t="shared" si="38"/>
        <v>0</v>
      </c>
      <c r="T105" s="9">
        <f t="shared" si="39"/>
        <v>0</v>
      </c>
      <c r="U105" s="9">
        <f t="shared" si="40"/>
        <v>0</v>
      </c>
      <c r="V105" s="9">
        <f t="shared" si="41"/>
        <v>0</v>
      </c>
      <c r="W105" s="9">
        <f t="shared" si="42"/>
        <v>0</v>
      </c>
      <c r="X105" s="9">
        <f t="shared" si="43"/>
        <v>0</v>
      </c>
      <c r="Y105" s="9">
        <f t="shared" si="44"/>
        <v>0</v>
      </c>
      <c r="Z105" s="9">
        <f t="shared" si="45"/>
        <v>0</v>
      </c>
      <c r="AA105" s="10">
        <f t="shared" si="46"/>
        <v>0</v>
      </c>
    </row>
    <row r="106" spans="1:27" x14ac:dyDescent="0.3">
      <c r="A106" s="4" t="s">
        <v>1302</v>
      </c>
      <c r="B106" s="4">
        <f t="shared" si="24"/>
        <v>1</v>
      </c>
      <c r="C106" s="4">
        <f t="shared" si="25"/>
        <v>0</v>
      </c>
      <c r="D106" s="4">
        <f t="shared" si="26"/>
        <v>0</v>
      </c>
      <c r="E106" s="4">
        <f t="shared" si="27"/>
        <v>0</v>
      </c>
      <c r="F106" s="4">
        <f t="shared" si="28"/>
        <v>0</v>
      </c>
      <c r="G106" s="4">
        <f t="shared" si="29"/>
        <v>0</v>
      </c>
      <c r="I106" s="11" t="s">
        <v>988</v>
      </c>
      <c r="J106" s="9">
        <f t="shared" si="30"/>
        <v>0</v>
      </c>
      <c r="K106" s="9">
        <f t="shared" si="47"/>
        <v>0</v>
      </c>
      <c r="L106" s="9">
        <f t="shared" si="31"/>
        <v>1</v>
      </c>
      <c r="M106" s="9">
        <f t="shared" si="32"/>
        <v>0</v>
      </c>
      <c r="N106" s="9">
        <f t="shared" si="33"/>
        <v>0</v>
      </c>
      <c r="O106" s="9">
        <f t="shared" si="34"/>
        <v>0</v>
      </c>
      <c r="P106" s="9">
        <f t="shared" si="35"/>
        <v>0</v>
      </c>
      <c r="Q106" s="9">
        <f t="shared" si="36"/>
        <v>0</v>
      </c>
      <c r="R106" s="9">
        <f t="shared" si="37"/>
        <v>0</v>
      </c>
      <c r="S106" s="9">
        <f t="shared" si="38"/>
        <v>0</v>
      </c>
      <c r="T106" s="9">
        <f t="shared" si="39"/>
        <v>0</v>
      </c>
      <c r="U106" s="9">
        <f t="shared" si="40"/>
        <v>0</v>
      </c>
      <c r="V106" s="9">
        <f t="shared" si="41"/>
        <v>0</v>
      </c>
      <c r="W106" s="9">
        <f t="shared" si="42"/>
        <v>0</v>
      </c>
      <c r="X106" s="9">
        <f t="shared" si="43"/>
        <v>0</v>
      </c>
      <c r="Y106" s="9">
        <f t="shared" si="44"/>
        <v>0</v>
      </c>
      <c r="Z106" s="9">
        <f t="shared" si="45"/>
        <v>0</v>
      </c>
      <c r="AA106" s="10">
        <f t="shared" si="46"/>
        <v>0</v>
      </c>
    </row>
    <row r="107" spans="1:27" x14ac:dyDescent="0.3">
      <c r="A107" s="18" t="s">
        <v>1302</v>
      </c>
      <c r="B107" s="4">
        <f t="shared" si="24"/>
        <v>1</v>
      </c>
      <c r="C107" s="4">
        <f t="shared" si="25"/>
        <v>0</v>
      </c>
      <c r="D107" s="4">
        <f t="shared" si="26"/>
        <v>0</v>
      </c>
      <c r="E107" s="4">
        <f t="shared" si="27"/>
        <v>0</v>
      </c>
      <c r="F107" s="4">
        <f t="shared" si="28"/>
        <v>0</v>
      </c>
      <c r="G107" s="4">
        <f t="shared" si="29"/>
        <v>0</v>
      </c>
      <c r="I107" s="8" t="s">
        <v>1026</v>
      </c>
      <c r="J107" s="9">
        <f t="shared" si="30"/>
        <v>0</v>
      </c>
      <c r="K107" s="9">
        <f t="shared" si="47"/>
        <v>0</v>
      </c>
      <c r="L107" s="9">
        <f t="shared" si="31"/>
        <v>0</v>
      </c>
      <c r="M107" s="9">
        <f t="shared" si="32"/>
        <v>0</v>
      </c>
      <c r="N107" s="9">
        <f t="shared" si="33"/>
        <v>0</v>
      </c>
      <c r="O107" s="9">
        <f t="shared" si="34"/>
        <v>0</v>
      </c>
      <c r="P107" s="9">
        <f t="shared" si="35"/>
        <v>0</v>
      </c>
      <c r="Q107" s="9">
        <f t="shared" si="36"/>
        <v>0</v>
      </c>
      <c r="R107" s="9">
        <f t="shared" si="37"/>
        <v>0</v>
      </c>
      <c r="S107" s="9">
        <f t="shared" si="38"/>
        <v>0</v>
      </c>
      <c r="T107" s="9">
        <f t="shared" si="39"/>
        <v>1</v>
      </c>
      <c r="U107" s="9">
        <f t="shared" si="40"/>
        <v>0</v>
      </c>
      <c r="V107" s="9">
        <f t="shared" si="41"/>
        <v>0</v>
      </c>
      <c r="W107" s="9">
        <f t="shared" si="42"/>
        <v>0</v>
      </c>
      <c r="X107" s="9">
        <f t="shared" si="43"/>
        <v>0</v>
      </c>
      <c r="Y107" s="9">
        <f t="shared" si="44"/>
        <v>0</v>
      </c>
      <c r="Z107" s="9">
        <f t="shared" si="45"/>
        <v>0</v>
      </c>
      <c r="AA107" s="10">
        <f t="shared" si="46"/>
        <v>0</v>
      </c>
    </row>
    <row r="108" spans="1:27" x14ac:dyDescent="0.3">
      <c r="A108" s="4" t="s">
        <v>1294</v>
      </c>
      <c r="B108" s="4">
        <f t="shared" si="24"/>
        <v>0</v>
      </c>
      <c r="C108" s="4">
        <f t="shared" si="25"/>
        <v>0</v>
      </c>
      <c r="D108" s="4">
        <f t="shared" si="26"/>
        <v>0</v>
      </c>
      <c r="E108" s="4">
        <f t="shared" si="27"/>
        <v>0</v>
      </c>
      <c r="F108" s="4">
        <f t="shared" si="28"/>
        <v>0</v>
      </c>
      <c r="G108" s="4">
        <f t="shared" si="29"/>
        <v>0</v>
      </c>
      <c r="I108" s="11" t="s">
        <v>996</v>
      </c>
      <c r="J108" s="9">
        <f t="shared" si="30"/>
        <v>0</v>
      </c>
      <c r="K108" s="9">
        <f t="shared" si="47"/>
        <v>0</v>
      </c>
      <c r="L108" s="9">
        <f t="shared" si="31"/>
        <v>0</v>
      </c>
      <c r="M108" s="9">
        <f t="shared" si="32"/>
        <v>0</v>
      </c>
      <c r="N108" s="9">
        <f t="shared" si="33"/>
        <v>0</v>
      </c>
      <c r="O108" s="9">
        <f t="shared" si="34"/>
        <v>0</v>
      </c>
      <c r="P108" s="9">
        <f t="shared" si="35"/>
        <v>0</v>
      </c>
      <c r="Q108" s="9">
        <f t="shared" si="36"/>
        <v>1</v>
      </c>
      <c r="R108" s="9">
        <f t="shared" si="37"/>
        <v>0</v>
      </c>
      <c r="S108" s="9">
        <f t="shared" si="38"/>
        <v>0</v>
      </c>
      <c r="T108" s="9">
        <f t="shared" si="39"/>
        <v>0</v>
      </c>
      <c r="U108" s="9">
        <f t="shared" si="40"/>
        <v>0</v>
      </c>
      <c r="V108" s="9">
        <f t="shared" si="41"/>
        <v>0</v>
      </c>
      <c r="W108" s="9">
        <f t="shared" si="42"/>
        <v>0</v>
      </c>
      <c r="X108" s="9">
        <f t="shared" si="43"/>
        <v>0</v>
      </c>
      <c r="Y108" s="9">
        <f t="shared" si="44"/>
        <v>0</v>
      </c>
      <c r="Z108" s="9">
        <f t="shared" si="45"/>
        <v>0</v>
      </c>
      <c r="AA108" s="10">
        <f t="shared" si="46"/>
        <v>0</v>
      </c>
    </row>
    <row r="109" spans="1:27" x14ac:dyDescent="0.3">
      <c r="A109" s="18" t="s">
        <v>1302</v>
      </c>
      <c r="B109" s="4">
        <f t="shared" si="24"/>
        <v>1</v>
      </c>
      <c r="C109" s="4">
        <f t="shared" si="25"/>
        <v>0</v>
      </c>
      <c r="D109" s="4">
        <f t="shared" si="26"/>
        <v>0</v>
      </c>
      <c r="E109" s="4">
        <f t="shared" si="27"/>
        <v>0</v>
      </c>
      <c r="F109" s="4">
        <f t="shared" si="28"/>
        <v>0</v>
      </c>
      <c r="G109" s="4">
        <f t="shared" si="29"/>
        <v>0</v>
      </c>
      <c r="I109" s="8" t="s">
        <v>977</v>
      </c>
      <c r="J109" s="9">
        <f t="shared" si="30"/>
        <v>1</v>
      </c>
      <c r="K109" s="9">
        <f t="shared" si="47"/>
        <v>0</v>
      </c>
      <c r="L109" s="9">
        <f t="shared" si="31"/>
        <v>0</v>
      </c>
      <c r="M109" s="9">
        <f t="shared" si="32"/>
        <v>0</v>
      </c>
      <c r="N109" s="9">
        <f t="shared" si="33"/>
        <v>0</v>
      </c>
      <c r="O109" s="9">
        <f t="shared" si="34"/>
        <v>0</v>
      </c>
      <c r="P109" s="9">
        <f t="shared" si="35"/>
        <v>0</v>
      </c>
      <c r="Q109" s="9">
        <f t="shared" si="36"/>
        <v>0</v>
      </c>
      <c r="R109" s="9">
        <f t="shared" si="37"/>
        <v>0</v>
      </c>
      <c r="S109" s="9">
        <f t="shared" si="38"/>
        <v>0</v>
      </c>
      <c r="T109" s="9">
        <f t="shared" si="39"/>
        <v>0</v>
      </c>
      <c r="U109" s="9">
        <f t="shared" si="40"/>
        <v>0</v>
      </c>
      <c r="V109" s="9">
        <f t="shared" si="41"/>
        <v>0</v>
      </c>
      <c r="W109" s="9">
        <f t="shared" si="42"/>
        <v>0</v>
      </c>
      <c r="X109" s="9">
        <f t="shared" si="43"/>
        <v>0</v>
      </c>
      <c r="Y109" s="9">
        <f t="shared" si="44"/>
        <v>0</v>
      </c>
      <c r="Z109" s="9">
        <f t="shared" si="45"/>
        <v>0</v>
      </c>
      <c r="AA109" s="10">
        <f t="shared" si="46"/>
        <v>0</v>
      </c>
    </row>
    <row r="110" spans="1:27" x14ac:dyDescent="0.3">
      <c r="A110" s="4" t="s">
        <v>1303</v>
      </c>
      <c r="B110" s="4">
        <f t="shared" si="24"/>
        <v>0</v>
      </c>
      <c r="C110" s="4">
        <f t="shared" si="25"/>
        <v>0</v>
      </c>
      <c r="D110" s="4">
        <f t="shared" si="26"/>
        <v>0</v>
      </c>
      <c r="E110" s="4">
        <f t="shared" si="27"/>
        <v>0</v>
      </c>
      <c r="F110" s="4">
        <f t="shared" si="28"/>
        <v>1</v>
      </c>
      <c r="G110" s="4">
        <f t="shared" si="29"/>
        <v>0</v>
      </c>
      <c r="I110" s="11" t="s">
        <v>988</v>
      </c>
      <c r="J110" s="9">
        <f t="shared" si="30"/>
        <v>0</v>
      </c>
      <c r="K110" s="9">
        <f t="shared" si="47"/>
        <v>0</v>
      </c>
      <c r="L110" s="9">
        <f t="shared" si="31"/>
        <v>1</v>
      </c>
      <c r="M110" s="9">
        <f t="shared" si="32"/>
        <v>0</v>
      </c>
      <c r="N110" s="9">
        <f t="shared" si="33"/>
        <v>0</v>
      </c>
      <c r="O110" s="9">
        <f t="shared" si="34"/>
        <v>0</v>
      </c>
      <c r="P110" s="9">
        <f t="shared" si="35"/>
        <v>0</v>
      </c>
      <c r="Q110" s="9">
        <f t="shared" si="36"/>
        <v>0</v>
      </c>
      <c r="R110" s="9">
        <f t="shared" si="37"/>
        <v>0</v>
      </c>
      <c r="S110" s="9">
        <f t="shared" si="38"/>
        <v>0</v>
      </c>
      <c r="T110" s="9">
        <f t="shared" si="39"/>
        <v>0</v>
      </c>
      <c r="U110" s="9">
        <f t="shared" si="40"/>
        <v>0</v>
      </c>
      <c r="V110" s="9">
        <f t="shared" si="41"/>
        <v>0</v>
      </c>
      <c r="W110" s="9">
        <f t="shared" si="42"/>
        <v>0</v>
      </c>
      <c r="X110" s="9">
        <f t="shared" si="43"/>
        <v>0</v>
      </c>
      <c r="Y110" s="9">
        <f t="shared" si="44"/>
        <v>0</v>
      </c>
      <c r="Z110" s="9">
        <f t="shared" si="45"/>
        <v>0</v>
      </c>
      <c r="AA110" s="10">
        <f t="shared" si="46"/>
        <v>0</v>
      </c>
    </row>
    <row r="111" spans="1:27" x14ac:dyDescent="0.3">
      <c r="A111" s="18" t="s">
        <v>1303</v>
      </c>
      <c r="B111" s="4">
        <f t="shared" si="24"/>
        <v>0</v>
      </c>
      <c r="C111" s="4">
        <f t="shared" si="25"/>
        <v>0</v>
      </c>
      <c r="D111" s="4">
        <f t="shared" si="26"/>
        <v>0</v>
      </c>
      <c r="E111" s="4">
        <f t="shared" si="27"/>
        <v>0</v>
      </c>
      <c r="F111" s="4">
        <f t="shared" si="28"/>
        <v>1</v>
      </c>
      <c r="G111" s="4">
        <f t="shared" si="29"/>
        <v>0</v>
      </c>
      <c r="I111" s="8" t="s">
        <v>996</v>
      </c>
      <c r="J111" s="9">
        <f t="shared" si="30"/>
        <v>0</v>
      </c>
      <c r="K111" s="9">
        <f t="shared" si="47"/>
        <v>0</v>
      </c>
      <c r="L111" s="9">
        <f t="shared" si="31"/>
        <v>0</v>
      </c>
      <c r="M111" s="9">
        <f t="shared" si="32"/>
        <v>0</v>
      </c>
      <c r="N111" s="9">
        <f t="shared" si="33"/>
        <v>0</v>
      </c>
      <c r="O111" s="9">
        <f t="shared" si="34"/>
        <v>0</v>
      </c>
      <c r="P111" s="9">
        <f t="shared" si="35"/>
        <v>0</v>
      </c>
      <c r="Q111" s="9">
        <f t="shared" si="36"/>
        <v>1</v>
      </c>
      <c r="R111" s="9">
        <f t="shared" si="37"/>
        <v>0</v>
      </c>
      <c r="S111" s="9">
        <f t="shared" si="38"/>
        <v>0</v>
      </c>
      <c r="T111" s="9">
        <f t="shared" si="39"/>
        <v>0</v>
      </c>
      <c r="U111" s="9">
        <f t="shared" si="40"/>
        <v>0</v>
      </c>
      <c r="V111" s="9">
        <f t="shared" si="41"/>
        <v>0</v>
      </c>
      <c r="W111" s="9">
        <f t="shared" si="42"/>
        <v>0</v>
      </c>
      <c r="X111" s="9">
        <f t="shared" si="43"/>
        <v>0</v>
      </c>
      <c r="Y111" s="9">
        <f t="shared" si="44"/>
        <v>0</v>
      </c>
      <c r="Z111" s="9">
        <f t="shared" si="45"/>
        <v>0</v>
      </c>
      <c r="AA111" s="10">
        <f t="shared" si="46"/>
        <v>0</v>
      </c>
    </row>
    <row r="112" spans="1:27" x14ac:dyDescent="0.3">
      <c r="A112" s="4" t="s">
        <v>1303</v>
      </c>
      <c r="B112" s="4">
        <f t="shared" si="24"/>
        <v>0</v>
      </c>
      <c r="C112" s="4">
        <f t="shared" si="25"/>
        <v>0</v>
      </c>
      <c r="D112" s="4">
        <f t="shared" si="26"/>
        <v>0</v>
      </c>
      <c r="E112" s="4">
        <f t="shared" si="27"/>
        <v>0</v>
      </c>
      <c r="F112" s="4">
        <f t="shared" si="28"/>
        <v>1</v>
      </c>
      <c r="G112" s="4">
        <f t="shared" si="29"/>
        <v>0</v>
      </c>
      <c r="I112" s="11" t="s">
        <v>990</v>
      </c>
      <c r="J112" s="9">
        <f t="shared" si="30"/>
        <v>0</v>
      </c>
      <c r="K112" s="9">
        <f t="shared" si="47"/>
        <v>0</v>
      </c>
      <c r="L112" s="9">
        <f t="shared" si="31"/>
        <v>0</v>
      </c>
      <c r="M112" s="9">
        <f t="shared" si="32"/>
        <v>0</v>
      </c>
      <c r="N112" s="9">
        <f t="shared" si="33"/>
        <v>1</v>
      </c>
      <c r="O112" s="9">
        <f t="shared" si="34"/>
        <v>0</v>
      </c>
      <c r="P112" s="9">
        <f t="shared" si="35"/>
        <v>0</v>
      </c>
      <c r="Q112" s="9">
        <f t="shared" si="36"/>
        <v>0</v>
      </c>
      <c r="R112" s="9">
        <f t="shared" si="37"/>
        <v>0</v>
      </c>
      <c r="S112" s="9">
        <f t="shared" si="38"/>
        <v>0</v>
      </c>
      <c r="T112" s="9">
        <f t="shared" si="39"/>
        <v>0</v>
      </c>
      <c r="U112" s="9">
        <f t="shared" si="40"/>
        <v>0</v>
      </c>
      <c r="V112" s="9">
        <f t="shared" si="41"/>
        <v>0</v>
      </c>
      <c r="W112" s="9">
        <f t="shared" si="42"/>
        <v>0</v>
      </c>
      <c r="X112" s="9">
        <f t="shared" si="43"/>
        <v>0</v>
      </c>
      <c r="Y112" s="9">
        <f t="shared" si="44"/>
        <v>0</v>
      </c>
      <c r="Z112" s="9">
        <f t="shared" si="45"/>
        <v>0</v>
      </c>
      <c r="AA112" s="10">
        <f t="shared" si="46"/>
        <v>0</v>
      </c>
    </row>
    <row r="113" spans="1:27" x14ac:dyDescent="0.3">
      <c r="A113" s="18" t="s">
        <v>1294</v>
      </c>
      <c r="B113" s="4">
        <f t="shared" si="24"/>
        <v>0</v>
      </c>
      <c r="C113" s="4">
        <f t="shared" si="25"/>
        <v>0</v>
      </c>
      <c r="D113" s="4">
        <f t="shared" si="26"/>
        <v>0</v>
      </c>
      <c r="E113" s="4">
        <f t="shared" si="27"/>
        <v>0</v>
      </c>
      <c r="F113" s="4">
        <f t="shared" si="28"/>
        <v>0</v>
      </c>
      <c r="G113" s="4">
        <f t="shared" si="29"/>
        <v>0</v>
      </c>
      <c r="I113" s="8" t="s">
        <v>977</v>
      </c>
      <c r="J113" s="9">
        <f t="shared" si="30"/>
        <v>1</v>
      </c>
      <c r="K113" s="9">
        <f t="shared" si="47"/>
        <v>0</v>
      </c>
      <c r="L113" s="9">
        <f t="shared" si="31"/>
        <v>0</v>
      </c>
      <c r="M113" s="9">
        <f t="shared" si="32"/>
        <v>0</v>
      </c>
      <c r="N113" s="9">
        <f t="shared" si="33"/>
        <v>0</v>
      </c>
      <c r="O113" s="9">
        <f t="shared" si="34"/>
        <v>0</v>
      </c>
      <c r="P113" s="9">
        <f t="shared" si="35"/>
        <v>0</v>
      </c>
      <c r="Q113" s="9">
        <f t="shared" si="36"/>
        <v>0</v>
      </c>
      <c r="R113" s="9">
        <f t="shared" si="37"/>
        <v>0</v>
      </c>
      <c r="S113" s="9">
        <f t="shared" si="38"/>
        <v>0</v>
      </c>
      <c r="T113" s="9">
        <f t="shared" si="39"/>
        <v>0</v>
      </c>
      <c r="U113" s="9">
        <f t="shared" si="40"/>
        <v>0</v>
      </c>
      <c r="V113" s="9">
        <f t="shared" si="41"/>
        <v>0</v>
      </c>
      <c r="W113" s="9">
        <f t="shared" si="42"/>
        <v>0</v>
      </c>
      <c r="X113" s="9">
        <f t="shared" si="43"/>
        <v>0</v>
      </c>
      <c r="Y113" s="9">
        <f t="shared" si="44"/>
        <v>0</v>
      </c>
      <c r="Z113" s="9">
        <f t="shared" si="45"/>
        <v>0</v>
      </c>
      <c r="AA113" s="10">
        <f t="shared" si="46"/>
        <v>0</v>
      </c>
    </row>
    <row r="114" spans="1:27" x14ac:dyDescent="0.3">
      <c r="A114" s="4" t="s">
        <v>1294</v>
      </c>
      <c r="B114" s="4">
        <f t="shared" si="24"/>
        <v>0</v>
      </c>
      <c r="C114" s="4">
        <f t="shared" si="25"/>
        <v>0</v>
      </c>
      <c r="D114" s="4">
        <f t="shared" si="26"/>
        <v>0</v>
      </c>
      <c r="E114" s="4">
        <f t="shared" si="27"/>
        <v>0</v>
      </c>
      <c r="F114" s="4">
        <f t="shared" si="28"/>
        <v>0</v>
      </c>
      <c r="G114" s="4">
        <f t="shared" si="29"/>
        <v>0</v>
      </c>
      <c r="I114" s="11" t="s">
        <v>996</v>
      </c>
      <c r="J114" s="9">
        <f t="shared" si="30"/>
        <v>0</v>
      </c>
      <c r="K114" s="9">
        <f t="shared" si="47"/>
        <v>0</v>
      </c>
      <c r="L114" s="9">
        <f t="shared" si="31"/>
        <v>0</v>
      </c>
      <c r="M114" s="9">
        <f t="shared" si="32"/>
        <v>0</v>
      </c>
      <c r="N114" s="9">
        <f t="shared" si="33"/>
        <v>0</v>
      </c>
      <c r="O114" s="9">
        <f t="shared" si="34"/>
        <v>0</v>
      </c>
      <c r="P114" s="9">
        <f t="shared" si="35"/>
        <v>0</v>
      </c>
      <c r="Q114" s="9">
        <f t="shared" si="36"/>
        <v>1</v>
      </c>
      <c r="R114" s="9">
        <f t="shared" si="37"/>
        <v>0</v>
      </c>
      <c r="S114" s="9">
        <f t="shared" si="38"/>
        <v>0</v>
      </c>
      <c r="T114" s="9">
        <f t="shared" si="39"/>
        <v>0</v>
      </c>
      <c r="U114" s="9">
        <f t="shared" si="40"/>
        <v>0</v>
      </c>
      <c r="V114" s="9">
        <f t="shared" si="41"/>
        <v>0</v>
      </c>
      <c r="W114" s="9">
        <f t="shared" si="42"/>
        <v>0</v>
      </c>
      <c r="X114" s="9">
        <f t="shared" si="43"/>
        <v>0</v>
      </c>
      <c r="Y114" s="9">
        <f t="shared" si="44"/>
        <v>0</v>
      </c>
      <c r="Z114" s="9">
        <f t="shared" si="45"/>
        <v>0</v>
      </c>
      <c r="AA114" s="10">
        <f t="shared" si="46"/>
        <v>0</v>
      </c>
    </row>
    <row r="115" spans="1:27" x14ac:dyDescent="0.3">
      <c r="A115" s="18" t="s">
        <v>1302</v>
      </c>
      <c r="B115" s="4">
        <f t="shared" si="24"/>
        <v>1</v>
      </c>
      <c r="C115" s="4">
        <f t="shared" si="25"/>
        <v>0</v>
      </c>
      <c r="D115" s="4">
        <f t="shared" si="26"/>
        <v>0</v>
      </c>
      <c r="E115" s="4">
        <f t="shared" si="27"/>
        <v>0</v>
      </c>
      <c r="F115" s="4">
        <f t="shared" si="28"/>
        <v>0</v>
      </c>
      <c r="G115" s="4">
        <f t="shared" si="29"/>
        <v>0</v>
      </c>
      <c r="I115" s="8" t="s">
        <v>977</v>
      </c>
      <c r="J115" s="9">
        <f t="shared" si="30"/>
        <v>1</v>
      </c>
      <c r="K115" s="9">
        <f t="shared" si="47"/>
        <v>0</v>
      </c>
      <c r="L115" s="9">
        <f t="shared" si="31"/>
        <v>0</v>
      </c>
      <c r="M115" s="9">
        <f t="shared" si="32"/>
        <v>0</v>
      </c>
      <c r="N115" s="9">
        <f t="shared" si="33"/>
        <v>0</v>
      </c>
      <c r="O115" s="9">
        <f t="shared" si="34"/>
        <v>0</v>
      </c>
      <c r="P115" s="9">
        <f t="shared" si="35"/>
        <v>0</v>
      </c>
      <c r="Q115" s="9">
        <f t="shared" si="36"/>
        <v>0</v>
      </c>
      <c r="R115" s="9">
        <f t="shared" si="37"/>
        <v>0</v>
      </c>
      <c r="S115" s="9">
        <f t="shared" si="38"/>
        <v>0</v>
      </c>
      <c r="T115" s="9">
        <f t="shared" si="39"/>
        <v>0</v>
      </c>
      <c r="U115" s="9">
        <f t="shared" si="40"/>
        <v>0</v>
      </c>
      <c r="V115" s="9">
        <f t="shared" si="41"/>
        <v>0</v>
      </c>
      <c r="W115" s="9">
        <f t="shared" si="42"/>
        <v>0</v>
      </c>
      <c r="X115" s="9">
        <f t="shared" si="43"/>
        <v>0</v>
      </c>
      <c r="Y115" s="9">
        <f t="shared" si="44"/>
        <v>0</v>
      </c>
      <c r="Z115" s="9">
        <f t="shared" si="45"/>
        <v>0</v>
      </c>
      <c r="AA115" s="10">
        <f t="shared" si="46"/>
        <v>0</v>
      </c>
    </row>
    <row r="116" spans="1:27" x14ac:dyDescent="0.3">
      <c r="A116" s="4" t="s">
        <v>1305</v>
      </c>
      <c r="B116" s="4">
        <f t="shared" si="24"/>
        <v>0</v>
      </c>
      <c r="C116" s="4">
        <f t="shared" si="25"/>
        <v>0</v>
      </c>
      <c r="D116" s="4">
        <f t="shared" si="26"/>
        <v>0</v>
      </c>
      <c r="E116" s="4">
        <f t="shared" si="27"/>
        <v>0</v>
      </c>
      <c r="F116" s="4">
        <f t="shared" si="28"/>
        <v>0</v>
      </c>
      <c r="G116" s="4">
        <f t="shared" si="29"/>
        <v>1</v>
      </c>
      <c r="I116" s="11" t="s">
        <v>977</v>
      </c>
      <c r="J116" s="9">
        <f t="shared" si="30"/>
        <v>1</v>
      </c>
      <c r="K116" s="9">
        <f t="shared" si="47"/>
        <v>0</v>
      </c>
      <c r="L116" s="9">
        <f t="shared" si="31"/>
        <v>0</v>
      </c>
      <c r="M116" s="9">
        <f t="shared" si="32"/>
        <v>0</v>
      </c>
      <c r="N116" s="9">
        <f t="shared" si="33"/>
        <v>0</v>
      </c>
      <c r="O116" s="9">
        <f t="shared" si="34"/>
        <v>0</v>
      </c>
      <c r="P116" s="9">
        <f t="shared" si="35"/>
        <v>0</v>
      </c>
      <c r="Q116" s="9">
        <f t="shared" si="36"/>
        <v>0</v>
      </c>
      <c r="R116" s="9">
        <f t="shared" si="37"/>
        <v>0</v>
      </c>
      <c r="S116" s="9">
        <f t="shared" si="38"/>
        <v>0</v>
      </c>
      <c r="T116" s="9">
        <f t="shared" si="39"/>
        <v>0</v>
      </c>
      <c r="U116" s="9">
        <f t="shared" si="40"/>
        <v>0</v>
      </c>
      <c r="V116" s="9">
        <f t="shared" si="41"/>
        <v>0</v>
      </c>
      <c r="W116" s="9">
        <f t="shared" si="42"/>
        <v>0</v>
      </c>
      <c r="X116" s="9">
        <f t="shared" si="43"/>
        <v>0</v>
      </c>
      <c r="Y116" s="9">
        <f t="shared" si="44"/>
        <v>0</v>
      </c>
      <c r="Z116" s="9">
        <f t="shared" si="45"/>
        <v>0</v>
      </c>
      <c r="AA116" s="10">
        <f t="shared" si="46"/>
        <v>0</v>
      </c>
    </row>
    <row r="117" spans="1:27" x14ac:dyDescent="0.3">
      <c r="A117" s="18" t="s">
        <v>1302</v>
      </c>
      <c r="B117" s="4">
        <f t="shared" si="24"/>
        <v>1</v>
      </c>
      <c r="C117" s="4">
        <f t="shared" si="25"/>
        <v>0</v>
      </c>
      <c r="D117" s="4">
        <f t="shared" si="26"/>
        <v>0</v>
      </c>
      <c r="E117" s="4">
        <f t="shared" si="27"/>
        <v>0</v>
      </c>
      <c r="F117" s="4">
        <f t="shared" si="28"/>
        <v>0</v>
      </c>
      <c r="G117" s="4">
        <f t="shared" si="29"/>
        <v>0</v>
      </c>
      <c r="I117" s="8" t="s">
        <v>982</v>
      </c>
      <c r="J117" s="9">
        <f t="shared" si="30"/>
        <v>0</v>
      </c>
      <c r="K117" s="9">
        <f t="shared" si="47"/>
        <v>1</v>
      </c>
      <c r="L117" s="9">
        <f t="shared" si="31"/>
        <v>0</v>
      </c>
      <c r="M117" s="9">
        <f t="shared" si="32"/>
        <v>0</v>
      </c>
      <c r="N117" s="9">
        <f t="shared" si="33"/>
        <v>0</v>
      </c>
      <c r="O117" s="9">
        <f t="shared" si="34"/>
        <v>0</v>
      </c>
      <c r="P117" s="9">
        <f t="shared" si="35"/>
        <v>0</v>
      </c>
      <c r="Q117" s="9">
        <f t="shared" si="36"/>
        <v>0</v>
      </c>
      <c r="R117" s="9">
        <f t="shared" si="37"/>
        <v>0</v>
      </c>
      <c r="S117" s="9">
        <f t="shared" si="38"/>
        <v>0</v>
      </c>
      <c r="T117" s="9">
        <f t="shared" si="39"/>
        <v>0</v>
      </c>
      <c r="U117" s="9">
        <f t="shared" si="40"/>
        <v>0</v>
      </c>
      <c r="V117" s="9">
        <f t="shared" si="41"/>
        <v>0</v>
      </c>
      <c r="W117" s="9">
        <f t="shared" si="42"/>
        <v>0</v>
      </c>
      <c r="X117" s="9">
        <f t="shared" si="43"/>
        <v>0</v>
      </c>
      <c r="Y117" s="9">
        <f t="shared" si="44"/>
        <v>0</v>
      </c>
      <c r="Z117" s="9">
        <f t="shared" si="45"/>
        <v>0</v>
      </c>
      <c r="AA117" s="10">
        <f t="shared" si="46"/>
        <v>0</v>
      </c>
    </row>
    <row r="118" spans="1:27" x14ac:dyDescent="0.3">
      <c r="A118" s="4" t="s">
        <v>1302</v>
      </c>
      <c r="B118" s="4">
        <f t="shared" si="24"/>
        <v>1</v>
      </c>
      <c r="C118" s="4">
        <f t="shared" si="25"/>
        <v>0</v>
      </c>
      <c r="D118" s="4">
        <f t="shared" si="26"/>
        <v>0</v>
      </c>
      <c r="E118" s="4">
        <f t="shared" si="27"/>
        <v>0</v>
      </c>
      <c r="F118" s="4">
        <f t="shared" si="28"/>
        <v>0</v>
      </c>
      <c r="G118" s="4">
        <f t="shared" si="29"/>
        <v>0</v>
      </c>
      <c r="I118" s="11" t="s">
        <v>988</v>
      </c>
      <c r="J118" s="9">
        <f t="shared" si="30"/>
        <v>0</v>
      </c>
      <c r="K118" s="9">
        <f t="shared" si="47"/>
        <v>0</v>
      </c>
      <c r="L118" s="9">
        <f t="shared" si="31"/>
        <v>1</v>
      </c>
      <c r="M118" s="9">
        <f t="shared" si="32"/>
        <v>0</v>
      </c>
      <c r="N118" s="9">
        <f t="shared" si="33"/>
        <v>0</v>
      </c>
      <c r="O118" s="9">
        <f t="shared" si="34"/>
        <v>0</v>
      </c>
      <c r="P118" s="9">
        <f t="shared" si="35"/>
        <v>0</v>
      </c>
      <c r="Q118" s="9">
        <f t="shared" si="36"/>
        <v>0</v>
      </c>
      <c r="R118" s="9">
        <f t="shared" si="37"/>
        <v>0</v>
      </c>
      <c r="S118" s="9">
        <f t="shared" si="38"/>
        <v>0</v>
      </c>
      <c r="T118" s="9">
        <f t="shared" si="39"/>
        <v>0</v>
      </c>
      <c r="U118" s="9">
        <f t="shared" si="40"/>
        <v>0</v>
      </c>
      <c r="V118" s="9">
        <f t="shared" si="41"/>
        <v>0</v>
      </c>
      <c r="W118" s="9">
        <f t="shared" si="42"/>
        <v>0</v>
      </c>
      <c r="X118" s="9">
        <f t="shared" si="43"/>
        <v>0</v>
      </c>
      <c r="Y118" s="9">
        <f t="shared" si="44"/>
        <v>0</v>
      </c>
      <c r="Z118" s="9">
        <f t="shared" si="45"/>
        <v>0</v>
      </c>
      <c r="AA118" s="10">
        <f t="shared" si="46"/>
        <v>0</v>
      </c>
    </row>
    <row r="119" spans="1:27" x14ac:dyDescent="0.3">
      <c r="A119" s="18" t="s">
        <v>1305</v>
      </c>
      <c r="B119" s="4">
        <f t="shared" si="24"/>
        <v>0</v>
      </c>
      <c r="C119" s="4">
        <f t="shared" si="25"/>
        <v>0</v>
      </c>
      <c r="D119" s="4">
        <f t="shared" si="26"/>
        <v>0</v>
      </c>
      <c r="E119" s="4">
        <f t="shared" si="27"/>
        <v>0</v>
      </c>
      <c r="F119" s="4">
        <f t="shared" si="28"/>
        <v>0</v>
      </c>
      <c r="G119" s="4">
        <f t="shared" si="29"/>
        <v>1</v>
      </c>
      <c r="I119" s="8" t="s">
        <v>982</v>
      </c>
      <c r="J119" s="9">
        <f t="shared" si="30"/>
        <v>0</v>
      </c>
      <c r="K119" s="9">
        <f t="shared" si="47"/>
        <v>1</v>
      </c>
      <c r="L119" s="9">
        <f t="shared" si="31"/>
        <v>0</v>
      </c>
      <c r="M119" s="9">
        <f t="shared" si="32"/>
        <v>0</v>
      </c>
      <c r="N119" s="9">
        <f t="shared" si="33"/>
        <v>0</v>
      </c>
      <c r="O119" s="9">
        <f t="shared" si="34"/>
        <v>0</v>
      </c>
      <c r="P119" s="9">
        <f t="shared" si="35"/>
        <v>0</v>
      </c>
      <c r="Q119" s="9">
        <f t="shared" si="36"/>
        <v>0</v>
      </c>
      <c r="R119" s="9">
        <f t="shared" si="37"/>
        <v>0</v>
      </c>
      <c r="S119" s="9">
        <f t="shared" si="38"/>
        <v>0</v>
      </c>
      <c r="T119" s="9">
        <f t="shared" si="39"/>
        <v>0</v>
      </c>
      <c r="U119" s="9">
        <f t="shared" si="40"/>
        <v>0</v>
      </c>
      <c r="V119" s="9">
        <f t="shared" si="41"/>
        <v>0</v>
      </c>
      <c r="W119" s="9">
        <f t="shared" si="42"/>
        <v>0</v>
      </c>
      <c r="X119" s="9">
        <f t="shared" si="43"/>
        <v>0</v>
      </c>
      <c r="Y119" s="9">
        <f t="shared" si="44"/>
        <v>0</v>
      </c>
      <c r="Z119" s="9">
        <f t="shared" si="45"/>
        <v>0</v>
      </c>
      <c r="AA119" s="10">
        <f t="shared" si="46"/>
        <v>0</v>
      </c>
    </row>
    <row r="120" spans="1:27" x14ac:dyDescent="0.3">
      <c r="A120" s="4" t="s">
        <v>1304</v>
      </c>
      <c r="B120" s="4">
        <f t="shared" si="24"/>
        <v>0</v>
      </c>
      <c r="C120" s="4">
        <f t="shared" si="25"/>
        <v>1</v>
      </c>
      <c r="D120" s="4">
        <f t="shared" si="26"/>
        <v>0</v>
      </c>
      <c r="E120" s="4">
        <f t="shared" si="27"/>
        <v>0</v>
      </c>
      <c r="F120" s="4">
        <f t="shared" si="28"/>
        <v>0</v>
      </c>
      <c r="G120" s="4">
        <f t="shared" si="29"/>
        <v>0</v>
      </c>
      <c r="I120" s="11" t="s">
        <v>996</v>
      </c>
      <c r="J120" s="9">
        <f t="shared" si="30"/>
        <v>0</v>
      </c>
      <c r="K120" s="9">
        <f t="shared" si="47"/>
        <v>0</v>
      </c>
      <c r="L120" s="9">
        <f t="shared" si="31"/>
        <v>0</v>
      </c>
      <c r="M120" s="9">
        <f t="shared" si="32"/>
        <v>0</v>
      </c>
      <c r="N120" s="9">
        <f t="shared" si="33"/>
        <v>0</v>
      </c>
      <c r="O120" s="9">
        <f t="shared" si="34"/>
        <v>0</v>
      </c>
      <c r="P120" s="9">
        <f t="shared" si="35"/>
        <v>0</v>
      </c>
      <c r="Q120" s="9">
        <f t="shared" si="36"/>
        <v>1</v>
      </c>
      <c r="R120" s="9">
        <f t="shared" si="37"/>
        <v>0</v>
      </c>
      <c r="S120" s="9">
        <f t="shared" si="38"/>
        <v>0</v>
      </c>
      <c r="T120" s="9">
        <f t="shared" si="39"/>
        <v>0</v>
      </c>
      <c r="U120" s="9">
        <f t="shared" si="40"/>
        <v>0</v>
      </c>
      <c r="V120" s="9">
        <f t="shared" si="41"/>
        <v>0</v>
      </c>
      <c r="W120" s="9">
        <f t="shared" si="42"/>
        <v>0</v>
      </c>
      <c r="X120" s="9">
        <f t="shared" si="43"/>
        <v>0</v>
      </c>
      <c r="Y120" s="9">
        <f t="shared" si="44"/>
        <v>0</v>
      </c>
      <c r="Z120" s="9">
        <f t="shared" si="45"/>
        <v>0</v>
      </c>
      <c r="AA120" s="10">
        <f t="shared" si="46"/>
        <v>0</v>
      </c>
    </row>
    <row r="121" spans="1:27" x14ac:dyDescent="0.3">
      <c r="A121" s="18" t="s">
        <v>1294</v>
      </c>
      <c r="B121" s="4">
        <f t="shared" si="24"/>
        <v>0</v>
      </c>
      <c r="C121" s="4">
        <f t="shared" si="25"/>
        <v>0</v>
      </c>
      <c r="D121" s="4">
        <f t="shared" si="26"/>
        <v>0</v>
      </c>
      <c r="E121" s="4">
        <f t="shared" si="27"/>
        <v>0</v>
      </c>
      <c r="F121" s="4">
        <f t="shared" si="28"/>
        <v>0</v>
      </c>
      <c r="G121" s="4">
        <f t="shared" si="29"/>
        <v>0</v>
      </c>
      <c r="I121" s="8" t="s">
        <v>977</v>
      </c>
      <c r="J121" s="9">
        <f t="shared" si="30"/>
        <v>1</v>
      </c>
      <c r="K121" s="9">
        <f t="shared" si="47"/>
        <v>0</v>
      </c>
      <c r="L121" s="9">
        <f t="shared" si="31"/>
        <v>0</v>
      </c>
      <c r="M121" s="9">
        <f t="shared" si="32"/>
        <v>0</v>
      </c>
      <c r="N121" s="9">
        <f t="shared" si="33"/>
        <v>0</v>
      </c>
      <c r="O121" s="9">
        <f t="shared" si="34"/>
        <v>0</v>
      </c>
      <c r="P121" s="9">
        <f t="shared" si="35"/>
        <v>0</v>
      </c>
      <c r="Q121" s="9">
        <f t="shared" si="36"/>
        <v>0</v>
      </c>
      <c r="R121" s="9">
        <f t="shared" si="37"/>
        <v>0</v>
      </c>
      <c r="S121" s="9">
        <f t="shared" si="38"/>
        <v>0</v>
      </c>
      <c r="T121" s="9">
        <f t="shared" si="39"/>
        <v>0</v>
      </c>
      <c r="U121" s="9">
        <f t="shared" si="40"/>
        <v>0</v>
      </c>
      <c r="V121" s="9">
        <f t="shared" si="41"/>
        <v>0</v>
      </c>
      <c r="W121" s="9">
        <f t="shared" si="42"/>
        <v>0</v>
      </c>
      <c r="X121" s="9">
        <f t="shared" si="43"/>
        <v>0</v>
      </c>
      <c r="Y121" s="9">
        <f t="shared" si="44"/>
        <v>0</v>
      </c>
      <c r="Z121" s="9">
        <f t="shared" si="45"/>
        <v>0</v>
      </c>
      <c r="AA121" s="10">
        <f t="shared" si="46"/>
        <v>0</v>
      </c>
    </row>
    <row r="122" spans="1:27" x14ac:dyDescent="0.3">
      <c r="A122" s="4" t="s">
        <v>1303</v>
      </c>
      <c r="B122" s="4">
        <f t="shared" si="24"/>
        <v>0</v>
      </c>
      <c r="C122" s="4">
        <f t="shared" si="25"/>
        <v>0</v>
      </c>
      <c r="D122" s="4">
        <f t="shared" si="26"/>
        <v>0</v>
      </c>
      <c r="E122" s="4">
        <f t="shared" si="27"/>
        <v>0</v>
      </c>
      <c r="F122" s="4">
        <f t="shared" si="28"/>
        <v>1</v>
      </c>
      <c r="G122" s="4">
        <f t="shared" si="29"/>
        <v>0</v>
      </c>
      <c r="I122" s="11" t="s">
        <v>996</v>
      </c>
      <c r="J122" s="9">
        <f t="shared" si="30"/>
        <v>0</v>
      </c>
      <c r="K122" s="9">
        <f t="shared" si="47"/>
        <v>0</v>
      </c>
      <c r="L122" s="9">
        <f t="shared" si="31"/>
        <v>0</v>
      </c>
      <c r="M122" s="9">
        <f t="shared" si="32"/>
        <v>0</v>
      </c>
      <c r="N122" s="9">
        <f t="shared" si="33"/>
        <v>0</v>
      </c>
      <c r="O122" s="9">
        <f t="shared" si="34"/>
        <v>0</v>
      </c>
      <c r="P122" s="9">
        <f t="shared" si="35"/>
        <v>0</v>
      </c>
      <c r="Q122" s="9">
        <f t="shared" si="36"/>
        <v>1</v>
      </c>
      <c r="R122" s="9">
        <f t="shared" si="37"/>
        <v>0</v>
      </c>
      <c r="S122" s="9">
        <f t="shared" si="38"/>
        <v>0</v>
      </c>
      <c r="T122" s="9">
        <f t="shared" si="39"/>
        <v>0</v>
      </c>
      <c r="U122" s="9">
        <f t="shared" si="40"/>
        <v>0</v>
      </c>
      <c r="V122" s="9">
        <f t="shared" si="41"/>
        <v>0</v>
      </c>
      <c r="W122" s="9">
        <f t="shared" si="42"/>
        <v>0</v>
      </c>
      <c r="X122" s="9">
        <f t="shared" si="43"/>
        <v>0</v>
      </c>
      <c r="Y122" s="9">
        <f t="shared" si="44"/>
        <v>0</v>
      </c>
      <c r="Z122" s="9">
        <f t="shared" si="45"/>
        <v>0</v>
      </c>
      <c r="AA122" s="10">
        <f t="shared" si="46"/>
        <v>0</v>
      </c>
    </row>
    <row r="123" spans="1:27" x14ac:dyDescent="0.3">
      <c r="A123" s="18" t="s">
        <v>1303</v>
      </c>
      <c r="B123" s="4">
        <f t="shared" si="24"/>
        <v>0</v>
      </c>
      <c r="C123" s="4">
        <f t="shared" si="25"/>
        <v>0</v>
      </c>
      <c r="D123" s="4">
        <f t="shared" si="26"/>
        <v>0</v>
      </c>
      <c r="E123" s="4">
        <f t="shared" si="27"/>
        <v>0</v>
      </c>
      <c r="F123" s="4">
        <f t="shared" si="28"/>
        <v>1</v>
      </c>
      <c r="G123" s="4">
        <f t="shared" si="29"/>
        <v>0</v>
      </c>
      <c r="I123" s="8" t="s">
        <v>982</v>
      </c>
      <c r="J123" s="9">
        <f t="shared" si="30"/>
        <v>0</v>
      </c>
      <c r="K123" s="9">
        <f t="shared" si="47"/>
        <v>1</v>
      </c>
      <c r="L123" s="9">
        <f t="shared" si="31"/>
        <v>0</v>
      </c>
      <c r="M123" s="9">
        <f t="shared" si="32"/>
        <v>0</v>
      </c>
      <c r="N123" s="9">
        <f t="shared" si="33"/>
        <v>0</v>
      </c>
      <c r="O123" s="9">
        <f t="shared" si="34"/>
        <v>0</v>
      </c>
      <c r="P123" s="9">
        <f t="shared" si="35"/>
        <v>0</v>
      </c>
      <c r="Q123" s="9">
        <f t="shared" si="36"/>
        <v>0</v>
      </c>
      <c r="R123" s="9">
        <f t="shared" si="37"/>
        <v>0</v>
      </c>
      <c r="S123" s="9">
        <f t="shared" si="38"/>
        <v>0</v>
      </c>
      <c r="T123" s="9">
        <f t="shared" si="39"/>
        <v>0</v>
      </c>
      <c r="U123" s="9">
        <f t="shared" si="40"/>
        <v>0</v>
      </c>
      <c r="V123" s="9">
        <f t="shared" si="41"/>
        <v>0</v>
      </c>
      <c r="W123" s="9">
        <f t="shared" si="42"/>
        <v>0</v>
      </c>
      <c r="X123" s="9">
        <f t="shared" si="43"/>
        <v>0</v>
      </c>
      <c r="Y123" s="9">
        <f t="shared" si="44"/>
        <v>0</v>
      </c>
      <c r="Z123" s="9">
        <f t="shared" si="45"/>
        <v>0</v>
      </c>
      <c r="AA123" s="10">
        <f t="shared" si="46"/>
        <v>0</v>
      </c>
    </row>
    <row r="124" spans="1:27" x14ac:dyDescent="0.3">
      <c r="A124" s="4" t="s">
        <v>1302</v>
      </c>
      <c r="B124" s="4">
        <f t="shared" si="24"/>
        <v>1</v>
      </c>
      <c r="C124" s="4">
        <f t="shared" si="25"/>
        <v>0</v>
      </c>
      <c r="D124" s="4">
        <f t="shared" si="26"/>
        <v>0</v>
      </c>
      <c r="E124" s="4">
        <f t="shared" si="27"/>
        <v>0</v>
      </c>
      <c r="F124" s="4">
        <f t="shared" si="28"/>
        <v>0</v>
      </c>
      <c r="G124" s="4">
        <f t="shared" si="29"/>
        <v>0</v>
      </c>
      <c r="I124" s="11" t="s">
        <v>1044</v>
      </c>
      <c r="J124" s="9">
        <f t="shared" si="30"/>
        <v>0</v>
      </c>
      <c r="K124" s="9">
        <f t="shared" si="47"/>
        <v>0</v>
      </c>
      <c r="L124" s="9">
        <f t="shared" si="31"/>
        <v>0</v>
      </c>
      <c r="M124" s="9">
        <f t="shared" si="32"/>
        <v>0</v>
      </c>
      <c r="N124" s="9">
        <f t="shared" si="33"/>
        <v>0</v>
      </c>
      <c r="O124" s="9">
        <f t="shared" si="34"/>
        <v>0</v>
      </c>
      <c r="P124" s="9">
        <f t="shared" si="35"/>
        <v>0</v>
      </c>
      <c r="Q124" s="9">
        <f t="shared" si="36"/>
        <v>0</v>
      </c>
      <c r="R124" s="9">
        <f t="shared" si="37"/>
        <v>0</v>
      </c>
      <c r="S124" s="9">
        <f t="shared" si="38"/>
        <v>0</v>
      </c>
      <c r="T124" s="9">
        <f t="shared" si="39"/>
        <v>0</v>
      </c>
      <c r="U124" s="9">
        <f t="shared" si="40"/>
        <v>1</v>
      </c>
      <c r="V124" s="9">
        <f t="shared" si="41"/>
        <v>0</v>
      </c>
      <c r="W124" s="9">
        <f t="shared" si="42"/>
        <v>0</v>
      </c>
      <c r="X124" s="9">
        <f t="shared" si="43"/>
        <v>0</v>
      </c>
      <c r="Y124" s="9">
        <f t="shared" si="44"/>
        <v>0</v>
      </c>
      <c r="Z124" s="9">
        <f t="shared" si="45"/>
        <v>0</v>
      </c>
      <c r="AA124" s="10">
        <f t="shared" si="46"/>
        <v>0</v>
      </c>
    </row>
    <row r="125" spans="1:27" x14ac:dyDescent="0.3">
      <c r="A125" s="18" t="s">
        <v>1302</v>
      </c>
      <c r="B125" s="4">
        <f t="shared" si="24"/>
        <v>1</v>
      </c>
      <c r="C125" s="4">
        <f t="shared" si="25"/>
        <v>0</v>
      </c>
      <c r="D125" s="4">
        <f t="shared" si="26"/>
        <v>0</v>
      </c>
      <c r="E125" s="4">
        <f t="shared" si="27"/>
        <v>0</v>
      </c>
      <c r="F125" s="4">
        <f t="shared" si="28"/>
        <v>0</v>
      </c>
      <c r="G125" s="4">
        <f t="shared" si="29"/>
        <v>0</v>
      </c>
      <c r="I125" s="8" t="s">
        <v>977</v>
      </c>
      <c r="J125" s="9">
        <f t="shared" si="30"/>
        <v>1</v>
      </c>
      <c r="K125" s="9">
        <f t="shared" si="47"/>
        <v>0</v>
      </c>
      <c r="L125" s="9">
        <f t="shared" si="31"/>
        <v>0</v>
      </c>
      <c r="M125" s="9">
        <f t="shared" si="32"/>
        <v>0</v>
      </c>
      <c r="N125" s="9">
        <f t="shared" si="33"/>
        <v>0</v>
      </c>
      <c r="O125" s="9">
        <f t="shared" si="34"/>
        <v>0</v>
      </c>
      <c r="P125" s="9">
        <f t="shared" si="35"/>
        <v>0</v>
      </c>
      <c r="Q125" s="9">
        <f t="shared" si="36"/>
        <v>0</v>
      </c>
      <c r="R125" s="9">
        <f t="shared" si="37"/>
        <v>0</v>
      </c>
      <c r="S125" s="9">
        <f t="shared" si="38"/>
        <v>0</v>
      </c>
      <c r="T125" s="9">
        <f t="shared" si="39"/>
        <v>0</v>
      </c>
      <c r="U125" s="9">
        <f t="shared" si="40"/>
        <v>0</v>
      </c>
      <c r="V125" s="9">
        <f t="shared" si="41"/>
        <v>0</v>
      </c>
      <c r="W125" s="9">
        <f t="shared" si="42"/>
        <v>0</v>
      </c>
      <c r="X125" s="9">
        <f t="shared" si="43"/>
        <v>0</v>
      </c>
      <c r="Y125" s="9">
        <f t="shared" si="44"/>
        <v>0</v>
      </c>
      <c r="Z125" s="9">
        <f t="shared" si="45"/>
        <v>0</v>
      </c>
      <c r="AA125" s="10">
        <f t="shared" si="46"/>
        <v>0</v>
      </c>
    </row>
    <row r="126" spans="1:27" x14ac:dyDescent="0.3">
      <c r="A126" s="4" t="s">
        <v>1302</v>
      </c>
      <c r="B126" s="4">
        <f t="shared" si="24"/>
        <v>1</v>
      </c>
      <c r="C126" s="4">
        <f t="shared" si="25"/>
        <v>0</v>
      </c>
      <c r="D126" s="4">
        <f t="shared" si="26"/>
        <v>0</v>
      </c>
      <c r="E126" s="4">
        <f t="shared" si="27"/>
        <v>0</v>
      </c>
      <c r="F126" s="4">
        <f t="shared" si="28"/>
        <v>0</v>
      </c>
      <c r="G126" s="4">
        <f t="shared" si="29"/>
        <v>0</v>
      </c>
      <c r="I126" s="11" t="s">
        <v>988</v>
      </c>
      <c r="J126" s="9">
        <f t="shared" si="30"/>
        <v>0</v>
      </c>
      <c r="K126" s="9">
        <f t="shared" si="47"/>
        <v>0</v>
      </c>
      <c r="L126" s="9">
        <f t="shared" si="31"/>
        <v>1</v>
      </c>
      <c r="M126" s="9">
        <f t="shared" si="32"/>
        <v>0</v>
      </c>
      <c r="N126" s="9">
        <f t="shared" si="33"/>
        <v>0</v>
      </c>
      <c r="O126" s="9">
        <f t="shared" si="34"/>
        <v>0</v>
      </c>
      <c r="P126" s="9">
        <f t="shared" si="35"/>
        <v>0</v>
      </c>
      <c r="Q126" s="9">
        <f t="shared" si="36"/>
        <v>0</v>
      </c>
      <c r="R126" s="9">
        <f t="shared" si="37"/>
        <v>0</v>
      </c>
      <c r="S126" s="9">
        <f t="shared" si="38"/>
        <v>0</v>
      </c>
      <c r="T126" s="9">
        <f t="shared" si="39"/>
        <v>0</v>
      </c>
      <c r="U126" s="9">
        <f t="shared" si="40"/>
        <v>0</v>
      </c>
      <c r="V126" s="9">
        <f t="shared" si="41"/>
        <v>0</v>
      </c>
      <c r="W126" s="9">
        <f t="shared" si="42"/>
        <v>0</v>
      </c>
      <c r="X126" s="9">
        <f t="shared" si="43"/>
        <v>0</v>
      </c>
      <c r="Y126" s="9">
        <f t="shared" si="44"/>
        <v>0</v>
      </c>
      <c r="Z126" s="9">
        <f t="shared" si="45"/>
        <v>0</v>
      </c>
      <c r="AA126" s="10">
        <f t="shared" si="46"/>
        <v>0</v>
      </c>
    </row>
    <row r="127" spans="1:27" x14ac:dyDescent="0.3">
      <c r="A127" s="18" t="s">
        <v>1302</v>
      </c>
      <c r="B127" s="4">
        <f t="shared" si="24"/>
        <v>1</v>
      </c>
      <c r="C127" s="4">
        <f t="shared" si="25"/>
        <v>0</v>
      </c>
      <c r="D127" s="4">
        <f t="shared" si="26"/>
        <v>0</v>
      </c>
      <c r="E127" s="4">
        <f t="shared" si="27"/>
        <v>0</v>
      </c>
      <c r="F127" s="4">
        <f t="shared" si="28"/>
        <v>0</v>
      </c>
      <c r="G127" s="4">
        <f t="shared" si="29"/>
        <v>0</v>
      </c>
      <c r="I127" s="8" t="s">
        <v>990</v>
      </c>
      <c r="J127" s="9">
        <f t="shared" si="30"/>
        <v>0</v>
      </c>
      <c r="K127" s="9">
        <f t="shared" si="47"/>
        <v>0</v>
      </c>
      <c r="L127" s="9">
        <f t="shared" si="31"/>
        <v>0</v>
      </c>
      <c r="M127" s="9">
        <f t="shared" si="32"/>
        <v>0</v>
      </c>
      <c r="N127" s="9">
        <f t="shared" si="33"/>
        <v>1</v>
      </c>
      <c r="O127" s="9">
        <f t="shared" si="34"/>
        <v>0</v>
      </c>
      <c r="P127" s="9">
        <f t="shared" si="35"/>
        <v>0</v>
      </c>
      <c r="Q127" s="9">
        <f t="shared" si="36"/>
        <v>0</v>
      </c>
      <c r="R127" s="9">
        <f t="shared" si="37"/>
        <v>0</v>
      </c>
      <c r="S127" s="9">
        <f t="shared" si="38"/>
        <v>0</v>
      </c>
      <c r="T127" s="9">
        <f t="shared" si="39"/>
        <v>0</v>
      </c>
      <c r="U127" s="9">
        <f t="shared" si="40"/>
        <v>0</v>
      </c>
      <c r="V127" s="9">
        <f t="shared" si="41"/>
        <v>0</v>
      </c>
      <c r="W127" s="9">
        <f t="shared" si="42"/>
        <v>0</v>
      </c>
      <c r="X127" s="9">
        <f t="shared" si="43"/>
        <v>0</v>
      </c>
      <c r="Y127" s="9">
        <f t="shared" si="44"/>
        <v>0</v>
      </c>
      <c r="Z127" s="9">
        <f t="shared" si="45"/>
        <v>0</v>
      </c>
      <c r="AA127" s="10">
        <f t="shared" si="46"/>
        <v>0</v>
      </c>
    </row>
    <row r="128" spans="1:27" x14ac:dyDescent="0.3">
      <c r="A128" s="4" t="s">
        <v>1304</v>
      </c>
      <c r="B128" s="4">
        <f t="shared" si="24"/>
        <v>0</v>
      </c>
      <c r="C128" s="4">
        <f t="shared" si="25"/>
        <v>1</v>
      </c>
      <c r="D128" s="4">
        <f t="shared" si="26"/>
        <v>0</v>
      </c>
      <c r="E128" s="4">
        <f t="shared" si="27"/>
        <v>0</v>
      </c>
      <c r="F128" s="4">
        <f t="shared" si="28"/>
        <v>0</v>
      </c>
      <c r="G128" s="4">
        <f t="shared" si="29"/>
        <v>0</v>
      </c>
      <c r="I128" s="11" t="s">
        <v>977</v>
      </c>
      <c r="J128" s="9">
        <f t="shared" si="30"/>
        <v>1</v>
      </c>
      <c r="K128" s="9">
        <f t="shared" si="47"/>
        <v>0</v>
      </c>
      <c r="L128" s="9">
        <f t="shared" si="31"/>
        <v>0</v>
      </c>
      <c r="M128" s="9">
        <f t="shared" si="32"/>
        <v>0</v>
      </c>
      <c r="N128" s="9">
        <f t="shared" si="33"/>
        <v>0</v>
      </c>
      <c r="O128" s="9">
        <f t="shared" si="34"/>
        <v>0</v>
      </c>
      <c r="P128" s="9">
        <f t="shared" si="35"/>
        <v>0</v>
      </c>
      <c r="Q128" s="9">
        <f t="shared" si="36"/>
        <v>0</v>
      </c>
      <c r="R128" s="9">
        <f t="shared" si="37"/>
        <v>0</v>
      </c>
      <c r="S128" s="9">
        <f t="shared" si="38"/>
        <v>0</v>
      </c>
      <c r="T128" s="9">
        <f t="shared" si="39"/>
        <v>0</v>
      </c>
      <c r="U128" s="9">
        <f t="shared" si="40"/>
        <v>0</v>
      </c>
      <c r="V128" s="9">
        <f t="shared" si="41"/>
        <v>0</v>
      </c>
      <c r="W128" s="9">
        <f t="shared" si="42"/>
        <v>0</v>
      </c>
      <c r="X128" s="9">
        <f t="shared" si="43"/>
        <v>0</v>
      </c>
      <c r="Y128" s="9">
        <f t="shared" si="44"/>
        <v>0</v>
      </c>
      <c r="Z128" s="9">
        <f t="shared" si="45"/>
        <v>0</v>
      </c>
      <c r="AA128" s="10">
        <f t="shared" si="46"/>
        <v>0</v>
      </c>
    </row>
    <row r="129" spans="1:27" x14ac:dyDescent="0.3">
      <c r="A129" s="18" t="s">
        <v>1302</v>
      </c>
      <c r="B129" s="4">
        <f t="shared" si="24"/>
        <v>1</v>
      </c>
      <c r="C129" s="4">
        <f t="shared" si="25"/>
        <v>0</v>
      </c>
      <c r="D129" s="4">
        <f t="shared" si="26"/>
        <v>0</v>
      </c>
      <c r="E129" s="4">
        <f t="shared" si="27"/>
        <v>0</v>
      </c>
      <c r="F129" s="4">
        <f t="shared" si="28"/>
        <v>0</v>
      </c>
      <c r="G129" s="4">
        <f t="shared" si="29"/>
        <v>0</v>
      </c>
      <c r="I129" s="8" t="s">
        <v>994</v>
      </c>
      <c r="J129" s="9">
        <f t="shared" si="30"/>
        <v>0</v>
      </c>
      <c r="K129" s="9">
        <f t="shared" si="47"/>
        <v>0</v>
      </c>
      <c r="L129" s="9">
        <f t="shared" si="31"/>
        <v>0</v>
      </c>
      <c r="M129" s="9">
        <f t="shared" si="32"/>
        <v>0</v>
      </c>
      <c r="N129" s="9">
        <f t="shared" si="33"/>
        <v>0</v>
      </c>
      <c r="O129" s="9">
        <f t="shared" si="34"/>
        <v>0</v>
      </c>
      <c r="P129" s="9">
        <f t="shared" si="35"/>
        <v>1</v>
      </c>
      <c r="Q129" s="9">
        <f t="shared" si="36"/>
        <v>0</v>
      </c>
      <c r="R129" s="9">
        <f t="shared" si="37"/>
        <v>0</v>
      </c>
      <c r="S129" s="9">
        <f t="shared" si="38"/>
        <v>0</v>
      </c>
      <c r="T129" s="9">
        <f t="shared" si="39"/>
        <v>0</v>
      </c>
      <c r="U129" s="9">
        <f t="shared" si="40"/>
        <v>0</v>
      </c>
      <c r="V129" s="9">
        <f t="shared" si="41"/>
        <v>0</v>
      </c>
      <c r="W129" s="9">
        <f t="shared" si="42"/>
        <v>0</v>
      </c>
      <c r="X129" s="9">
        <f t="shared" si="43"/>
        <v>0</v>
      </c>
      <c r="Y129" s="9">
        <f t="shared" si="44"/>
        <v>0</v>
      </c>
      <c r="Z129" s="9">
        <f t="shared" si="45"/>
        <v>0</v>
      </c>
      <c r="AA129" s="10">
        <f t="shared" si="46"/>
        <v>0</v>
      </c>
    </row>
    <row r="130" spans="1:27" x14ac:dyDescent="0.3">
      <c r="A130" s="4" t="s">
        <v>1303</v>
      </c>
      <c r="B130" s="4">
        <f t="shared" si="24"/>
        <v>0</v>
      </c>
      <c r="C130" s="4">
        <f t="shared" si="25"/>
        <v>0</v>
      </c>
      <c r="D130" s="4">
        <f t="shared" si="26"/>
        <v>0</v>
      </c>
      <c r="E130" s="4">
        <f t="shared" si="27"/>
        <v>0</v>
      </c>
      <c r="F130" s="4">
        <f t="shared" si="28"/>
        <v>1</v>
      </c>
      <c r="G130" s="4">
        <f t="shared" si="29"/>
        <v>0</v>
      </c>
      <c r="I130" s="11" t="s">
        <v>990</v>
      </c>
      <c r="J130" s="9">
        <f t="shared" si="30"/>
        <v>0</v>
      </c>
      <c r="K130" s="9">
        <f t="shared" si="47"/>
        <v>0</v>
      </c>
      <c r="L130" s="9">
        <f t="shared" si="31"/>
        <v>0</v>
      </c>
      <c r="M130" s="9">
        <f t="shared" si="32"/>
        <v>0</v>
      </c>
      <c r="N130" s="9">
        <f t="shared" si="33"/>
        <v>1</v>
      </c>
      <c r="O130" s="9">
        <f t="shared" si="34"/>
        <v>0</v>
      </c>
      <c r="P130" s="9">
        <f t="shared" si="35"/>
        <v>0</v>
      </c>
      <c r="Q130" s="9">
        <f t="shared" si="36"/>
        <v>0</v>
      </c>
      <c r="R130" s="9">
        <f t="shared" si="37"/>
        <v>0</v>
      </c>
      <c r="S130" s="9">
        <f t="shared" si="38"/>
        <v>0</v>
      </c>
      <c r="T130" s="9">
        <f t="shared" si="39"/>
        <v>0</v>
      </c>
      <c r="U130" s="9">
        <f t="shared" si="40"/>
        <v>0</v>
      </c>
      <c r="V130" s="9">
        <f t="shared" si="41"/>
        <v>0</v>
      </c>
      <c r="W130" s="9">
        <f t="shared" si="42"/>
        <v>0</v>
      </c>
      <c r="X130" s="9">
        <f t="shared" si="43"/>
        <v>0</v>
      </c>
      <c r="Y130" s="9">
        <f t="shared" si="44"/>
        <v>0</v>
      </c>
      <c r="Z130" s="9">
        <f t="shared" si="45"/>
        <v>0</v>
      </c>
      <c r="AA130" s="10">
        <f t="shared" si="46"/>
        <v>0</v>
      </c>
    </row>
    <row r="131" spans="1:27" x14ac:dyDescent="0.3">
      <c r="A131" s="18" t="s">
        <v>1302</v>
      </c>
      <c r="B131" s="4">
        <f t="shared" si="24"/>
        <v>1</v>
      </c>
      <c r="C131" s="4">
        <f t="shared" si="25"/>
        <v>0</v>
      </c>
      <c r="D131" s="4">
        <f t="shared" si="26"/>
        <v>0</v>
      </c>
      <c r="E131" s="4">
        <f t="shared" si="27"/>
        <v>0</v>
      </c>
      <c r="F131" s="4">
        <f t="shared" si="28"/>
        <v>0</v>
      </c>
      <c r="G131" s="4">
        <f t="shared" si="29"/>
        <v>0</v>
      </c>
      <c r="I131" s="8" t="s">
        <v>988</v>
      </c>
      <c r="J131" s="9">
        <f t="shared" si="30"/>
        <v>0</v>
      </c>
      <c r="K131" s="9">
        <f t="shared" si="47"/>
        <v>0</v>
      </c>
      <c r="L131" s="9">
        <f t="shared" si="31"/>
        <v>1</v>
      </c>
      <c r="M131" s="9">
        <f t="shared" si="32"/>
        <v>0</v>
      </c>
      <c r="N131" s="9">
        <f t="shared" si="33"/>
        <v>0</v>
      </c>
      <c r="O131" s="9">
        <f t="shared" si="34"/>
        <v>0</v>
      </c>
      <c r="P131" s="9">
        <f t="shared" si="35"/>
        <v>0</v>
      </c>
      <c r="Q131" s="9">
        <f t="shared" si="36"/>
        <v>0</v>
      </c>
      <c r="R131" s="9">
        <f t="shared" si="37"/>
        <v>0</v>
      </c>
      <c r="S131" s="9">
        <f t="shared" si="38"/>
        <v>0</v>
      </c>
      <c r="T131" s="9">
        <f t="shared" si="39"/>
        <v>0</v>
      </c>
      <c r="U131" s="9">
        <f t="shared" si="40"/>
        <v>0</v>
      </c>
      <c r="V131" s="9">
        <f t="shared" si="41"/>
        <v>0</v>
      </c>
      <c r="W131" s="9">
        <f t="shared" si="42"/>
        <v>0</v>
      </c>
      <c r="X131" s="9">
        <f t="shared" si="43"/>
        <v>0</v>
      </c>
      <c r="Y131" s="9">
        <f t="shared" si="44"/>
        <v>0</v>
      </c>
      <c r="Z131" s="9">
        <f t="shared" si="45"/>
        <v>0</v>
      </c>
      <c r="AA131" s="10">
        <f t="shared" si="46"/>
        <v>0</v>
      </c>
    </row>
    <row r="132" spans="1:27" x14ac:dyDescent="0.3">
      <c r="A132" s="4" t="s">
        <v>1303</v>
      </c>
      <c r="B132" s="4">
        <f t="shared" ref="B132:B195" si="48">IF($A132="Asia",1,0)</f>
        <v>0</v>
      </c>
      <c r="C132" s="4">
        <f t="shared" ref="C132:C195" si="49">IF(A132="Europe",1,0)</f>
        <v>0</v>
      </c>
      <c r="D132" s="4">
        <f t="shared" ref="D132:D195" si="50">IF(A132="Africa",1,0)</f>
        <v>0</v>
      </c>
      <c r="E132" s="4">
        <f t="shared" ref="E132:E195" si="51">IF($A132="Australia",1,0)</f>
        <v>0</v>
      </c>
      <c r="F132" s="4">
        <f t="shared" ref="F132:F195" si="52">IF($A132="North America",1,0)</f>
        <v>1</v>
      </c>
      <c r="G132" s="4">
        <f t="shared" ref="G132:G195" si="53">IF($A132="South America",1,0)</f>
        <v>0</v>
      </c>
      <c r="I132" s="11" t="s">
        <v>977</v>
      </c>
      <c r="J132" s="9">
        <f t="shared" ref="J132:J195" si="54">IF(I132="Music",1,0)</f>
        <v>1</v>
      </c>
      <c r="K132" s="9">
        <f t="shared" si="47"/>
        <v>0</v>
      </c>
      <c r="L132" s="9">
        <f t="shared" ref="L132:L195" si="55">IF(I132="Entertainment",1,0)</f>
        <v>0</v>
      </c>
      <c r="M132" s="9">
        <f t="shared" ref="M132:M195" si="56">IF(I132="Nonprofits &amp; Activism",1,0)</f>
        <v>0</v>
      </c>
      <c r="N132" s="9">
        <f t="shared" ref="N132:N195" si="57">IF(I132="Education",1,0)</f>
        <v>0</v>
      </c>
      <c r="O132" s="9">
        <f t="shared" ref="O132:O195" si="58">IF(I132="Shows",1,0)</f>
        <v>0</v>
      </c>
      <c r="P132" s="9">
        <f t="shared" ref="P132:P195" si="59">IF(I132="People &amp; Blogs",1,0)</f>
        <v>0</v>
      </c>
      <c r="Q132" s="9">
        <f t="shared" ref="Q132:Q195" si="60">IF(I132="Gaming",1,0)</f>
        <v>0</v>
      </c>
      <c r="R132" s="9">
        <f t="shared" ref="R132:R195" si="61">IF(I132="Sports",1,0)</f>
        <v>0</v>
      </c>
      <c r="S132" s="9">
        <f t="shared" ref="S132:S195" si="62">IF(I132="Howto &amp; Style",1,0)</f>
        <v>0</v>
      </c>
      <c r="T132" s="9">
        <f t="shared" ref="T132:T195" si="63">IF(I132="News &amp; Politics",1,0)</f>
        <v>0</v>
      </c>
      <c r="U132" s="9">
        <f t="shared" ref="U132:U195" si="64">IF(I132="Comedy",1,0)</f>
        <v>0</v>
      </c>
      <c r="V132" s="9">
        <f t="shared" ref="V132:V195" si="65">IF(I132="Trailers",1,0)</f>
        <v>0</v>
      </c>
      <c r="W132" s="9">
        <f t="shared" ref="W132:W195" si="66">IF(I132="Movies",1,0)</f>
        <v>0</v>
      </c>
      <c r="X132" s="9">
        <f t="shared" ref="X132:X195" si="67">IF(I132="Autos &amp; Vehicles",1,0)</f>
        <v>0</v>
      </c>
      <c r="Y132" s="9">
        <f t="shared" ref="Y132:Y195" si="68">IF(I132="Pets &amp; Animals",1,0)</f>
        <v>0</v>
      </c>
      <c r="Z132" s="9">
        <f t="shared" ref="Z132:Z195" si="69">IF(I132="Science &amp; Technology",1,0)</f>
        <v>0</v>
      </c>
      <c r="AA132" s="10">
        <f t="shared" ref="AA132:AA195" si="70">IF(I132="Travel &amp; Events",1,0)</f>
        <v>0</v>
      </c>
    </row>
    <row r="133" spans="1:27" x14ac:dyDescent="0.3">
      <c r="A133" s="18" t="s">
        <v>1304</v>
      </c>
      <c r="B133" s="4">
        <f t="shared" si="48"/>
        <v>0</v>
      </c>
      <c r="C133" s="4">
        <f t="shared" si="49"/>
        <v>1</v>
      </c>
      <c r="D133" s="4">
        <f t="shared" si="50"/>
        <v>0</v>
      </c>
      <c r="E133" s="4">
        <f t="shared" si="51"/>
        <v>0</v>
      </c>
      <c r="F133" s="4">
        <f t="shared" si="52"/>
        <v>0</v>
      </c>
      <c r="G133" s="4">
        <f t="shared" si="53"/>
        <v>0</v>
      </c>
      <c r="I133" s="8" t="s">
        <v>1294</v>
      </c>
      <c r="J133" s="9">
        <f t="shared" si="54"/>
        <v>0</v>
      </c>
      <c r="K133" s="9">
        <f t="shared" ref="K133:K196" si="71">IF(I133="Film &amp; Animation",1,0)</f>
        <v>0</v>
      </c>
      <c r="L133" s="9">
        <f t="shared" si="55"/>
        <v>0</v>
      </c>
      <c r="M133" s="9">
        <f t="shared" si="56"/>
        <v>0</v>
      </c>
      <c r="N133" s="9">
        <f t="shared" si="57"/>
        <v>0</v>
      </c>
      <c r="O133" s="9">
        <f t="shared" si="58"/>
        <v>0</v>
      </c>
      <c r="P133" s="9">
        <f t="shared" si="59"/>
        <v>0</v>
      </c>
      <c r="Q133" s="9">
        <f t="shared" si="60"/>
        <v>0</v>
      </c>
      <c r="R133" s="9">
        <f t="shared" si="61"/>
        <v>0</v>
      </c>
      <c r="S133" s="9">
        <f t="shared" si="62"/>
        <v>0</v>
      </c>
      <c r="T133" s="9">
        <f t="shared" si="63"/>
        <v>0</v>
      </c>
      <c r="U133" s="9">
        <f t="shared" si="64"/>
        <v>0</v>
      </c>
      <c r="V133" s="9">
        <f t="shared" si="65"/>
        <v>0</v>
      </c>
      <c r="W133" s="9">
        <f t="shared" si="66"/>
        <v>0</v>
      </c>
      <c r="X133" s="9">
        <f t="shared" si="67"/>
        <v>0</v>
      </c>
      <c r="Y133" s="9">
        <f t="shared" si="68"/>
        <v>0</v>
      </c>
      <c r="Z133" s="9">
        <f t="shared" si="69"/>
        <v>0</v>
      </c>
      <c r="AA133" s="10">
        <f t="shared" si="70"/>
        <v>0</v>
      </c>
    </row>
    <row r="134" spans="1:27" x14ac:dyDescent="0.3">
      <c r="A134" s="4" t="s">
        <v>1303</v>
      </c>
      <c r="B134" s="4">
        <f t="shared" si="48"/>
        <v>0</v>
      </c>
      <c r="C134" s="4">
        <f t="shared" si="49"/>
        <v>0</v>
      </c>
      <c r="D134" s="4">
        <f t="shared" si="50"/>
        <v>0</v>
      </c>
      <c r="E134" s="4">
        <f t="shared" si="51"/>
        <v>0</v>
      </c>
      <c r="F134" s="4">
        <f t="shared" si="52"/>
        <v>1</v>
      </c>
      <c r="G134" s="4">
        <f t="shared" si="53"/>
        <v>0</v>
      </c>
      <c r="I134" s="11" t="s">
        <v>977</v>
      </c>
      <c r="J134" s="9">
        <f t="shared" si="54"/>
        <v>1</v>
      </c>
      <c r="K134" s="9">
        <f t="shared" si="71"/>
        <v>0</v>
      </c>
      <c r="L134" s="9">
        <f t="shared" si="55"/>
        <v>0</v>
      </c>
      <c r="M134" s="9">
        <f t="shared" si="56"/>
        <v>0</v>
      </c>
      <c r="N134" s="9">
        <f t="shared" si="57"/>
        <v>0</v>
      </c>
      <c r="O134" s="9">
        <f t="shared" si="58"/>
        <v>0</v>
      </c>
      <c r="P134" s="9">
        <f t="shared" si="59"/>
        <v>0</v>
      </c>
      <c r="Q134" s="9">
        <f t="shared" si="60"/>
        <v>0</v>
      </c>
      <c r="R134" s="9">
        <f t="shared" si="61"/>
        <v>0</v>
      </c>
      <c r="S134" s="9">
        <f t="shared" si="62"/>
        <v>0</v>
      </c>
      <c r="T134" s="9">
        <f t="shared" si="63"/>
        <v>0</v>
      </c>
      <c r="U134" s="9">
        <f t="shared" si="64"/>
        <v>0</v>
      </c>
      <c r="V134" s="9">
        <f t="shared" si="65"/>
        <v>0</v>
      </c>
      <c r="W134" s="9">
        <f t="shared" si="66"/>
        <v>0</v>
      </c>
      <c r="X134" s="9">
        <f t="shared" si="67"/>
        <v>0</v>
      </c>
      <c r="Y134" s="9">
        <f t="shared" si="68"/>
        <v>0</v>
      </c>
      <c r="Z134" s="9">
        <f t="shared" si="69"/>
        <v>0</v>
      </c>
      <c r="AA134" s="10">
        <f t="shared" si="70"/>
        <v>0</v>
      </c>
    </row>
    <row r="135" spans="1:27" x14ac:dyDescent="0.3">
      <c r="A135" s="18" t="s">
        <v>1294</v>
      </c>
      <c r="B135" s="4">
        <f t="shared" si="48"/>
        <v>0</v>
      </c>
      <c r="C135" s="4">
        <f t="shared" si="49"/>
        <v>0</v>
      </c>
      <c r="D135" s="4">
        <f t="shared" si="50"/>
        <v>0</v>
      </c>
      <c r="E135" s="4">
        <f t="shared" si="51"/>
        <v>0</v>
      </c>
      <c r="F135" s="4">
        <f t="shared" si="52"/>
        <v>0</v>
      </c>
      <c r="G135" s="4">
        <f t="shared" si="53"/>
        <v>0</v>
      </c>
      <c r="I135" s="8" t="s">
        <v>982</v>
      </c>
      <c r="J135" s="9">
        <f t="shared" si="54"/>
        <v>0</v>
      </c>
      <c r="K135" s="9">
        <f t="shared" si="71"/>
        <v>1</v>
      </c>
      <c r="L135" s="9">
        <f t="shared" si="55"/>
        <v>0</v>
      </c>
      <c r="M135" s="9">
        <f t="shared" si="56"/>
        <v>0</v>
      </c>
      <c r="N135" s="9">
        <f t="shared" si="57"/>
        <v>0</v>
      </c>
      <c r="O135" s="9">
        <f t="shared" si="58"/>
        <v>0</v>
      </c>
      <c r="P135" s="9">
        <f t="shared" si="59"/>
        <v>0</v>
      </c>
      <c r="Q135" s="9">
        <f t="shared" si="60"/>
        <v>0</v>
      </c>
      <c r="R135" s="9">
        <f t="shared" si="61"/>
        <v>0</v>
      </c>
      <c r="S135" s="9">
        <f t="shared" si="62"/>
        <v>0</v>
      </c>
      <c r="T135" s="9">
        <f t="shared" si="63"/>
        <v>0</v>
      </c>
      <c r="U135" s="9">
        <f t="shared" si="64"/>
        <v>0</v>
      </c>
      <c r="V135" s="9">
        <f t="shared" si="65"/>
        <v>0</v>
      </c>
      <c r="W135" s="9">
        <f t="shared" si="66"/>
        <v>0</v>
      </c>
      <c r="X135" s="9">
        <f t="shared" si="67"/>
        <v>0</v>
      </c>
      <c r="Y135" s="9">
        <f t="shared" si="68"/>
        <v>0</v>
      </c>
      <c r="Z135" s="9">
        <f t="shared" si="69"/>
        <v>0</v>
      </c>
      <c r="AA135" s="10">
        <f t="shared" si="70"/>
        <v>0</v>
      </c>
    </row>
    <row r="136" spans="1:27" x14ac:dyDescent="0.3">
      <c r="A136" s="4" t="s">
        <v>1305</v>
      </c>
      <c r="B136" s="4">
        <f t="shared" si="48"/>
        <v>0</v>
      </c>
      <c r="C136" s="4">
        <f t="shared" si="49"/>
        <v>0</v>
      </c>
      <c r="D136" s="4">
        <f t="shared" si="50"/>
        <v>0</v>
      </c>
      <c r="E136" s="4">
        <f t="shared" si="51"/>
        <v>0</v>
      </c>
      <c r="F136" s="4">
        <f t="shared" si="52"/>
        <v>0</v>
      </c>
      <c r="G136" s="4">
        <f t="shared" si="53"/>
        <v>1</v>
      </c>
      <c r="I136" s="11" t="s">
        <v>996</v>
      </c>
      <c r="J136" s="9">
        <f t="shared" si="54"/>
        <v>0</v>
      </c>
      <c r="K136" s="9">
        <f t="shared" si="71"/>
        <v>0</v>
      </c>
      <c r="L136" s="9">
        <f t="shared" si="55"/>
        <v>0</v>
      </c>
      <c r="M136" s="9">
        <f t="shared" si="56"/>
        <v>0</v>
      </c>
      <c r="N136" s="9">
        <f t="shared" si="57"/>
        <v>0</v>
      </c>
      <c r="O136" s="9">
        <f t="shared" si="58"/>
        <v>0</v>
      </c>
      <c r="P136" s="9">
        <f t="shared" si="59"/>
        <v>0</v>
      </c>
      <c r="Q136" s="9">
        <f t="shared" si="60"/>
        <v>1</v>
      </c>
      <c r="R136" s="9">
        <f t="shared" si="61"/>
        <v>0</v>
      </c>
      <c r="S136" s="9">
        <f t="shared" si="62"/>
        <v>0</v>
      </c>
      <c r="T136" s="9">
        <f t="shared" si="63"/>
        <v>0</v>
      </c>
      <c r="U136" s="9">
        <f t="shared" si="64"/>
        <v>0</v>
      </c>
      <c r="V136" s="9">
        <f t="shared" si="65"/>
        <v>0</v>
      </c>
      <c r="W136" s="9">
        <f t="shared" si="66"/>
        <v>0</v>
      </c>
      <c r="X136" s="9">
        <f t="shared" si="67"/>
        <v>0</v>
      </c>
      <c r="Y136" s="9">
        <f t="shared" si="68"/>
        <v>0</v>
      </c>
      <c r="Z136" s="9">
        <f t="shared" si="69"/>
        <v>0</v>
      </c>
      <c r="AA136" s="10">
        <f t="shared" si="70"/>
        <v>0</v>
      </c>
    </row>
    <row r="137" spans="1:27" x14ac:dyDescent="0.3">
      <c r="A137" s="18" t="s">
        <v>1304</v>
      </c>
      <c r="B137" s="4">
        <f t="shared" si="48"/>
        <v>0</v>
      </c>
      <c r="C137" s="4">
        <f t="shared" si="49"/>
        <v>1</v>
      </c>
      <c r="D137" s="4">
        <f t="shared" si="50"/>
        <v>0</v>
      </c>
      <c r="E137" s="4">
        <f t="shared" si="51"/>
        <v>0</v>
      </c>
      <c r="F137" s="4">
        <f t="shared" si="52"/>
        <v>0</v>
      </c>
      <c r="G137" s="4">
        <f t="shared" si="53"/>
        <v>0</v>
      </c>
      <c r="I137" s="8" t="s">
        <v>992</v>
      </c>
      <c r="J137" s="9">
        <f t="shared" si="54"/>
        <v>0</v>
      </c>
      <c r="K137" s="9">
        <f t="shared" si="71"/>
        <v>0</v>
      </c>
      <c r="L137" s="9">
        <f t="shared" si="55"/>
        <v>0</v>
      </c>
      <c r="M137" s="9">
        <f t="shared" si="56"/>
        <v>0</v>
      </c>
      <c r="N137" s="9">
        <f t="shared" si="57"/>
        <v>0</v>
      </c>
      <c r="O137" s="9">
        <f t="shared" si="58"/>
        <v>1</v>
      </c>
      <c r="P137" s="9">
        <f t="shared" si="59"/>
        <v>0</v>
      </c>
      <c r="Q137" s="9">
        <f t="shared" si="60"/>
        <v>0</v>
      </c>
      <c r="R137" s="9">
        <f t="shared" si="61"/>
        <v>0</v>
      </c>
      <c r="S137" s="9">
        <f t="shared" si="62"/>
        <v>0</v>
      </c>
      <c r="T137" s="9">
        <f t="shared" si="63"/>
        <v>0</v>
      </c>
      <c r="U137" s="9">
        <f t="shared" si="64"/>
        <v>0</v>
      </c>
      <c r="V137" s="9">
        <f t="shared" si="65"/>
        <v>0</v>
      </c>
      <c r="W137" s="9">
        <f t="shared" si="66"/>
        <v>0</v>
      </c>
      <c r="X137" s="9">
        <f t="shared" si="67"/>
        <v>0</v>
      </c>
      <c r="Y137" s="9">
        <f t="shared" si="68"/>
        <v>0</v>
      </c>
      <c r="Z137" s="9">
        <f t="shared" si="69"/>
        <v>0</v>
      </c>
      <c r="AA137" s="10">
        <f t="shared" si="70"/>
        <v>0</v>
      </c>
    </row>
    <row r="138" spans="1:27" x14ac:dyDescent="0.3">
      <c r="A138" s="4" t="s">
        <v>1305</v>
      </c>
      <c r="B138" s="4">
        <f t="shared" si="48"/>
        <v>0</v>
      </c>
      <c r="C138" s="4">
        <f t="shared" si="49"/>
        <v>0</v>
      </c>
      <c r="D138" s="4">
        <f t="shared" si="50"/>
        <v>0</v>
      </c>
      <c r="E138" s="4">
        <f t="shared" si="51"/>
        <v>0</v>
      </c>
      <c r="F138" s="4">
        <f t="shared" si="52"/>
        <v>0</v>
      </c>
      <c r="G138" s="4">
        <f t="shared" si="53"/>
        <v>1</v>
      </c>
      <c r="I138" s="11" t="s">
        <v>977</v>
      </c>
      <c r="J138" s="9">
        <f t="shared" si="54"/>
        <v>1</v>
      </c>
      <c r="K138" s="9">
        <f t="shared" si="71"/>
        <v>0</v>
      </c>
      <c r="L138" s="9">
        <f t="shared" si="55"/>
        <v>0</v>
      </c>
      <c r="M138" s="9">
        <f t="shared" si="56"/>
        <v>0</v>
      </c>
      <c r="N138" s="9">
        <f t="shared" si="57"/>
        <v>0</v>
      </c>
      <c r="O138" s="9">
        <f t="shared" si="58"/>
        <v>0</v>
      </c>
      <c r="P138" s="9">
        <f t="shared" si="59"/>
        <v>0</v>
      </c>
      <c r="Q138" s="9">
        <f t="shared" si="60"/>
        <v>0</v>
      </c>
      <c r="R138" s="9">
        <f t="shared" si="61"/>
        <v>0</v>
      </c>
      <c r="S138" s="9">
        <f t="shared" si="62"/>
        <v>0</v>
      </c>
      <c r="T138" s="9">
        <f t="shared" si="63"/>
        <v>0</v>
      </c>
      <c r="U138" s="9">
        <f t="shared" si="64"/>
        <v>0</v>
      </c>
      <c r="V138" s="9">
        <f t="shared" si="65"/>
        <v>0</v>
      </c>
      <c r="W138" s="9">
        <f t="shared" si="66"/>
        <v>0</v>
      </c>
      <c r="X138" s="9">
        <f t="shared" si="67"/>
        <v>0</v>
      </c>
      <c r="Y138" s="9">
        <f t="shared" si="68"/>
        <v>0</v>
      </c>
      <c r="Z138" s="9">
        <f t="shared" si="69"/>
        <v>0</v>
      </c>
      <c r="AA138" s="10">
        <f t="shared" si="70"/>
        <v>0</v>
      </c>
    </row>
    <row r="139" spans="1:27" x14ac:dyDescent="0.3">
      <c r="A139" s="18" t="s">
        <v>1302</v>
      </c>
      <c r="B139" s="4">
        <f t="shared" si="48"/>
        <v>1</v>
      </c>
      <c r="C139" s="4">
        <f t="shared" si="49"/>
        <v>0</v>
      </c>
      <c r="D139" s="4">
        <f t="shared" si="50"/>
        <v>0</v>
      </c>
      <c r="E139" s="4">
        <f t="shared" si="51"/>
        <v>0</v>
      </c>
      <c r="F139" s="4">
        <f t="shared" si="52"/>
        <v>0</v>
      </c>
      <c r="G139" s="4">
        <f t="shared" si="53"/>
        <v>0</v>
      </c>
      <c r="I139" s="8" t="s">
        <v>988</v>
      </c>
      <c r="J139" s="9">
        <f t="shared" si="54"/>
        <v>0</v>
      </c>
      <c r="K139" s="9">
        <f t="shared" si="71"/>
        <v>0</v>
      </c>
      <c r="L139" s="9">
        <f t="shared" si="55"/>
        <v>1</v>
      </c>
      <c r="M139" s="9">
        <f t="shared" si="56"/>
        <v>0</v>
      </c>
      <c r="N139" s="9">
        <f t="shared" si="57"/>
        <v>0</v>
      </c>
      <c r="O139" s="9">
        <f t="shared" si="58"/>
        <v>0</v>
      </c>
      <c r="P139" s="9">
        <f t="shared" si="59"/>
        <v>0</v>
      </c>
      <c r="Q139" s="9">
        <f t="shared" si="60"/>
        <v>0</v>
      </c>
      <c r="R139" s="9">
        <f t="shared" si="61"/>
        <v>0</v>
      </c>
      <c r="S139" s="9">
        <f t="shared" si="62"/>
        <v>0</v>
      </c>
      <c r="T139" s="9">
        <f t="shared" si="63"/>
        <v>0</v>
      </c>
      <c r="U139" s="9">
        <f t="shared" si="64"/>
        <v>0</v>
      </c>
      <c r="V139" s="9">
        <f t="shared" si="65"/>
        <v>0</v>
      </c>
      <c r="W139" s="9">
        <f t="shared" si="66"/>
        <v>0</v>
      </c>
      <c r="X139" s="9">
        <f t="shared" si="67"/>
        <v>0</v>
      </c>
      <c r="Y139" s="9">
        <f t="shared" si="68"/>
        <v>0</v>
      </c>
      <c r="Z139" s="9">
        <f t="shared" si="69"/>
        <v>0</v>
      </c>
      <c r="AA139" s="10">
        <f t="shared" si="70"/>
        <v>0</v>
      </c>
    </row>
    <row r="140" spans="1:27" x14ac:dyDescent="0.3">
      <c r="A140" s="4" t="s">
        <v>1294</v>
      </c>
      <c r="B140" s="4">
        <f t="shared" si="48"/>
        <v>0</v>
      </c>
      <c r="C140" s="4">
        <f t="shared" si="49"/>
        <v>0</v>
      </c>
      <c r="D140" s="4">
        <f t="shared" si="50"/>
        <v>0</v>
      </c>
      <c r="E140" s="4">
        <f t="shared" si="51"/>
        <v>0</v>
      </c>
      <c r="F140" s="4">
        <f t="shared" si="52"/>
        <v>0</v>
      </c>
      <c r="G140" s="4">
        <f t="shared" si="53"/>
        <v>0</v>
      </c>
      <c r="I140" s="11" t="s">
        <v>977</v>
      </c>
      <c r="J140" s="9">
        <f t="shared" si="54"/>
        <v>1</v>
      </c>
      <c r="K140" s="9">
        <f t="shared" si="71"/>
        <v>0</v>
      </c>
      <c r="L140" s="9">
        <f t="shared" si="55"/>
        <v>0</v>
      </c>
      <c r="M140" s="9">
        <f t="shared" si="56"/>
        <v>0</v>
      </c>
      <c r="N140" s="9">
        <f t="shared" si="57"/>
        <v>0</v>
      </c>
      <c r="O140" s="9">
        <f t="shared" si="58"/>
        <v>0</v>
      </c>
      <c r="P140" s="9">
        <f t="shared" si="59"/>
        <v>0</v>
      </c>
      <c r="Q140" s="9">
        <f t="shared" si="60"/>
        <v>0</v>
      </c>
      <c r="R140" s="9">
        <f t="shared" si="61"/>
        <v>0</v>
      </c>
      <c r="S140" s="9">
        <f t="shared" si="62"/>
        <v>0</v>
      </c>
      <c r="T140" s="9">
        <f t="shared" si="63"/>
        <v>0</v>
      </c>
      <c r="U140" s="9">
        <f t="shared" si="64"/>
        <v>0</v>
      </c>
      <c r="V140" s="9">
        <f t="shared" si="65"/>
        <v>0</v>
      </c>
      <c r="W140" s="9">
        <f t="shared" si="66"/>
        <v>0</v>
      </c>
      <c r="X140" s="9">
        <f t="shared" si="67"/>
        <v>0</v>
      </c>
      <c r="Y140" s="9">
        <f t="shared" si="68"/>
        <v>0</v>
      </c>
      <c r="Z140" s="9">
        <f t="shared" si="69"/>
        <v>0</v>
      </c>
      <c r="AA140" s="10">
        <f t="shared" si="70"/>
        <v>0</v>
      </c>
    </row>
    <row r="141" spans="1:27" x14ac:dyDescent="0.3">
      <c r="A141" s="18" t="s">
        <v>1302</v>
      </c>
      <c r="B141" s="4">
        <f t="shared" si="48"/>
        <v>1</v>
      </c>
      <c r="C141" s="4">
        <f t="shared" si="49"/>
        <v>0</v>
      </c>
      <c r="D141" s="4">
        <f t="shared" si="50"/>
        <v>0</v>
      </c>
      <c r="E141" s="4">
        <f t="shared" si="51"/>
        <v>0</v>
      </c>
      <c r="F141" s="4">
        <f t="shared" si="52"/>
        <v>0</v>
      </c>
      <c r="G141" s="4">
        <f t="shared" si="53"/>
        <v>0</v>
      </c>
      <c r="I141" s="8" t="s">
        <v>988</v>
      </c>
      <c r="J141" s="9">
        <f t="shared" si="54"/>
        <v>0</v>
      </c>
      <c r="K141" s="9">
        <f t="shared" si="71"/>
        <v>0</v>
      </c>
      <c r="L141" s="9">
        <f t="shared" si="55"/>
        <v>1</v>
      </c>
      <c r="M141" s="9">
        <f t="shared" si="56"/>
        <v>0</v>
      </c>
      <c r="N141" s="9">
        <f t="shared" si="57"/>
        <v>0</v>
      </c>
      <c r="O141" s="9">
        <f t="shared" si="58"/>
        <v>0</v>
      </c>
      <c r="P141" s="9">
        <f t="shared" si="59"/>
        <v>0</v>
      </c>
      <c r="Q141" s="9">
        <f t="shared" si="60"/>
        <v>0</v>
      </c>
      <c r="R141" s="9">
        <f t="shared" si="61"/>
        <v>0</v>
      </c>
      <c r="S141" s="9">
        <f t="shared" si="62"/>
        <v>0</v>
      </c>
      <c r="T141" s="9">
        <f t="shared" si="63"/>
        <v>0</v>
      </c>
      <c r="U141" s="9">
        <f t="shared" si="64"/>
        <v>0</v>
      </c>
      <c r="V141" s="9">
        <f t="shared" si="65"/>
        <v>0</v>
      </c>
      <c r="W141" s="9">
        <f t="shared" si="66"/>
        <v>0</v>
      </c>
      <c r="X141" s="9">
        <f t="shared" si="67"/>
        <v>0</v>
      </c>
      <c r="Y141" s="9">
        <f t="shared" si="68"/>
        <v>0</v>
      </c>
      <c r="Z141" s="9">
        <f t="shared" si="69"/>
        <v>0</v>
      </c>
      <c r="AA141" s="10">
        <f t="shared" si="70"/>
        <v>0</v>
      </c>
    </row>
    <row r="142" spans="1:27" x14ac:dyDescent="0.3">
      <c r="A142" s="4" t="s">
        <v>1305</v>
      </c>
      <c r="B142" s="4">
        <f t="shared" si="48"/>
        <v>0</v>
      </c>
      <c r="C142" s="4">
        <f t="shared" si="49"/>
        <v>0</v>
      </c>
      <c r="D142" s="4">
        <f t="shared" si="50"/>
        <v>0</v>
      </c>
      <c r="E142" s="4">
        <f t="shared" si="51"/>
        <v>0</v>
      </c>
      <c r="F142" s="4">
        <f t="shared" si="52"/>
        <v>0</v>
      </c>
      <c r="G142" s="4">
        <f t="shared" si="53"/>
        <v>1</v>
      </c>
      <c r="I142" s="11" t="s">
        <v>1011</v>
      </c>
      <c r="J142" s="9">
        <f t="shared" si="54"/>
        <v>0</v>
      </c>
      <c r="K142" s="9">
        <f t="shared" si="71"/>
        <v>0</v>
      </c>
      <c r="L142" s="9">
        <f t="shared" si="55"/>
        <v>0</v>
      </c>
      <c r="M142" s="9">
        <f t="shared" si="56"/>
        <v>0</v>
      </c>
      <c r="N142" s="9">
        <f t="shared" si="57"/>
        <v>0</v>
      </c>
      <c r="O142" s="9">
        <f t="shared" si="58"/>
        <v>0</v>
      </c>
      <c r="P142" s="9">
        <f t="shared" si="59"/>
        <v>0</v>
      </c>
      <c r="Q142" s="9">
        <f t="shared" si="60"/>
        <v>0</v>
      </c>
      <c r="R142" s="9">
        <f t="shared" si="61"/>
        <v>0</v>
      </c>
      <c r="S142" s="9">
        <f t="shared" si="62"/>
        <v>1</v>
      </c>
      <c r="T142" s="9">
        <f t="shared" si="63"/>
        <v>0</v>
      </c>
      <c r="U142" s="9">
        <f t="shared" si="64"/>
        <v>0</v>
      </c>
      <c r="V142" s="9">
        <f t="shared" si="65"/>
        <v>0</v>
      </c>
      <c r="W142" s="9">
        <f t="shared" si="66"/>
        <v>0</v>
      </c>
      <c r="X142" s="9">
        <f t="shared" si="67"/>
        <v>0</v>
      </c>
      <c r="Y142" s="9">
        <f t="shared" si="68"/>
        <v>0</v>
      </c>
      <c r="Z142" s="9">
        <f t="shared" si="69"/>
        <v>0</v>
      </c>
      <c r="AA142" s="10">
        <f t="shared" si="70"/>
        <v>0</v>
      </c>
    </row>
    <row r="143" spans="1:27" x14ac:dyDescent="0.3">
      <c r="A143" s="18" t="s">
        <v>1302</v>
      </c>
      <c r="B143" s="4">
        <f t="shared" si="48"/>
        <v>1</v>
      </c>
      <c r="C143" s="4">
        <f t="shared" si="49"/>
        <v>0</v>
      </c>
      <c r="D143" s="4">
        <f t="shared" si="50"/>
        <v>0</v>
      </c>
      <c r="E143" s="4">
        <f t="shared" si="51"/>
        <v>0</v>
      </c>
      <c r="F143" s="4">
        <f t="shared" si="52"/>
        <v>0</v>
      </c>
      <c r="G143" s="4">
        <f t="shared" si="53"/>
        <v>0</v>
      </c>
      <c r="I143" s="8" t="s">
        <v>1088</v>
      </c>
      <c r="J143" s="9">
        <f t="shared" si="54"/>
        <v>0</v>
      </c>
      <c r="K143" s="9">
        <f t="shared" si="71"/>
        <v>0</v>
      </c>
      <c r="L143" s="9">
        <f t="shared" si="55"/>
        <v>0</v>
      </c>
      <c r="M143" s="9">
        <f t="shared" si="56"/>
        <v>0</v>
      </c>
      <c r="N143" s="9">
        <f t="shared" si="57"/>
        <v>0</v>
      </c>
      <c r="O143" s="9">
        <f t="shared" si="58"/>
        <v>0</v>
      </c>
      <c r="P143" s="9">
        <f t="shared" si="59"/>
        <v>0</v>
      </c>
      <c r="Q143" s="9">
        <f t="shared" si="60"/>
        <v>0</v>
      </c>
      <c r="R143" s="9">
        <f t="shared" si="61"/>
        <v>0</v>
      </c>
      <c r="S143" s="9">
        <f t="shared" si="62"/>
        <v>0</v>
      </c>
      <c r="T143" s="9">
        <f t="shared" si="63"/>
        <v>0</v>
      </c>
      <c r="U143" s="9">
        <f t="shared" si="64"/>
        <v>0</v>
      </c>
      <c r="V143" s="9">
        <f t="shared" si="65"/>
        <v>0</v>
      </c>
      <c r="W143" s="9">
        <f t="shared" si="66"/>
        <v>0</v>
      </c>
      <c r="X143" s="9">
        <f t="shared" si="67"/>
        <v>0</v>
      </c>
      <c r="Y143" s="9">
        <f t="shared" si="68"/>
        <v>0</v>
      </c>
      <c r="Z143" s="9">
        <f t="shared" si="69"/>
        <v>1</v>
      </c>
      <c r="AA143" s="10">
        <f t="shared" si="70"/>
        <v>0</v>
      </c>
    </row>
    <row r="144" spans="1:27" x14ac:dyDescent="0.3">
      <c r="A144" s="4" t="s">
        <v>1302</v>
      </c>
      <c r="B144" s="4">
        <f t="shared" si="48"/>
        <v>1</v>
      </c>
      <c r="C144" s="4">
        <f t="shared" si="49"/>
        <v>0</v>
      </c>
      <c r="D144" s="4">
        <f t="shared" si="50"/>
        <v>0</v>
      </c>
      <c r="E144" s="4">
        <f t="shared" si="51"/>
        <v>0</v>
      </c>
      <c r="F144" s="4">
        <f t="shared" si="52"/>
        <v>0</v>
      </c>
      <c r="G144" s="4">
        <f t="shared" si="53"/>
        <v>0</v>
      </c>
      <c r="I144" s="11" t="s">
        <v>977</v>
      </c>
      <c r="J144" s="9">
        <f t="shared" si="54"/>
        <v>1</v>
      </c>
      <c r="K144" s="9">
        <f t="shared" si="71"/>
        <v>0</v>
      </c>
      <c r="L144" s="9">
        <f t="shared" si="55"/>
        <v>0</v>
      </c>
      <c r="M144" s="9">
        <f t="shared" si="56"/>
        <v>0</v>
      </c>
      <c r="N144" s="9">
        <f t="shared" si="57"/>
        <v>0</v>
      </c>
      <c r="O144" s="9">
        <f t="shared" si="58"/>
        <v>0</v>
      </c>
      <c r="P144" s="9">
        <f t="shared" si="59"/>
        <v>0</v>
      </c>
      <c r="Q144" s="9">
        <f t="shared" si="60"/>
        <v>0</v>
      </c>
      <c r="R144" s="9">
        <f t="shared" si="61"/>
        <v>0</v>
      </c>
      <c r="S144" s="9">
        <f t="shared" si="62"/>
        <v>0</v>
      </c>
      <c r="T144" s="9">
        <f t="shared" si="63"/>
        <v>0</v>
      </c>
      <c r="U144" s="9">
        <f t="shared" si="64"/>
        <v>0</v>
      </c>
      <c r="V144" s="9">
        <f t="shared" si="65"/>
        <v>0</v>
      </c>
      <c r="W144" s="9">
        <f t="shared" si="66"/>
        <v>0</v>
      </c>
      <c r="X144" s="9">
        <f t="shared" si="67"/>
        <v>0</v>
      </c>
      <c r="Y144" s="9">
        <f t="shared" si="68"/>
        <v>0</v>
      </c>
      <c r="Z144" s="9">
        <f t="shared" si="69"/>
        <v>0</v>
      </c>
      <c r="AA144" s="10">
        <f t="shared" si="70"/>
        <v>0</v>
      </c>
    </row>
    <row r="145" spans="1:27" x14ac:dyDescent="0.3">
      <c r="A145" s="18" t="s">
        <v>1303</v>
      </c>
      <c r="B145" s="4">
        <f t="shared" si="48"/>
        <v>0</v>
      </c>
      <c r="C145" s="4">
        <f t="shared" si="49"/>
        <v>0</v>
      </c>
      <c r="D145" s="4">
        <f t="shared" si="50"/>
        <v>0</v>
      </c>
      <c r="E145" s="4">
        <f t="shared" si="51"/>
        <v>0</v>
      </c>
      <c r="F145" s="4">
        <f t="shared" si="52"/>
        <v>1</v>
      </c>
      <c r="G145" s="4">
        <f t="shared" si="53"/>
        <v>0</v>
      </c>
      <c r="I145" s="8" t="s">
        <v>988</v>
      </c>
      <c r="J145" s="9">
        <f t="shared" si="54"/>
        <v>0</v>
      </c>
      <c r="K145" s="9">
        <f t="shared" si="71"/>
        <v>0</v>
      </c>
      <c r="L145" s="9">
        <f t="shared" si="55"/>
        <v>1</v>
      </c>
      <c r="M145" s="9">
        <f t="shared" si="56"/>
        <v>0</v>
      </c>
      <c r="N145" s="9">
        <f t="shared" si="57"/>
        <v>0</v>
      </c>
      <c r="O145" s="9">
        <f t="shared" si="58"/>
        <v>0</v>
      </c>
      <c r="P145" s="9">
        <f t="shared" si="59"/>
        <v>0</v>
      </c>
      <c r="Q145" s="9">
        <f t="shared" si="60"/>
        <v>0</v>
      </c>
      <c r="R145" s="9">
        <f t="shared" si="61"/>
        <v>0</v>
      </c>
      <c r="S145" s="9">
        <f t="shared" si="62"/>
        <v>0</v>
      </c>
      <c r="T145" s="9">
        <f t="shared" si="63"/>
        <v>0</v>
      </c>
      <c r="U145" s="9">
        <f t="shared" si="64"/>
        <v>0</v>
      </c>
      <c r="V145" s="9">
        <f t="shared" si="65"/>
        <v>0</v>
      </c>
      <c r="W145" s="9">
        <f t="shared" si="66"/>
        <v>0</v>
      </c>
      <c r="X145" s="9">
        <f t="shared" si="67"/>
        <v>0</v>
      </c>
      <c r="Y145" s="9">
        <f t="shared" si="68"/>
        <v>0</v>
      </c>
      <c r="Z145" s="9">
        <f t="shared" si="69"/>
        <v>0</v>
      </c>
      <c r="AA145" s="10">
        <f t="shared" si="70"/>
        <v>0</v>
      </c>
    </row>
    <row r="146" spans="1:27" x14ac:dyDescent="0.3">
      <c r="A146" s="4" t="s">
        <v>1303</v>
      </c>
      <c r="B146" s="4">
        <f t="shared" si="48"/>
        <v>0</v>
      </c>
      <c r="C146" s="4">
        <f t="shared" si="49"/>
        <v>0</v>
      </c>
      <c r="D146" s="4">
        <f t="shared" si="50"/>
        <v>0</v>
      </c>
      <c r="E146" s="4">
        <f t="shared" si="51"/>
        <v>0</v>
      </c>
      <c r="F146" s="4">
        <f t="shared" si="52"/>
        <v>1</v>
      </c>
      <c r="G146" s="4">
        <f t="shared" si="53"/>
        <v>0</v>
      </c>
      <c r="I146" s="11" t="s">
        <v>996</v>
      </c>
      <c r="J146" s="9">
        <f t="shared" si="54"/>
        <v>0</v>
      </c>
      <c r="K146" s="9">
        <f t="shared" si="71"/>
        <v>0</v>
      </c>
      <c r="L146" s="9">
        <f t="shared" si="55"/>
        <v>0</v>
      </c>
      <c r="M146" s="9">
        <f t="shared" si="56"/>
        <v>0</v>
      </c>
      <c r="N146" s="9">
        <f t="shared" si="57"/>
        <v>0</v>
      </c>
      <c r="O146" s="9">
        <f t="shared" si="58"/>
        <v>0</v>
      </c>
      <c r="P146" s="9">
        <f t="shared" si="59"/>
        <v>0</v>
      </c>
      <c r="Q146" s="9">
        <f t="shared" si="60"/>
        <v>1</v>
      </c>
      <c r="R146" s="9">
        <f t="shared" si="61"/>
        <v>0</v>
      </c>
      <c r="S146" s="9">
        <f t="shared" si="62"/>
        <v>0</v>
      </c>
      <c r="T146" s="9">
        <f t="shared" si="63"/>
        <v>0</v>
      </c>
      <c r="U146" s="9">
        <f t="shared" si="64"/>
        <v>0</v>
      </c>
      <c r="V146" s="9">
        <f t="shared" si="65"/>
        <v>0</v>
      </c>
      <c r="W146" s="9">
        <f t="shared" si="66"/>
        <v>0</v>
      </c>
      <c r="X146" s="9">
        <f t="shared" si="67"/>
        <v>0</v>
      </c>
      <c r="Y146" s="9">
        <f t="shared" si="68"/>
        <v>0</v>
      </c>
      <c r="Z146" s="9">
        <f t="shared" si="69"/>
        <v>0</v>
      </c>
      <c r="AA146" s="10">
        <f t="shared" si="70"/>
        <v>0</v>
      </c>
    </row>
    <row r="147" spans="1:27" x14ac:dyDescent="0.3">
      <c r="A147" s="18" t="s">
        <v>1303</v>
      </c>
      <c r="B147" s="4">
        <f t="shared" si="48"/>
        <v>0</v>
      </c>
      <c r="C147" s="4">
        <f t="shared" si="49"/>
        <v>0</v>
      </c>
      <c r="D147" s="4">
        <f t="shared" si="50"/>
        <v>0</v>
      </c>
      <c r="E147" s="4">
        <f t="shared" si="51"/>
        <v>0</v>
      </c>
      <c r="F147" s="4">
        <f t="shared" si="52"/>
        <v>1</v>
      </c>
      <c r="G147" s="4">
        <f t="shared" si="53"/>
        <v>0</v>
      </c>
      <c r="I147" s="8" t="s">
        <v>988</v>
      </c>
      <c r="J147" s="9">
        <f t="shared" si="54"/>
        <v>0</v>
      </c>
      <c r="K147" s="9">
        <f t="shared" si="71"/>
        <v>0</v>
      </c>
      <c r="L147" s="9">
        <f t="shared" si="55"/>
        <v>1</v>
      </c>
      <c r="M147" s="9">
        <f t="shared" si="56"/>
        <v>0</v>
      </c>
      <c r="N147" s="9">
        <f t="shared" si="57"/>
        <v>0</v>
      </c>
      <c r="O147" s="9">
        <f t="shared" si="58"/>
        <v>0</v>
      </c>
      <c r="P147" s="9">
        <f t="shared" si="59"/>
        <v>0</v>
      </c>
      <c r="Q147" s="9">
        <f t="shared" si="60"/>
        <v>0</v>
      </c>
      <c r="R147" s="9">
        <f t="shared" si="61"/>
        <v>0</v>
      </c>
      <c r="S147" s="9">
        <f t="shared" si="62"/>
        <v>0</v>
      </c>
      <c r="T147" s="9">
        <f t="shared" si="63"/>
        <v>0</v>
      </c>
      <c r="U147" s="9">
        <f t="shared" si="64"/>
        <v>0</v>
      </c>
      <c r="V147" s="9">
        <f t="shared" si="65"/>
        <v>0</v>
      </c>
      <c r="W147" s="9">
        <f t="shared" si="66"/>
        <v>0</v>
      </c>
      <c r="X147" s="9">
        <f t="shared" si="67"/>
        <v>0</v>
      </c>
      <c r="Y147" s="9">
        <f t="shared" si="68"/>
        <v>0</v>
      </c>
      <c r="Z147" s="9">
        <f t="shared" si="69"/>
        <v>0</v>
      </c>
      <c r="AA147" s="10">
        <f t="shared" si="70"/>
        <v>0</v>
      </c>
    </row>
    <row r="148" spans="1:27" x14ac:dyDescent="0.3">
      <c r="A148" s="4" t="s">
        <v>1303</v>
      </c>
      <c r="B148" s="4">
        <f t="shared" si="48"/>
        <v>0</v>
      </c>
      <c r="C148" s="4">
        <f t="shared" si="49"/>
        <v>0</v>
      </c>
      <c r="D148" s="4">
        <f t="shared" si="50"/>
        <v>0</v>
      </c>
      <c r="E148" s="4">
        <f t="shared" si="51"/>
        <v>0</v>
      </c>
      <c r="F148" s="4">
        <f t="shared" si="52"/>
        <v>1</v>
      </c>
      <c r="G148" s="4">
        <f t="shared" si="53"/>
        <v>0</v>
      </c>
      <c r="I148" s="11" t="s">
        <v>977</v>
      </c>
      <c r="J148" s="9">
        <f t="shared" si="54"/>
        <v>1</v>
      </c>
      <c r="K148" s="9">
        <f t="shared" si="71"/>
        <v>0</v>
      </c>
      <c r="L148" s="9">
        <f t="shared" si="55"/>
        <v>0</v>
      </c>
      <c r="M148" s="9">
        <f t="shared" si="56"/>
        <v>0</v>
      </c>
      <c r="N148" s="9">
        <f t="shared" si="57"/>
        <v>0</v>
      </c>
      <c r="O148" s="9">
        <f t="shared" si="58"/>
        <v>0</v>
      </c>
      <c r="P148" s="9">
        <f t="shared" si="59"/>
        <v>0</v>
      </c>
      <c r="Q148" s="9">
        <f t="shared" si="60"/>
        <v>0</v>
      </c>
      <c r="R148" s="9">
        <f t="shared" si="61"/>
        <v>0</v>
      </c>
      <c r="S148" s="9">
        <f t="shared" si="62"/>
        <v>0</v>
      </c>
      <c r="T148" s="9">
        <f t="shared" si="63"/>
        <v>0</v>
      </c>
      <c r="U148" s="9">
        <f t="shared" si="64"/>
        <v>0</v>
      </c>
      <c r="V148" s="9">
        <f t="shared" si="65"/>
        <v>0</v>
      </c>
      <c r="W148" s="9">
        <f t="shared" si="66"/>
        <v>0</v>
      </c>
      <c r="X148" s="9">
        <f t="shared" si="67"/>
        <v>0</v>
      </c>
      <c r="Y148" s="9">
        <f t="shared" si="68"/>
        <v>0</v>
      </c>
      <c r="Z148" s="9">
        <f t="shared" si="69"/>
        <v>0</v>
      </c>
      <c r="AA148" s="10">
        <f t="shared" si="70"/>
        <v>0</v>
      </c>
    </row>
    <row r="149" spans="1:27" x14ac:dyDescent="0.3">
      <c r="A149" s="18" t="s">
        <v>1294</v>
      </c>
      <c r="B149" s="4">
        <f t="shared" si="48"/>
        <v>0</v>
      </c>
      <c r="C149" s="4">
        <f t="shared" si="49"/>
        <v>0</v>
      </c>
      <c r="D149" s="4">
        <f t="shared" si="50"/>
        <v>0</v>
      </c>
      <c r="E149" s="4">
        <f t="shared" si="51"/>
        <v>0</v>
      </c>
      <c r="F149" s="4">
        <f t="shared" si="52"/>
        <v>0</v>
      </c>
      <c r="G149" s="4">
        <f t="shared" si="53"/>
        <v>0</v>
      </c>
      <c r="I149" s="8" t="s">
        <v>988</v>
      </c>
      <c r="J149" s="9">
        <f t="shared" si="54"/>
        <v>0</v>
      </c>
      <c r="K149" s="9">
        <f t="shared" si="71"/>
        <v>0</v>
      </c>
      <c r="L149" s="9">
        <f t="shared" si="55"/>
        <v>1</v>
      </c>
      <c r="M149" s="9">
        <f t="shared" si="56"/>
        <v>0</v>
      </c>
      <c r="N149" s="9">
        <f t="shared" si="57"/>
        <v>0</v>
      </c>
      <c r="O149" s="9">
        <f t="shared" si="58"/>
        <v>0</v>
      </c>
      <c r="P149" s="9">
        <f t="shared" si="59"/>
        <v>0</v>
      </c>
      <c r="Q149" s="9">
        <f t="shared" si="60"/>
        <v>0</v>
      </c>
      <c r="R149" s="9">
        <f t="shared" si="61"/>
        <v>0</v>
      </c>
      <c r="S149" s="9">
        <f t="shared" si="62"/>
        <v>0</v>
      </c>
      <c r="T149" s="9">
        <f t="shared" si="63"/>
        <v>0</v>
      </c>
      <c r="U149" s="9">
        <f t="shared" si="64"/>
        <v>0</v>
      </c>
      <c r="V149" s="9">
        <f t="shared" si="65"/>
        <v>0</v>
      </c>
      <c r="W149" s="9">
        <f t="shared" si="66"/>
        <v>0</v>
      </c>
      <c r="X149" s="9">
        <f t="shared" si="67"/>
        <v>0</v>
      </c>
      <c r="Y149" s="9">
        <f t="shared" si="68"/>
        <v>0</v>
      </c>
      <c r="Z149" s="9">
        <f t="shared" si="69"/>
        <v>0</v>
      </c>
      <c r="AA149" s="10">
        <f t="shared" si="70"/>
        <v>0</v>
      </c>
    </row>
    <row r="150" spans="1:27" x14ac:dyDescent="0.3">
      <c r="A150" s="4" t="s">
        <v>1304</v>
      </c>
      <c r="B150" s="4">
        <f t="shared" si="48"/>
        <v>0</v>
      </c>
      <c r="C150" s="4">
        <f t="shared" si="49"/>
        <v>1</v>
      </c>
      <c r="D150" s="4">
        <f t="shared" si="50"/>
        <v>0</v>
      </c>
      <c r="E150" s="4">
        <f t="shared" si="51"/>
        <v>0</v>
      </c>
      <c r="F150" s="4">
        <f t="shared" si="52"/>
        <v>0</v>
      </c>
      <c r="G150" s="4">
        <f t="shared" si="53"/>
        <v>0</v>
      </c>
      <c r="I150" s="11" t="s">
        <v>982</v>
      </c>
      <c r="J150" s="9">
        <f t="shared" si="54"/>
        <v>0</v>
      </c>
      <c r="K150" s="9">
        <f t="shared" si="71"/>
        <v>1</v>
      </c>
      <c r="L150" s="9">
        <f t="shared" si="55"/>
        <v>0</v>
      </c>
      <c r="M150" s="9">
        <f t="shared" si="56"/>
        <v>0</v>
      </c>
      <c r="N150" s="9">
        <f t="shared" si="57"/>
        <v>0</v>
      </c>
      <c r="O150" s="9">
        <f t="shared" si="58"/>
        <v>0</v>
      </c>
      <c r="P150" s="9">
        <f t="shared" si="59"/>
        <v>0</v>
      </c>
      <c r="Q150" s="9">
        <f t="shared" si="60"/>
        <v>0</v>
      </c>
      <c r="R150" s="9">
        <f t="shared" si="61"/>
        <v>0</v>
      </c>
      <c r="S150" s="9">
        <f t="shared" si="62"/>
        <v>0</v>
      </c>
      <c r="T150" s="9">
        <f t="shared" si="63"/>
        <v>0</v>
      </c>
      <c r="U150" s="9">
        <f t="shared" si="64"/>
        <v>0</v>
      </c>
      <c r="V150" s="9">
        <f t="shared" si="65"/>
        <v>0</v>
      </c>
      <c r="W150" s="9">
        <f t="shared" si="66"/>
        <v>0</v>
      </c>
      <c r="X150" s="9">
        <f t="shared" si="67"/>
        <v>0</v>
      </c>
      <c r="Y150" s="9">
        <f t="shared" si="68"/>
        <v>0</v>
      </c>
      <c r="Z150" s="9">
        <f t="shared" si="69"/>
        <v>0</v>
      </c>
      <c r="AA150" s="10">
        <f t="shared" si="70"/>
        <v>0</v>
      </c>
    </row>
    <row r="151" spans="1:27" x14ac:dyDescent="0.3">
      <c r="A151" s="18" t="s">
        <v>1303</v>
      </c>
      <c r="B151" s="4">
        <f t="shared" si="48"/>
        <v>0</v>
      </c>
      <c r="C151" s="4">
        <f t="shared" si="49"/>
        <v>0</v>
      </c>
      <c r="D151" s="4">
        <f t="shared" si="50"/>
        <v>0</v>
      </c>
      <c r="E151" s="4">
        <f t="shared" si="51"/>
        <v>0</v>
      </c>
      <c r="F151" s="4">
        <f t="shared" si="52"/>
        <v>1</v>
      </c>
      <c r="G151" s="4">
        <f t="shared" si="53"/>
        <v>0</v>
      </c>
      <c r="I151" s="8" t="s">
        <v>1044</v>
      </c>
      <c r="J151" s="9">
        <f t="shared" si="54"/>
        <v>0</v>
      </c>
      <c r="K151" s="9">
        <f t="shared" si="71"/>
        <v>0</v>
      </c>
      <c r="L151" s="9">
        <f t="shared" si="55"/>
        <v>0</v>
      </c>
      <c r="M151" s="9">
        <f t="shared" si="56"/>
        <v>0</v>
      </c>
      <c r="N151" s="9">
        <f t="shared" si="57"/>
        <v>0</v>
      </c>
      <c r="O151" s="9">
        <f t="shared" si="58"/>
        <v>0</v>
      </c>
      <c r="P151" s="9">
        <f t="shared" si="59"/>
        <v>0</v>
      </c>
      <c r="Q151" s="9">
        <f t="shared" si="60"/>
        <v>0</v>
      </c>
      <c r="R151" s="9">
        <f t="shared" si="61"/>
        <v>0</v>
      </c>
      <c r="S151" s="9">
        <f t="shared" si="62"/>
        <v>0</v>
      </c>
      <c r="T151" s="9">
        <f t="shared" si="63"/>
        <v>0</v>
      </c>
      <c r="U151" s="9">
        <f t="shared" si="64"/>
        <v>1</v>
      </c>
      <c r="V151" s="9">
        <f t="shared" si="65"/>
        <v>0</v>
      </c>
      <c r="W151" s="9">
        <f t="shared" si="66"/>
        <v>0</v>
      </c>
      <c r="X151" s="9">
        <f t="shared" si="67"/>
        <v>0</v>
      </c>
      <c r="Y151" s="9">
        <f t="shared" si="68"/>
        <v>0</v>
      </c>
      <c r="Z151" s="9">
        <f t="shared" si="69"/>
        <v>0</v>
      </c>
      <c r="AA151" s="10">
        <f t="shared" si="70"/>
        <v>0</v>
      </c>
    </row>
    <row r="152" spans="1:27" x14ac:dyDescent="0.3">
      <c r="A152" s="4" t="s">
        <v>1305</v>
      </c>
      <c r="B152" s="4">
        <f t="shared" si="48"/>
        <v>0</v>
      </c>
      <c r="C152" s="4">
        <f t="shared" si="49"/>
        <v>0</v>
      </c>
      <c r="D152" s="4">
        <f t="shared" si="50"/>
        <v>0</v>
      </c>
      <c r="E152" s="4">
        <f t="shared" si="51"/>
        <v>0</v>
      </c>
      <c r="F152" s="4">
        <f t="shared" si="52"/>
        <v>0</v>
      </c>
      <c r="G152" s="4">
        <f t="shared" si="53"/>
        <v>1</v>
      </c>
      <c r="I152" s="11" t="s">
        <v>988</v>
      </c>
      <c r="J152" s="9">
        <f t="shared" si="54"/>
        <v>0</v>
      </c>
      <c r="K152" s="9">
        <f t="shared" si="71"/>
        <v>0</v>
      </c>
      <c r="L152" s="9">
        <f t="shared" si="55"/>
        <v>1</v>
      </c>
      <c r="M152" s="9">
        <f t="shared" si="56"/>
        <v>0</v>
      </c>
      <c r="N152" s="9">
        <f t="shared" si="57"/>
        <v>0</v>
      </c>
      <c r="O152" s="9">
        <f t="shared" si="58"/>
        <v>0</v>
      </c>
      <c r="P152" s="9">
        <f t="shared" si="59"/>
        <v>0</v>
      </c>
      <c r="Q152" s="9">
        <f t="shared" si="60"/>
        <v>0</v>
      </c>
      <c r="R152" s="9">
        <f t="shared" si="61"/>
        <v>0</v>
      </c>
      <c r="S152" s="9">
        <f t="shared" si="62"/>
        <v>0</v>
      </c>
      <c r="T152" s="9">
        <f t="shared" si="63"/>
        <v>0</v>
      </c>
      <c r="U152" s="9">
        <f t="shared" si="64"/>
        <v>0</v>
      </c>
      <c r="V152" s="9">
        <f t="shared" si="65"/>
        <v>0</v>
      </c>
      <c r="W152" s="9">
        <f t="shared" si="66"/>
        <v>0</v>
      </c>
      <c r="X152" s="9">
        <f t="shared" si="67"/>
        <v>0</v>
      </c>
      <c r="Y152" s="9">
        <f t="shared" si="68"/>
        <v>0</v>
      </c>
      <c r="Z152" s="9">
        <f t="shared" si="69"/>
        <v>0</v>
      </c>
      <c r="AA152" s="10">
        <f t="shared" si="70"/>
        <v>0</v>
      </c>
    </row>
    <row r="153" spans="1:27" x14ac:dyDescent="0.3">
      <c r="A153" s="18" t="s">
        <v>1305</v>
      </c>
      <c r="B153" s="4">
        <f t="shared" si="48"/>
        <v>0</v>
      </c>
      <c r="C153" s="4">
        <f t="shared" si="49"/>
        <v>0</v>
      </c>
      <c r="D153" s="4">
        <f t="shared" si="50"/>
        <v>0</v>
      </c>
      <c r="E153" s="4">
        <f t="shared" si="51"/>
        <v>0</v>
      </c>
      <c r="F153" s="4">
        <f t="shared" si="52"/>
        <v>0</v>
      </c>
      <c r="G153" s="4">
        <f t="shared" si="53"/>
        <v>1</v>
      </c>
      <c r="I153" s="8" t="s">
        <v>994</v>
      </c>
      <c r="J153" s="9">
        <f t="shared" si="54"/>
        <v>0</v>
      </c>
      <c r="K153" s="9">
        <f t="shared" si="71"/>
        <v>0</v>
      </c>
      <c r="L153" s="9">
        <f t="shared" si="55"/>
        <v>0</v>
      </c>
      <c r="M153" s="9">
        <f t="shared" si="56"/>
        <v>0</v>
      </c>
      <c r="N153" s="9">
        <f t="shared" si="57"/>
        <v>0</v>
      </c>
      <c r="O153" s="9">
        <f t="shared" si="58"/>
        <v>0</v>
      </c>
      <c r="P153" s="9">
        <f t="shared" si="59"/>
        <v>1</v>
      </c>
      <c r="Q153" s="9">
        <f t="shared" si="60"/>
        <v>0</v>
      </c>
      <c r="R153" s="9">
        <f t="shared" si="61"/>
        <v>0</v>
      </c>
      <c r="S153" s="9">
        <f t="shared" si="62"/>
        <v>0</v>
      </c>
      <c r="T153" s="9">
        <f t="shared" si="63"/>
        <v>0</v>
      </c>
      <c r="U153" s="9">
        <f t="shared" si="64"/>
        <v>0</v>
      </c>
      <c r="V153" s="9">
        <f t="shared" si="65"/>
        <v>0</v>
      </c>
      <c r="W153" s="9">
        <f t="shared" si="66"/>
        <v>0</v>
      </c>
      <c r="X153" s="9">
        <f t="shared" si="67"/>
        <v>0</v>
      </c>
      <c r="Y153" s="9">
        <f t="shared" si="68"/>
        <v>0</v>
      </c>
      <c r="Z153" s="9">
        <f t="shared" si="69"/>
        <v>0</v>
      </c>
      <c r="AA153" s="10">
        <f t="shared" si="70"/>
        <v>0</v>
      </c>
    </row>
    <row r="154" spans="1:27" x14ac:dyDescent="0.3">
      <c r="A154" s="4" t="s">
        <v>1302</v>
      </c>
      <c r="B154" s="4">
        <f t="shared" si="48"/>
        <v>1</v>
      </c>
      <c r="C154" s="4">
        <f t="shared" si="49"/>
        <v>0</v>
      </c>
      <c r="D154" s="4">
        <f t="shared" si="50"/>
        <v>0</v>
      </c>
      <c r="E154" s="4">
        <f t="shared" si="51"/>
        <v>0</v>
      </c>
      <c r="F154" s="4">
        <f t="shared" si="52"/>
        <v>0</v>
      </c>
      <c r="G154" s="4">
        <f t="shared" si="53"/>
        <v>0</v>
      </c>
      <c r="I154" s="11" t="s">
        <v>1044</v>
      </c>
      <c r="J154" s="9">
        <f t="shared" si="54"/>
        <v>0</v>
      </c>
      <c r="K154" s="9">
        <f t="shared" si="71"/>
        <v>0</v>
      </c>
      <c r="L154" s="9">
        <f t="shared" si="55"/>
        <v>0</v>
      </c>
      <c r="M154" s="9">
        <f t="shared" si="56"/>
        <v>0</v>
      </c>
      <c r="N154" s="9">
        <f t="shared" si="57"/>
        <v>0</v>
      </c>
      <c r="O154" s="9">
        <f t="shared" si="58"/>
        <v>0</v>
      </c>
      <c r="P154" s="9">
        <f t="shared" si="59"/>
        <v>0</v>
      </c>
      <c r="Q154" s="9">
        <f t="shared" si="60"/>
        <v>0</v>
      </c>
      <c r="R154" s="9">
        <f t="shared" si="61"/>
        <v>0</v>
      </c>
      <c r="S154" s="9">
        <f t="shared" si="62"/>
        <v>0</v>
      </c>
      <c r="T154" s="9">
        <f t="shared" si="63"/>
        <v>0</v>
      </c>
      <c r="U154" s="9">
        <f t="shared" si="64"/>
        <v>1</v>
      </c>
      <c r="V154" s="9">
        <f t="shared" si="65"/>
        <v>0</v>
      </c>
      <c r="W154" s="9">
        <f t="shared" si="66"/>
        <v>0</v>
      </c>
      <c r="X154" s="9">
        <f t="shared" si="67"/>
        <v>0</v>
      </c>
      <c r="Y154" s="9">
        <f t="shared" si="68"/>
        <v>0</v>
      </c>
      <c r="Z154" s="9">
        <f t="shared" si="69"/>
        <v>0</v>
      </c>
      <c r="AA154" s="10">
        <f t="shared" si="70"/>
        <v>0</v>
      </c>
    </row>
    <row r="155" spans="1:27" x14ac:dyDescent="0.3">
      <c r="A155" s="18" t="s">
        <v>1303</v>
      </c>
      <c r="B155" s="4">
        <f t="shared" si="48"/>
        <v>0</v>
      </c>
      <c r="C155" s="4">
        <f t="shared" si="49"/>
        <v>0</v>
      </c>
      <c r="D155" s="4">
        <f t="shared" si="50"/>
        <v>0</v>
      </c>
      <c r="E155" s="4">
        <f t="shared" si="51"/>
        <v>0</v>
      </c>
      <c r="F155" s="4">
        <f t="shared" si="52"/>
        <v>1</v>
      </c>
      <c r="G155" s="4">
        <f t="shared" si="53"/>
        <v>0</v>
      </c>
      <c r="I155" s="8" t="s">
        <v>1294</v>
      </c>
      <c r="J155" s="9">
        <f t="shared" si="54"/>
        <v>0</v>
      </c>
      <c r="K155" s="9">
        <f t="shared" si="71"/>
        <v>0</v>
      </c>
      <c r="L155" s="9">
        <f t="shared" si="55"/>
        <v>0</v>
      </c>
      <c r="M155" s="9">
        <f t="shared" si="56"/>
        <v>0</v>
      </c>
      <c r="N155" s="9">
        <f t="shared" si="57"/>
        <v>0</v>
      </c>
      <c r="O155" s="9">
        <f t="shared" si="58"/>
        <v>0</v>
      </c>
      <c r="P155" s="9">
        <f t="shared" si="59"/>
        <v>0</v>
      </c>
      <c r="Q155" s="9">
        <f t="shared" si="60"/>
        <v>0</v>
      </c>
      <c r="R155" s="9">
        <f t="shared" si="61"/>
        <v>0</v>
      </c>
      <c r="S155" s="9">
        <f t="shared" si="62"/>
        <v>0</v>
      </c>
      <c r="T155" s="9">
        <f t="shared" si="63"/>
        <v>0</v>
      </c>
      <c r="U155" s="9">
        <f t="shared" si="64"/>
        <v>0</v>
      </c>
      <c r="V155" s="9">
        <f t="shared" si="65"/>
        <v>0</v>
      </c>
      <c r="W155" s="9">
        <f t="shared" si="66"/>
        <v>0</v>
      </c>
      <c r="X155" s="9">
        <f t="shared" si="67"/>
        <v>0</v>
      </c>
      <c r="Y155" s="9">
        <f t="shared" si="68"/>
        <v>0</v>
      </c>
      <c r="Z155" s="9">
        <f t="shared" si="69"/>
        <v>0</v>
      </c>
      <c r="AA155" s="10">
        <f t="shared" si="70"/>
        <v>0</v>
      </c>
    </row>
    <row r="156" spans="1:27" x14ac:dyDescent="0.3">
      <c r="A156" s="4" t="s">
        <v>1303</v>
      </c>
      <c r="B156" s="4">
        <f t="shared" si="48"/>
        <v>0</v>
      </c>
      <c r="C156" s="4">
        <f t="shared" si="49"/>
        <v>0</v>
      </c>
      <c r="D156" s="4">
        <f t="shared" si="50"/>
        <v>0</v>
      </c>
      <c r="E156" s="4">
        <f t="shared" si="51"/>
        <v>0</v>
      </c>
      <c r="F156" s="4">
        <f t="shared" si="52"/>
        <v>1</v>
      </c>
      <c r="G156" s="4">
        <f t="shared" si="53"/>
        <v>0</v>
      </c>
      <c r="I156" s="11" t="s">
        <v>977</v>
      </c>
      <c r="J156" s="9">
        <f t="shared" si="54"/>
        <v>1</v>
      </c>
      <c r="K156" s="9">
        <f t="shared" si="71"/>
        <v>0</v>
      </c>
      <c r="L156" s="9">
        <f t="shared" si="55"/>
        <v>0</v>
      </c>
      <c r="M156" s="9">
        <f t="shared" si="56"/>
        <v>0</v>
      </c>
      <c r="N156" s="9">
        <f t="shared" si="57"/>
        <v>0</v>
      </c>
      <c r="O156" s="9">
        <f t="shared" si="58"/>
        <v>0</v>
      </c>
      <c r="P156" s="9">
        <f t="shared" si="59"/>
        <v>0</v>
      </c>
      <c r="Q156" s="9">
        <f t="shared" si="60"/>
        <v>0</v>
      </c>
      <c r="R156" s="9">
        <f t="shared" si="61"/>
        <v>0</v>
      </c>
      <c r="S156" s="9">
        <f t="shared" si="62"/>
        <v>0</v>
      </c>
      <c r="T156" s="9">
        <f t="shared" si="63"/>
        <v>0</v>
      </c>
      <c r="U156" s="9">
        <f t="shared" si="64"/>
        <v>0</v>
      </c>
      <c r="V156" s="9">
        <f t="shared" si="65"/>
        <v>0</v>
      </c>
      <c r="W156" s="9">
        <f t="shared" si="66"/>
        <v>0</v>
      </c>
      <c r="X156" s="9">
        <f t="shared" si="67"/>
        <v>0</v>
      </c>
      <c r="Y156" s="9">
        <f t="shared" si="68"/>
        <v>0</v>
      </c>
      <c r="Z156" s="9">
        <f t="shared" si="69"/>
        <v>0</v>
      </c>
      <c r="AA156" s="10">
        <f t="shared" si="70"/>
        <v>0</v>
      </c>
    </row>
    <row r="157" spans="1:27" x14ac:dyDescent="0.3">
      <c r="A157" s="18" t="s">
        <v>1302</v>
      </c>
      <c r="B157" s="4">
        <f t="shared" si="48"/>
        <v>1</v>
      </c>
      <c r="C157" s="4">
        <f t="shared" si="49"/>
        <v>0</v>
      </c>
      <c r="D157" s="4">
        <f t="shared" si="50"/>
        <v>0</v>
      </c>
      <c r="E157" s="4">
        <f t="shared" si="51"/>
        <v>0</v>
      </c>
      <c r="F157" s="4">
        <f t="shared" si="52"/>
        <v>0</v>
      </c>
      <c r="G157" s="4">
        <f t="shared" si="53"/>
        <v>0</v>
      </c>
      <c r="I157" s="8" t="s">
        <v>1026</v>
      </c>
      <c r="J157" s="9">
        <f t="shared" si="54"/>
        <v>0</v>
      </c>
      <c r="K157" s="9">
        <f t="shared" si="71"/>
        <v>0</v>
      </c>
      <c r="L157" s="9">
        <f t="shared" si="55"/>
        <v>0</v>
      </c>
      <c r="M157" s="9">
        <f t="shared" si="56"/>
        <v>0</v>
      </c>
      <c r="N157" s="9">
        <f t="shared" si="57"/>
        <v>0</v>
      </c>
      <c r="O157" s="9">
        <f t="shared" si="58"/>
        <v>0</v>
      </c>
      <c r="P157" s="9">
        <f t="shared" si="59"/>
        <v>0</v>
      </c>
      <c r="Q157" s="9">
        <f t="shared" si="60"/>
        <v>0</v>
      </c>
      <c r="R157" s="9">
        <f t="shared" si="61"/>
        <v>0</v>
      </c>
      <c r="S157" s="9">
        <f t="shared" si="62"/>
        <v>0</v>
      </c>
      <c r="T157" s="9">
        <f t="shared" si="63"/>
        <v>1</v>
      </c>
      <c r="U157" s="9">
        <f t="shared" si="64"/>
        <v>0</v>
      </c>
      <c r="V157" s="9">
        <f t="shared" si="65"/>
        <v>0</v>
      </c>
      <c r="W157" s="9">
        <f t="shared" si="66"/>
        <v>0</v>
      </c>
      <c r="X157" s="9">
        <f t="shared" si="67"/>
        <v>0</v>
      </c>
      <c r="Y157" s="9">
        <f t="shared" si="68"/>
        <v>0</v>
      </c>
      <c r="Z157" s="9">
        <f t="shared" si="69"/>
        <v>0</v>
      </c>
      <c r="AA157" s="10">
        <f t="shared" si="70"/>
        <v>0</v>
      </c>
    </row>
    <row r="158" spans="1:27" x14ac:dyDescent="0.3">
      <c r="A158" s="4" t="s">
        <v>1302</v>
      </c>
      <c r="B158" s="4">
        <f t="shared" si="48"/>
        <v>1</v>
      </c>
      <c r="C158" s="4">
        <f t="shared" si="49"/>
        <v>0</v>
      </c>
      <c r="D158" s="4">
        <f t="shared" si="50"/>
        <v>0</v>
      </c>
      <c r="E158" s="4">
        <f t="shared" si="51"/>
        <v>0</v>
      </c>
      <c r="F158" s="4">
        <f t="shared" si="52"/>
        <v>0</v>
      </c>
      <c r="G158" s="4">
        <f t="shared" si="53"/>
        <v>0</v>
      </c>
      <c r="I158" s="11" t="s">
        <v>996</v>
      </c>
      <c r="J158" s="9">
        <f t="shared" si="54"/>
        <v>0</v>
      </c>
      <c r="K158" s="9">
        <f t="shared" si="71"/>
        <v>0</v>
      </c>
      <c r="L158" s="9">
        <f t="shared" si="55"/>
        <v>0</v>
      </c>
      <c r="M158" s="9">
        <f t="shared" si="56"/>
        <v>0</v>
      </c>
      <c r="N158" s="9">
        <f t="shared" si="57"/>
        <v>0</v>
      </c>
      <c r="O158" s="9">
        <f t="shared" si="58"/>
        <v>0</v>
      </c>
      <c r="P158" s="9">
        <f t="shared" si="59"/>
        <v>0</v>
      </c>
      <c r="Q158" s="9">
        <f t="shared" si="60"/>
        <v>1</v>
      </c>
      <c r="R158" s="9">
        <f t="shared" si="61"/>
        <v>0</v>
      </c>
      <c r="S158" s="9">
        <f t="shared" si="62"/>
        <v>0</v>
      </c>
      <c r="T158" s="9">
        <f t="shared" si="63"/>
        <v>0</v>
      </c>
      <c r="U158" s="9">
        <f t="shared" si="64"/>
        <v>0</v>
      </c>
      <c r="V158" s="9">
        <f t="shared" si="65"/>
        <v>0</v>
      </c>
      <c r="W158" s="9">
        <f t="shared" si="66"/>
        <v>0</v>
      </c>
      <c r="X158" s="9">
        <f t="shared" si="67"/>
        <v>0</v>
      </c>
      <c r="Y158" s="9">
        <f t="shared" si="68"/>
        <v>0</v>
      </c>
      <c r="Z158" s="9">
        <f t="shared" si="69"/>
        <v>0</v>
      </c>
      <c r="AA158" s="10">
        <f t="shared" si="70"/>
        <v>0</v>
      </c>
    </row>
    <row r="159" spans="1:27" x14ac:dyDescent="0.3">
      <c r="A159" s="18" t="s">
        <v>1303</v>
      </c>
      <c r="B159" s="4">
        <f t="shared" si="48"/>
        <v>0</v>
      </c>
      <c r="C159" s="4">
        <f t="shared" si="49"/>
        <v>0</v>
      </c>
      <c r="D159" s="4">
        <f t="shared" si="50"/>
        <v>0</v>
      </c>
      <c r="E159" s="4">
        <f t="shared" si="51"/>
        <v>0</v>
      </c>
      <c r="F159" s="4">
        <f t="shared" si="52"/>
        <v>1</v>
      </c>
      <c r="G159" s="4">
        <f t="shared" si="53"/>
        <v>0</v>
      </c>
      <c r="I159" s="8" t="s">
        <v>977</v>
      </c>
      <c r="J159" s="9">
        <f t="shared" si="54"/>
        <v>1</v>
      </c>
      <c r="K159" s="9">
        <f t="shared" si="71"/>
        <v>0</v>
      </c>
      <c r="L159" s="9">
        <f t="shared" si="55"/>
        <v>0</v>
      </c>
      <c r="M159" s="9">
        <f t="shared" si="56"/>
        <v>0</v>
      </c>
      <c r="N159" s="9">
        <f t="shared" si="57"/>
        <v>0</v>
      </c>
      <c r="O159" s="9">
        <f t="shared" si="58"/>
        <v>0</v>
      </c>
      <c r="P159" s="9">
        <f t="shared" si="59"/>
        <v>0</v>
      </c>
      <c r="Q159" s="9">
        <f t="shared" si="60"/>
        <v>0</v>
      </c>
      <c r="R159" s="9">
        <f t="shared" si="61"/>
        <v>0</v>
      </c>
      <c r="S159" s="9">
        <f t="shared" si="62"/>
        <v>0</v>
      </c>
      <c r="T159" s="9">
        <f t="shared" si="63"/>
        <v>0</v>
      </c>
      <c r="U159" s="9">
        <f t="shared" si="64"/>
        <v>0</v>
      </c>
      <c r="V159" s="9">
        <f t="shared" si="65"/>
        <v>0</v>
      </c>
      <c r="W159" s="9">
        <f t="shared" si="66"/>
        <v>0</v>
      </c>
      <c r="X159" s="9">
        <f t="shared" si="67"/>
        <v>0</v>
      </c>
      <c r="Y159" s="9">
        <f t="shared" si="68"/>
        <v>0</v>
      </c>
      <c r="Z159" s="9">
        <f t="shared" si="69"/>
        <v>0</v>
      </c>
      <c r="AA159" s="10">
        <f t="shared" si="70"/>
        <v>0</v>
      </c>
    </row>
    <row r="160" spans="1:27" x14ac:dyDescent="0.3">
      <c r="A160" s="4" t="s">
        <v>1302</v>
      </c>
      <c r="B160" s="4">
        <f t="shared" si="48"/>
        <v>1</v>
      </c>
      <c r="C160" s="4">
        <f t="shared" si="49"/>
        <v>0</v>
      </c>
      <c r="D160" s="4">
        <f t="shared" si="50"/>
        <v>0</v>
      </c>
      <c r="E160" s="4">
        <f t="shared" si="51"/>
        <v>0</v>
      </c>
      <c r="F160" s="4">
        <f t="shared" si="52"/>
        <v>0</v>
      </c>
      <c r="G160" s="4">
        <f t="shared" si="53"/>
        <v>0</v>
      </c>
      <c r="I160" s="11" t="s">
        <v>988</v>
      </c>
      <c r="J160" s="9">
        <f t="shared" si="54"/>
        <v>0</v>
      </c>
      <c r="K160" s="9">
        <f t="shared" si="71"/>
        <v>0</v>
      </c>
      <c r="L160" s="9">
        <f t="shared" si="55"/>
        <v>1</v>
      </c>
      <c r="M160" s="9">
        <f t="shared" si="56"/>
        <v>0</v>
      </c>
      <c r="N160" s="9">
        <f t="shared" si="57"/>
        <v>0</v>
      </c>
      <c r="O160" s="9">
        <f t="shared" si="58"/>
        <v>0</v>
      </c>
      <c r="P160" s="9">
        <f t="shared" si="59"/>
        <v>0</v>
      </c>
      <c r="Q160" s="9">
        <f t="shared" si="60"/>
        <v>0</v>
      </c>
      <c r="R160" s="9">
        <f t="shared" si="61"/>
        <v>0</v>
      </c>
      <c r="S160" s="9">
        <f t="shared" si="62"/>
        <v>0</v>
      </c>
      <c r="T160" s="9">
        <f t="shared" si="63"/>
        <v>0</v>
      </c>
      <c r="U160" s="9">
        <f t="shared" si="64"/>
        <v>0</v>
      </c>
      <c r="V160" s="9">
        <f t="shared" si="65"/>
        <v>0</v>
      </c>
      <c r="W160" s="9">
        <f t="shared" si="66"/>
        <v>0</v>
      </c>
      <c r="X160" s="9">
        <f t="shared" si="67"/>
        <v>0</v>
      </c>
      <c r="Y160" s="9">
        <f t="shared" si="68"/>
        <v>0</v>
      </c>
      <c r="Z160" s="9">
        <f t="shared" si="69"/>
        <v>0</v>
      </c>
      <c r="AA160" s="10">
        <f t="shared" si="70"/>
        <v>0</v>
      </c>
    </row>
    <row r="161" spans="1:27" x14ac:dyDescent="0.3">
      <c r="A161" s="18" t="s">
        <v>1303</v>
      </c>
      <c r="B161" s="4">
        <f t="shared" si="48"/>
        <v>0</v>
      </c>
      <c r="C161" s="4">
        <f t="shared" si="49"/>
        <v>0</v>
      </c>
      <c r="D161" s="4">
        <f t="shared" si="50"/>
        <v>0</v>
      </c>
      <c r="E161" s="4">
        <f t="shared" si="51"/>
        <v>0</v>
      </c>
      <c r="F161" s="4">
        <f t="shared" si="52"/>
        <v>1</v>
      </c>
      <c r="G161" s="4">
        <f t="shared" si="53"/>
        <v>0</v>
      </c>
      <c r="I161" s="8" t="s">
        <v>988</v>
      </c>
      <c r="J161" s="9">
        <f t="shared" si="54"/>
        <v>0</v>
      </c>
      <c r="K161" s="9">
        <f t="shared" si="71"/>
        <v>0</v>
      </c>
      <c r="L161" s="9">
        <f t="shared" si="55"/>
        <v>1</v>
      </c>
      <c r="M161" s="9">
        <f t="shared" si="56"/>
        <v>0</v>
      </c>
      <c r="N161" s="9">
        <f t="shared" si="57"/>
        <v>0</v>
      </c>
      <c r="O161" s="9">
        <f t="shared" si="58"/>
        <v>0</v>
      </c>
      <c r="P161" s="9">
        <f t="shared" si="59"/>
        <v>0</v>
      </c>
      <c r="Q161" s="9">
        <f t="shared" si="60"/>
        <v>0</v>
      </c>
      <c r="R161" s="9">
        <f t="shared" si="61"/>
        <v>0</v>
      </c>
      <c r="S161" s="9">
        <f t="shared" si="62"/>
        <v>0</v>
      </c>
      <c r="T161" s="9">
        <f t="shared" si="63"/>
        <v>0</v>
      </c>
      <c r="U161" s="9">
        <f t="shared" si="64"/>
        <v>0</v>
      </c>
      <c r="V161" s="9">
        <f t="shared" si="65"/>
        <v>0</v>
      </c>
      <c r="W161" s="9">
        <f t="shared" si="66"/>
        <v>0</v>
      </c>
      <c r="X161" s="9">
        <f t="shared" si="67"/>
        <v>0</v>
      </c>
      <c r="Y161" s="9">
        <f t="shared" si="68"/>
        <v>0</v>
      </c>
      <c r="Z161" s="9">
        <f t="shared" si="69"/>
        <v>0</v>
      </c>
      <c r="AA161" s="10">
        <f t="shared" si="70"/>
        <v>0</v>
      </c>
    </row>
    <row r="162" spans="1:27" x14ac:dyDescent="0.3">
      <c r="A162" s="4" t="s">
        <v>1303</v>
      </c>
      <c r="B162" s="4">
        <f t="shared" si="48"/>
        <v>0</v>
      </c>
      <c r="C162" s="4">
        <f t="shared" si="49"/>
        <v>0</v>
      </c>
      <c r="D162" s="4">
        <f t="shared" si="50"/>
        <v>0</v>
      </c>
      <c r="E162" s="4">
        <f t="shared" si="51"/>
        <v>0</v>
      </c>
      <c r="F162" s="4">
        <f t="shared" si="52"/>
        <v>1</v>
      </c>
      <c r="G162" s="4">
        <f t="shared" si="53"/>
        <v>0</v>
      </c>
      <c r="I162" s="11" t="s">
        <v>1044</v>
      </c>
      <c r="J162" s="9">
        <f t="shared" si="54"/>
        <v>0</v>
      </c>
      <c r="K162" s="9">
        <f t="shared" si="71"/>
        <v>0</v>
      </c>
      <c r="L162" s="9">
        <f t="shared" si="55"/>
        <v>0</v>
      </c>
      <c r="M162" s="9">
        <f t="shared" si="56"/>
        <v>0</v>
      </c>
      <c r="N162" s="9">
        <f t="shared" si="57"/>
        <v>0</v>
      </c>
      <c r="O162" s="9">
        <f t="shared" si="58"/>
        <v>0</v>
      </c>
      <c r="P162" s="9">
        <f t="shared" si="59"/>
        <v>0</v>
      </c>
      <c r="Q162" s="9">
        <f t="shared" si="60"/>
        <v>0</v>
      </c>
      <c r="R162" s="9">
        <f t="shared" si="61"/>
        <v>0</v>
      </c>
      <c r="S162" s="9">
        <f t="shared" si="62"/>
        <v>0</v>
      </c>
      <c r="T162" s="9">
        <f t="shared" si="63"/>
        <v>0</v>
      </c>
      <c r="U162" s="9">
        <f t="shared" si="64"/>
        <v>1</v>
      </c>
      <c r="V162" s="9">
        <f t="shared" si="65"/>
        <v>0</v>
      </c>
      <c r="W162" s="9">
        <f t="shared" si="66"/>
        <v>0</v>
      </c>
      <c r="X162" s="9">
        <f t="shared" si="67"/>
        <v>0</v>
      </c>
      <c r="Y162" s="9">
        <f t="shared" si="68"/>
        <v>0</v>
      </c>
      <c r="Z162" s="9">
        <f t="shared" si="69"/>
        <v>0</v>
      </c>
      <c r="AA162" s="10">
        <f t="shared" si="70"/>
        <v>0</v>
      </c>
    </row>
    <row r="163" spans="1:27" x14ac:dyDescent="0.3">
      <c r="A163" s="18" t="s">
        <v>1304</v>
      </c>
      <c r="B163" s="4">
        <f t="shared" si="48"/>
        <v>0</v>
      </c>
      <c r="C163" s="4">
        <f t="shared" si="49"/>
        <v>1</v>
      </c>
      <c r="D163" s="4">
        <f t="shared" si="50"/>
        <v>0</v>
      </c>
      <c r="E163" s="4">
        <f t="shared" si="51"/>
        <v>0</v>
      </c>
      <c r="F163" s="4">
        <f t="shared" si="52"/>
        <v>0</v>
      </c>
      <c r="G163" s="4">
        <f t="shared" si="53"/>
        <v>0</v>
      </c>
      <c r="I163" s="8" t="s">
        <v>977</v>
      </c>
      <c r="J163" s="9">
        <f t="shared" si="54"/>
        <v>1</v>
      </c>
      <c r="K163" s="9">
        <f t="shared" si="71"/>
        <v>0</v>
      </c>
      <c r="L163" s="9">
        <f t="shared" si="55"/>
        <v>0</v>
      </c>
      <c r="M163" s="9">
        <f t="shared" si="56"/>
        <v>0</v>
      </c>
      <c r="N163" s="9">
        <f t="shared" si="57"/>
        <v>0</v>
      </c>
      <c r="O163" s="9">
        <f t="shared" si="58"/>
        <v>0</v>
      </c>
      <c r="P163" s="9">
        <f t="shared" si="59"/>
        <v>0</v>
      </c>
      <c r="Q163" s="9">
        <f t="shared" si="60"/>
        <v>0</v>
      </c>
      <c r="R163" s="9">
        <f t="shared" si="61"/>
        <v>0</v>
      </c>
      <c r="S163" s="9">
        <f t="shared" si="62"/>
        <v>0</v>
      </c>
      <c r="T163" s="9">
        <f t="shared" si="63"/>
        <v>0</v>
      </c>
      <c r="U163" s="9">
        <f t="shared" si="64"/>
        <v>0</v>
      </c>
      <c r="V163" s="9">
        <f t="shared" si="65"/>
        <v>0</v>
      </c>
      <c r="W163" s="9">
        <f t="shared" si="66"/>
        <v>0</v>
      </c>
      <c r="X163" s="9">
        <f t="shared" si="67"/>
        <v>0</v>
      </c>
      <c r="Y163" s="9">
        <f t="shared" si="68"/>
        <v>0</v>
      </c>
      <c r="Z163" s="9">
        <f t="shared" si="69"/>
        <v>0</v>
      </c>
      <c r="AA163" s="10">
        <f t="shared" si="70"/>
        <v>0</v>
      </c>
    </row>
    <row r="164" spans="1:27" x14ac:dyDescent="0.3">
      <c r="A164" s="4" t="s">
        <v>1294</v>
      </c>
      <c r="B164" s="4">
        <f t="shared" si="48"/>
        <v>0</v>
      </c>
      <c r="C164" s="4">
        <f t="shared" si="49"/>
        <v>0</v>
      </c>
      <c r="D164" s="4">
        <f t="shared" si="50"/>
        <v>0</v>
      </c>
      <c r="E164" s="4">
        <f t="shared" si="51"/>
        <v>0</v>
      </c>
      <c r="F164" s="4">
        <f t="shared" si="52"/>
        <v>0</v>
      </c>
      <c r="G164" s="4">
        <f t="shared" si="53"/>
        <v>0</v>
      </c>
      <c r="I164" s="11" t="s">
        <v>996</v>
      </c>
      <c r="J164" s="9">
        <f t="shared" si="54"/>
        <v>0</v>
      </c>
      <c r="K164" s="9">
        <f t="shared" si="71"/>
        <v>0</v>
      </c>
      <c r="L164" s="9">
        <f t="shared" si="55"/>
        <v>0</v>
      </c>
      <c r="M164" s="9">
        <f t="shared" si="56"/>
        <v>0</v>
      </c>
      <c r="N164" s="9">
        <f t="shared" si="57"/>
        <v>0</v>
      </c>
      <c r="O164" s="9">
        <f t="shared" si="58"/>
        <v>0</v>
      </c>
      <c r="P164" s="9">
        <f t="shared" si="59"/>
        <v>0</v>
      </c>
      <c r="Q164" s="9">
        <f t="shared" si="60"/>
        <v>1</v>
      </c>
      <c r="R164" s="9">
        <f t="shared" si="61"/>
        <v>0</v>
      </c>
      <c r="S164" s="9">
        <f t="shared" si="62"/>
        <v>0</v>
      </c>
      <c r="T164" s="9">
        <f t="shared" si="63"/>
        <v>0</v>
      </c>
      <c r="U164" s="9">
        <f t="shared" si="64"/>
        <v>0</v>
      </c>
      <c r="V164" s="9">
        <f t="shared" si="65"/>
        <v>0</v>
      </c>
      <c r="W164" s="9">
        <f t="shared" si="66"/>
        <v>0</v>
      </c>
      <c r="X164" s="9">
        <f t="shared" si="67"/>
        <v>0</v>
      </c>
      <c r="Y164" s="9">
        <f t="shared" si="68"/>
        <v>0</v>
      </c>
      <c r="Z164" s="9">
        <f t="shared" si="69"/>
        <v>0</v>
      </c>
      <c r="AA164" s="10">
        <f t="shared" si="70"/>
        <v>0</v>
      </c>
    </row>
    <row r="165" spans="1:27" x14ac:dyDescent="0.3">
      <c r="A165" s="18" t="s">
        <v>1294</v>
      </c>
      <c r="B165" s="4">
        <f t="shared" si="48"/>
        <v>0</v>
      </c>
      <c r="C165" s="4">
        <f t="shared" si="49"/>
        <v>0</v>
      </c>
      <c r="D165" s="4">
        <f t="shared" si="50"/>
        <v>0</v>
      </c>
      <c r="E165" s="4">
        <f t="shared" si="51"/>
        <v>0</v>
      </c>
      <c r="F165" s="4">
        <f t="shared" si="52"/>
        <v>0</v>
      </c>
      <c r="G165" s="4">
        <f t="shared" si="53"/>
        <v>0</v>
      </c>
      <c r="I165" s="8" t="s">
        <v>996</v>
      </c>
      <c r="J165" s="9">
        <f t="shared" si="54"/>
        <v>0</v>
      </c>
      <c r="K165" s="9">
        <f t="shared" si="71"/>
        <v>0</v>
      </c>
      <c r="L165" s="9">
        <f t="shared" si="55"/>
        <v>0</v>
      </c>
      <c r="M165" s="9">
        <f t="shared" si="56"/>
        <v>0</v>
      </c>
      <c r="N165" s="9">
        <f t="shared" si="57"/>
        <v>0</v>
      </c>
      <c r="O165" s="9">
        <f t="shared" si="58"/>
        <v>0</v>
      </c>
      <c r="P165" s="9">
        <f t="shared" si="59"/>
        <v>0</v>
      </c>
      <c r="Q165" s="9">
        <f t="shared" si="60"/>
        <v>1</v>
      </c>
      <c r="R165" s="9">
        <f t="shared" si="61"/>
        <v>0</v>
      </c>
      <c r="S165" s="9">
        <f t="shared" si="62"/>
        <v>0</v>
      </c>
      <c r="T165" s="9">
        <f t="shared" si="63"/>
        <v>0</v>
      </c>
      <c r="U165" s="9">
        <f t="shared" si="64"/>
        <v>0</v>
      </c>
      <c r="V165" s="9">
        <f t="shared" si="65"/>
        <v>0</v>
      </c>
      <c r="W165" s="9">
        <f t="shared" si="66"/>
        <v>0</v>
      </c>
      <c r="X165" s="9">
        <f t="shared" si="67"/>
        <v>0</v>
      </c>
      <c r="Y165" s="9">
        <f t="shared" si="68"/>
        <v>0</v>
      </c>
      <c r="Z165" s="9">
        <f t="shared" si="69"/>
        <v>0</v>
      </c>
      <c r="AA165" s="10">
        <f t="shared" si="70"/>
        <v>0</v>
      </c>
    </row>
    <row r="166" spans="1:27" x14ac:dyDescent="0.3">
      <c r="A166" s="4" t="s">
        <v>1303</v>
      </c>
      <c r="B166" s="4">
        <f t="shared" si="48"/>
        <v>0</v>
      </c>
      <c r="C166" s="4">
        <f t="shared" si="49"/>
        <v>0</v>
      </c>
      <c r="D166" s="4">
        <f t="shared" si="50"/>
        <v>0</v>
      </c>
      <c r="E166" s="4">
        <f t="shared" si="51"/>
        <v>0</v>
      </c>
      <c r="F166" s="4">
        <f t="shared" si="52"/>
        <v>1</v>
      </c>
      <c r="G166" s="4">
        <f t="shared" si="53"/>
        <v>0</v>
      </c>
      <c r="I166" s="11" t="s">
        <v>990</v>
      </c>
      <c r="J166" s="9">
        <f t="shared" si="54"/>
        <v>0</v>
      </c>
      <c r="K166" s="9">
        <f t="shared" si="71"/>
        <v>0</v>
      </c>
      <c r="L166" s="9">
        <f t="shared" si="55"/>
        <v>0</v>
      </c>
      <c r="M166" s="9">
        <f t="shared" si="56"/>
        <v>0</v>
      </c>
      <c r="N166" s="9">
        <f t="shared" si="57"/>
        <v>1</v>
      </c>
      <c r="O166" s="9">
        <f t="shared" si="58"/>
        <v>0</v>
      </c>
      <c r="P166" s="9">
        <f t="shared" si="59"/>
        <v>0</v>
      </c>
      <c r="Q166" s="9">
        <f t="shared" si="60"/>
        <v>0</v>
      </c>
      <c r="R166" s="9">
        <f t="shared" si="61"/>
        <v>0</v>
      </c>
      <c r="S166" s="9">
        <f t="shared" si="62"/>
        <v>0</v>
      </c>
      <c r="T166" s="9">
        <f t="shared" si="63"/>
        <v>0</v>
      </c>
      <c r="U166" s="9">
        <f t="shared" si="64"/>
        <v>0</v>
      </c>
      <c r="V166" s="9">
        <f t="shared" si="65"/>
        <v>0</v>
      </c>
      <c r="W166" s="9">
        <f t="shared" si="66"/>
        <v>0</v>
      </c>
      <c r="X166" s="9">
        <f t="shared" si="67"/>
        <v>0</v>
      </c>
      <c r="Y166" s="9">
        <f t="shared" si="68"/>
        <v>0</v>
      </c>
      <c r="Z166" s="9">
        <f t="shared" si="69"/>
        <v>0</v>
      </c>
      <c r="AA166" s="10">
        <f t="shared" si="70"/>
        <v>0</v>
      </c>
    </row>
    <row r="167" spans="1:27" x14ac:dyDescent="0.3">
      <c r="A167" s="18" t="s">
        <v>1304</v>
      </c>
      <c r="B167" s="4">
        <f t="shared" si="48"/>
        <v>0</v>
      </c>
      <c r="C167" s="4">
        <f t="shared" si="49"/>
        <v>1</v>
      </c>
      <c r="D167" s="4">
        <f t="shared" si="50"/>
        <v>0</v>
      </c>
      <c r="E167" s="4">
        <f t="shared" si="51"/>
        <v>0</v>
      </c>
      <c r="F167" s="4">
        <f t="shared" si="52"/>
        <v>0</v>
      </c>
      <c r="G167" s="4">
        <f t="shared" si="53"/>
        <v>0</v>
      </c>
      <c r="I167" s="8" t="s">
        <v>977</v>
      </c>
      <c r="J167" s="9">
        <f t="shared" si="54"/>
        <v>1</v>
      </c>
      <c r="K167" s="9">
        <f t="shared" si="71"/>
        <v>0</v>
      </c>
      <c r="L167" s="9">
        <f t="shared" si="55"/>
        <v>0</v>
      </c>
      <c r="M167" s="9">
        <f t="shared" si="56"/>
        <v>0</v>
      </c>
      <c r="N167" s="9">
        <f t="shared" si="57"/>
        <v>0</v>
      </c>
      <c r="O167" s="9">
        <f t="shared" si="58"/>
        <v>0</v>
      </c>
      <c r="P167" s="9">
        <f t="shared" si="59"/>
        <v>0</v>
      </c>
      <c r="Q167" s="9">
        <f t="shared" si="60"/>
        <v>0</v>
      </c>
      <c r="R167" s="9">
        <f t="shared" si="61"/>
        <v>0</v>
      </c>
      <c r="S167" s="9">
        <f t="shared" si="62"/>
        <v>0</v>
      </c>
      <c r="T167" s="9">
        <f t="shared" si="63"/>
        <v>0</v>
      </c>
      <c r="U167" s="9">
        <f t="shared" si="64"/>
        <v>0</v>
      </c>
      <c r="V167" s="9">
        <f t="shared" si="65"/>
        <v>0</v>
      </c>
      <c r="W167" s="9">
        <f t="shared" si="66"/>
        <v>0</v>
      </c>
      <c r="X167" s="9">
        <f t="shared" si="67"/>
        <v>0</v>
      </c>
      <c r="Y167" s="9">
        <f t="shared" si="68"/>
        <v>0</v>
      </c>
      <c r="Z167" s="9">
        <f t="shared" si="69"/>
        <v>0</v>
      </c>
      <c r="AA167" s="10">
        <f t="shared" si="70"/>
        <v>0</v>
      </c>
    </row>
    <row r="168" spans="1:27" x14ac:dyDescent="0.3">
      <c r="A168" s="4" t="s">
        <v>1303</v>
      </c>
      <c r="B168" s="4">
        <f t="shared" si="48"/>
        <v>0</v>
      </c>
      <c r="C168" s="4">
        <f t="shared" si="49"/>
        <v>0</v>
      </c>
      <c r="D168" s="4">
        <f t="shared" si="50"/>
        <v>0</v>
      </c>
      <c r="E168" s="4">
        <f t="shared" si="51"/>
        <v>0</v>
      </c>
      <c r="F168" s="4">
        <f t="shared" si="52"/>
        <v>1</v>
      </c>
      <c r="G168" s="4">
        <f t="shared" si="53"/>
        <v>0</v>
      </c>
      <c r="I168" s="11" t="s">
        <v>977</v>
      </c>
      <c r="J168" s="9">
        <f t="shared" si="54"/>
        <v>1</v>
      </c>
      <c r="K168" s="9">
        <f t="shared" si="71"/>
        <v>0</v>
      </c>
      <c r="L168" s="9">
        <f t="shared" si="55"/>
        <v>0</v>
      </c>
      <c r="M168" s="9">
        <f t="shared" si="56"/>
        <v>0</v>
      </c>
      <c r="N168" s="9">
        <f t="shared" si="57"/>
        <v>0</v>
      </c>
      <c r="O168" s="9">
        <f t="shared" si="58"/>
        <v>0</v>
      </c>
      <c r="P168" s="9">
        <f t="shared" si="59"/>
        <v>0</v>
      </c>
      <c r="Q168" s="9">
        <f t="shared" si="60"/>
        <v>0</v>
      </c>
      <c r="R168" s="9">
        <f t="shared" si="61"/>
        <v>0</v>
      </c>
      <c r="S168" s="9">
        <f t="shared" si="62"/>
        <v>0</v>
      </c>
      <c r="T168" s="9">
        <f t="shared" si="63"/>
        <v>0</v>
      </c>
      <c r="U168" s="9">
        <f t="shared" si="64"/>
        <v>0</v>
      </c>
      <c r="V168" s="9">
        <f t="shared" si="65"/>
        <v>0</v>
      </c>
      <c r="W168" s="9">
        <f t="shared" si="66"/>
        <v>0</v>
      </c>
      <c r="X168" s="9">
        <f t="shared" si="67"/>
        <v>0</v>
      </c>
      <c r="Y168" s="9">
        <f t="shared" si="68"/>
        <v>0</v>
      </c>
      <c r="Z168" s="9">
        <f t="shared" si="69"/>
        <v>0</v>
      </c>
      <c r="AA168" s="10">
        <f t="shared" si="70"/>
        <v>0</v>
      </c>
    </row>
    <row r="169" spans="1:27" x14ac:dyDescent="0.3">
      <c r="A169" s="18" t="s">
        <v>1302</v>
      </c>
      <c r="B169" s="4">
        <f t="shared" si="48"/>
        <v>1</v>
      </c>
      <c r="C169" s="4">
        <f t="shared" si="49"/>
        <v>0</v>
      </c>
      <c r="D169" s="4">
        <f t="shared" si="50"/>
        <v>0</v>
      </c>
      <c r="E169" s="4">
        <f t="shared" si="51"/>
        <v>0</v>
      </c>
      <c r="F169" s="4">
        <f t="shared" si="52"/>
        <v>0</v>
      </c>
      <c r="G169" s="4">
        <f t="shared" si="53"/>
        <v>0</v>
      </c>
      <c r="I169" s="8" t="s">
        <v>1044</v>
      </c>
      <c r="J169" s="9">
        <f t="shared" si="54"/>
        <v>0</v>
      </c>
      <c r="K169" s="9">
        <f t="shared" si="71"/>
        <v>0</v>
      </c>
      <c r="L169" s="9">
        <f t="shared" si="55"/>
        <v>0</v>
      </c>
      <c r="M169" s="9">
        <f t="shared" si="56"/>
        <v>0</v>
      </c>
      <c r="N169" s="9">
        <f t="shared" si="57"/>
        <v>0</v>
      </c>
      <c r="O169" s="9">
        <f t="shared" si="58"/>
        <v>0</v>
      </c>
      <c r="P169" s="9">
        <f t="shared" si="59"/>
        <v>0</v>
      </c>
      <c r="Q169" s="9">
        <f t="shared" si="60"/>
        <v>0</v>
      </c>
      <c r="R169" s="9">
        <f t="shared" si="61"/>
        <v>0</v>
      </c>
      <c r="S169" s="9">
        <f t="shared" si="62"/>
        <v>0</v>
      </c>
      <c r="T169" s="9">
        <f t="shared" si="63"/>
        <v>0</v>
      </c>
      <c r="U169" s="9">
        <f t="shared" si="64"/>
        <v>1</v>
      </c>
      <c r="V169" s="9">
        <f t="shared" si="65"/>
        <v>0</v>
      </c>
      <c r="W169" s="9">
        <f t="shared" si="66"/>
        <v>0</v>
      </c>
      <c r="X169" s="9">
        <f t="shared" si="67"/>
        <v>0</v>
      </c>
      <c r="Y169" s="9">
        <f t="shared" si="68"/>
        <v>0</v>
      </c>
      <c r="Z169" s="9">
        <f t="shared" si="69"/>
        <v>0</v>
      </c>
      <c r="AA169" s="10">
        <f t="shared" si="70"/>
        <v>0</v>
      </c>
    </row>
    <row r="170" spans="1:27" x14ac:dyDescent="0.3">
      <c r="A170" s="4" t="s">
        <v>1303</v>
      </c>
      <c r="B170" s="4">
        <f t="shared" si="48"/>
        <v>0</v>
      </c>
      <c r="C170" s="4">
        <f t="shared" si="49"/>
        <v>0</v>
      </c>
      <c r="D170" s="4">
        <f t="shared" si="50"/>
        <v>0</v>
      </c>
      <c r="E170" s="4">
        <f t="shared" si="51"/>
        <v>0</v>
      </c>
      <c r="F170" s="4">
        <f t="shared" si="52"/>
        <v>1</v>
      </c>
      <c r="G170" s="4">
        <f t="shared" si="53"/>
        <v>0</v>
      </c>
      <c r="I170" s="11" t="s">
        <v>977</v>
      </c>
      <c r="J170" s="9">
        <f t="shared" si="54"/>
        <v>1</v>
      </c>
      <c r="K170" s="9">
        <f t="shared" si="71"/>
        <v>0</v>
      </c>
      <c r="L170" s="9">
        <f t="shared" si="55"/>
        <v>0</v>
      </c>
      <c r="M170" s="9">
        <f t="shared" si="56"/>
        <v>0</v>
      </c>
      <c r="N170" s="9">
        <f t="shared" si="57"/>
        <v>0</v>
      </c>
      <c r="O170" s="9">
        <f t="shared" si="58"/>
        <v>0</v>
      </c>
      <c r="P170" s="9">
        <f t="shared" si="59"/>
        <v>0</v>
      </c>
      <c r="Q170" s="9">
        <f t="shared" si="60"/>
        <v>0</v>
      </c>
      <c r="R170" s="9">
        <f t="shared" si="61"/>
        <v>0</v>
      </c>
      <c r="S170" s="9">
        <f t="shared" si="62"/>
        <v>0</v>
      </c>
      <c r="T170" s="9">
        <f t="shared" si="63"/>
        <v>0</v>
      </c>
      <c r="U170" s="9">
        <f t="shared" si="64"/>
        <v>0</v>
      </c>
      <c r="V170" s="9">
        <f t="shared" si="65"/>
        <v>0</v>
      </c>
      <c r="W170" s="9">
        <f t="shared" si="66"/>
        <v>0</v>
      </c>
      <c r="X170" s="9">
        <f t="shared" si="67"/>
        <v>0</v>
      </c>
      <c r="Y170" s="9">
        <f t="shared" si="68"/>
        <v>0</v>
      </c>
      <c r="Z170" s="9">
        <f t="shared" si="69"/>
        <v>0</v>
      </c>
      <c r="AA170" s="10">
        <f t="shared" si="70"/>
        <v>0</v>
      </c>
    </row>
    <row r="171" spans="1:27" x14ac:dyDescent="0.3">
      <c r="A171" s="18" t="s">
        <v>1294</v>
      </c>
      <c r="B171" s="4">
        <f t="shared" si="48"/>
        <v>0</v>
      </c>
      <c r="C171" s="4">
        <f t="shared" si="49"/>
        <v>0</v>
      </c>
      <c r="D171" s="4">
        <f t="shared" si="50"/>
        <v>0</v>
      </c>
      <c r="E171" s="4">
        <f t="shared" si="51"/>
        <v>0</v>
      </c>
      <c r="F171" s="4">
        <f t="shared" si="52"/>
        <v>0</v>
      </c>
      <c r="G171" s="4">
        <f t="shared" si="53"/>
        <v>0</v>
      </c>
      <c r="I171" s="8" t="s">
        <v>1294</v>
      </c>
      <c r="J171" s="9">
        <f t="shared" si="54"/>
        <v>0</v>
      </c>
      <c r="K171" s="9">
        <f t="shared" si="71"/>
        <v>0</v>
      </c>
      <c r="L171" s="9">
        <f t="shared" si="55"/>
        <v>0</v>
      </c>
      <c r="M171" s="9">
        <f t="shared" si="56"/>
        <v>0</v>
      </c>
      <c r="N171" s="9">
        <f t="shared" si="57"/>
        <v>0</v>
      </c>
      <c r="O171" s="9">
        <f t="shared" si="58"/>
        <v>0</v>
      </c>
      <c r="P171" s="9">
        <f t="shared" si="59"/>
        <v>0</v>
      </c>
      <c r="Q171" s="9">
        <f t="shared" si="60"/>
        <v>0</v>
      </c>
      <c r="R171" s="9">
        <f t="shared" si="61"/>
        <v>0</v>
      </c>
      <c r="S171" s="9">
        <f t="shared" si="62"/>
        <v>0</v>
      </c>
      <c r="T171" s="9">
        <f t="shared" si="63"/>
        <v>0</v>
      </c>
      <c r="U171" s="9">
        <f t="shared" si="64"/>
        <v>0</v>
      </c>
      <c r="V171" s="9">
        <f t="shared" si="65"/>
        <v>0</v>
      </c>
      <c r="W171" s="9">
        <f t="shared" si="66"/>
        <v>0</v>
      </c>
      <c r="X171" s="9">
        <f t="shared" si="67"/>
        <v>0</v>
      </c>
      <c r="Y171" s="9">
        <f t="shared" si="68"/>
        <v>0</v>
      </c>
      <c r="Z171" s="9">
        <f t="shared" si="69"/>
        <v>0</v>
      </c>
      <c r="AA171" s="10">
        <f t="shared" si="70"/>
        <v>0</v>
      </c>
    </row>
    <row r="172" spans="1:27" x14ac:dyDescent="0.3">
      <c r="A172" s="4" t="s">
        <v>1305</v>
      </c>
      <c r="B172" s="4">
        <f t="shared" si="48"/>
        <v>0</v>
      </c>
      <c r="C172" s="4">
        <f t="shared" si="49"/>
        <v>0</v>
      </c>
      <c r="D172" s="4">
        <f t="shared" si="50"/>
        <v>0</v>
      </c>
      <c r="E172" s="4">
        <f t="shared" si="51"/>
        <v>0</v>
      </c>
      <c r="F172" s="4">
        <f t="shared" si="52"/>
        <v>0</v>
      </c>
      <c r="G172" s="4">
        <f t="shared" si="53"/>
        <v>1</v>
      </c>
      <c r="I172" s="11" t="s">
        <v>977</v>
      </c>
      <c r="J172" s="9">
        <f t="shared" si="54"/>
        <v>1</v>
      </c>
      <c r="K172" s="9">
        <f t="shared" si="71"/>
        <v>0</v>
      </c>
      <c r="L172" s="9">
        <f t="shared" si="55"/>
        <v>0</v>
      </c>
      <c r="M172" s="9">
        <f t="shared" si="56"/>
        <v>0</v>
      </c>
      <c r="N172" s="9">
        <f t="shared" si="57"/>
        <v>0</v>
      </c>
      <c r="O172" s="9">
        <f t="shared" si="58"/>
        <v>0</v>
      </c>
      <c r="P172" s="9">
        <f t="shared" si="59"/>
        <v>0</v>
      </c>
      <c r="Q172" s="9">
        <f t="shared" si="60"/>
        <v>0</v>
      </c>
      <c r="R172" s="9">
        <f t="shared" si="61"/>
        <v>0</v>
      </c>
      <c r="S172" s="9">
        <f t="shared" si="62"/>
        <v>0</v>
      </c>
      <c r="T172" s="9">
        <f t="shared" si="63"/>
        <v>0</v>
      </c>
      <c r="U172" s="9">
        <f t="shared" si="64"/>
        <v>0</v>
      </c>
      <c r="V172" s="9">
        <f t="shared" si="65"/>
        <v>0</v>
      </c>
      <c r="W172" s="9">
        <f t="shared" si="66"/>
        <v>0</v>
      </c>
      <c r="X172" s="9">
        <f t="shared" si="67"/>
        <v>0</v>
      </c>
      <c r="Y172" s="9">
        <f t="shared" si="68"/>
        <v>0</v>
      </c>
      <c r="Z172" s="9">
        <f t="shared" si="69"/>
        <v>0</v>
      </c>
      <c r="AA172" s="10">
        <f t="shared" si="70"/>
        <v>0</v>
      </c>
    </row>
    <row r="173" spans="1:27" x14ac:dyDescent="0.3">
      <c r="A173" s="18" t="s">
        <v>1303</v>
      </c>
      <c r="B173" s="4">
        <f t="shared" si="48"/>
        <v>0</v>
      </c>
      <c r="C173" s="4">
        <f t="shared" si="49"/>
        <v>0</v>
      </c>
      <c r="D173" s="4">
        <f t="shared" si="50"/>
        <v>0</v>
      </c>
      <c r="E173" s="4">
        <f t="shared" si="51"/>
        <v>0</v>
      </c>
      <c r="F173" s="4">
        <f t="shared" si="52"/>
        <v>1</v>
      </c>
      <c r="G173" s="4">
        <f t="shared" si="53"/>
        <v>0</v>
      </c>
      <c r="I173" s="8" t="s">
        <v>988</v>
      </c>
      <c r="J173" s="9">
        <f t="shared" si="54"/>
        <v>0</v>
      </c>
      <c r="K173" s="9">
        <f t="shared" si="71"/>
        <v>0</v>
      </c>
      <c r="L173" s="9">
        <f t="shared" si="55"/>
        <v>1</v>
      </c>
      <c r="M173" s="9">
        <f t="shared" si="56"/>
        <v>0</v>
      </c>
      <c r="N173" s="9">
        <f t="shared" si="57"/>
        <v>0</v>
      </c>
      <c r="O173" s="9">
        <f t="shared" si="58"/>
        <v>0</v>
      </c>
      <c r="P173" s="9">
        <f t="shared" si="59"/>
        <v>0</v>
      </c>
      <c r="Q173" s="9">
        <f t="shared" si="60"/>
        <v>0</v>
      </c>
      <c r="R173" s="9">
        <f t="shared" si="61"/>
        <v>0</v>
      </c>
      <c r="S173" s="9">
        <f t="shared" si="62"/>
        <v>0</v>
      </c>
      <c r="T173" s="9">
        <f t="shared" si="63"/>
        <v>0</v>
      </c>
      <c r="U173" s="9">
        <f t="shared" si="64"/>
        <v>0</v>
      </c>
      <c r="V173" s="9">
        <f t="shared" si="65"/>
        <v>0</v>
      </c>
      <c r="W173" s="9">
        <f t="shared" si="66"/>
        <v>0</v>
      </c>
      <c r="X173" s="9">
        <f t="shared" si="67"/>
        <v>0</v>
      </c>
      <c r="Y173" s="9">
        <f t="shared" si="68"/>
        <v>0</v>
      </c>
      <c r="Z173" s="9">
        <f t="shared" si="69"/>
        <v>0</v>
      </c>
      <c r="AA173" s="10">
        <f t="shared" si="70"/>
        <v>0</v>
      </c>
    </row>
    <row r="174" spans="1:27" x14ac:dyDescent="0.3">
      <c r="A174" s="4" t="s">
        <v>1305</v>
      </c>
      <c r="B174" s="4">
        <f t="shared" si="48"/>
        <v>0</v>
      </c>
      <c r="C174" s="4">
        <f t="shared" si="49"/>
        <v>0</v>
      </c>
      <c r="D174" s="4">
        <f t="shared" si="50"/>
        <v>0</v>
      </c>
      <c r="E174" s="4">
        <f t="shared" si="51"/>
        <v>0</v>
      </c>
      <c r="F174" s="4">
        <f t="shared" si="52"/>
        <v>0</v>
      </c>
      <c r="G174" s="4">
        <f t="shared" si="53"/>
        <v>1</v>
      </c>
      <c r="I174" s="11" t="s">
        <v>1044</v>
      </c>
      <c r="J174" s="9">
        <f t="shared" si="54"/>
        <v>0</v>
      </c>
      <c r="K174" s="9">
        <f t="shared" si="71"/>
        <v>0</v>
      </c>
      <c r="L174" s="9">
        <f t="shared" si="55"/>
        <v>0</v>
      </c>
      <c r="M174" s="9">
        <f t="shared" si="56"/>
        <v>0</v>
      </c>
      <c r="N174" s="9">
        <f t="shared" si="57"/>
        <v>0</v>
      </c>
      <c r="O174" s="9">
        <f t="shared" si="58"/>
        <v>0</v>
      </c>
      <c r="P174" s="9">
        <f t="shared" si="59"/>
        <v>0</v>
      </c>
      <c r="Q174" s="9">
        <f t="shared" si="60"/>
        <v>0</v>
      </c>
      <c r="R174" s="9">
        <f t="shared" si="61"/>
        <v>0</v>
      </c>
      <c r="S174" s="9">
        <f t="shared" si="62"/>
        <v>0</v>
      </c>
      <c r="T174" s="9">
        <f t="shared" si="63"/>
        <v>0</v>
      </c>
      <c r="U174" s="9">
        <f t="shared" si="64"/>
        <v>1</v>
      </c>
      <c r="V174" s="9">
        <f t="shared" si="65"/>
        <v>0</v>
      </c>
      <c r="W174" s="9">
        <f t="shared" si="66"/>
        <v>0</v>
      </c>
      <c r="X174" s="9">
        <f t="shared" si="67"/>
        <v>0</v>
      </c>
      <c r="Y174" s="9">
        <f t="shared" si="68"/>
        <v>0</v>
      </c>
      <c r="Z174" s="9">
        <f t="shared" si="69"/>
        <v>0</v>
      </c>
      <c r="AA174" s="10">
        <f t="shared" si="70"/>
        <v>0</v>
      </c>
    </row>
    <row r="175" spans="1:27" x14ac:dyDescent="0.3">
      <c r="A175" s="18" t="s">
        <v>1304</v>
      </c>
      <c r="B175" s="4">
        <f t="shared" si="48"/>
        <v>0</v>
      </c>
      <c r="C175" s="4">
        <f t="shared" si="49"/>
        <v>1</v>
      </c>
      <c r="D175" s="4">
        <f t="shared" si="50"/>
        <v>0</v>
      </c>
      <c r="E175" s="4">
        <f t="shared" si="51"/>
        <v>0</v>
      </c>
      <c r="F175" s="4">
        <f t="shared" si="52"/>
        <v>0</v>
      </c>
      <c r="G175" s="4">
        <f t="shared" si="53"/>
        <v>0</v>
      </c>
      <c r="I175" s="8" t="s">
        <v>1044</v>
      </c>
      <c r="J175" s="9">
        <f t="shared" si="54"/>
        <v>0</v>
      </c>
      <c r="K175" s="9">
        <f t="shared" si="71"/>
        <v>0</v>
      </c>
      <c r="L175" s="9">
        <f t="shared" si="55"/>
        <v>0</v>
      </c>
      <c r="M175" s="9">
        <f t="shared" si="56"/>
        <v>0</v>
      </c>
      <c r="N175" s="9">
        <f t="shared" si="57"/>
        <v>0</v>
      </c>
      <c r="O175" s="9">
        <f t="shared" si="58"/>
        <v>0</v>
      </c>
      <c r="P175" s="9">
        <f t="shared" si="59"/>
        <v>0</v>
      </c>
      <c r="Q175" s="9">
        <f t="shared" si="60"/>
        <v>0</v>
      </c>
      <c r="R175" s="9">
        <f t="shared" si="61"/>
        <v>0</v>
      </c>
      <c r="S175" s="9">
        <f t="shared" si="62"/>
        <v>0</v>
      </c>
      <c r="T175" s="9">
        <f t="shared" si="63"/>
        <v>0</v>
      </c>
      <c r="U175" s="9">
        <f t="shared" si="64"/>
        <v>1</v>
      </c>
      <c r="V175" s="9">
        <f t="shared" si="65"/>
        <v>0</v>
      </c>
      <c r="W175" s="9">
        <f t="shared" si="66"/>
        <v>0</v>
      </c>
      <c r="X175" s="9">
        <f t="shared" si="67"/>
        <v>0</v>
      </c>
      <c r="Y175" s="9">
        <f t="shared" si="68"/>
        <v>0</v>
      </c>
      <c r="Z175" s="9">
        <f t="shared" si="69"/>
        <v>0</v>
      </c>
      <c r="AA175" s="10">
        <f t="shared" si="70"/>
        <v>0</v>
      </c>
    </row>
    <row r="176" spans="1:27" x14ac:dyDescent="0.3">
      <c r="A176" s="4" t="s">
        <v>1294</v>
      </c>
      <c r="B176" s="4">
        <f t="shared" si="48"/>
        <v>0</v>
      </c>
      <c r="C176" s="4">
        <f t="shared" si="49"/>
        <v>0</v>
      </c>
      <c r="D176" s="4">
        <f t="shared" si="50"/>
        <v>0</v>
      </c>
      <c r="E176" s="4">
        <f t="shared" si="51"/>
        <v>0</v>
      </c>
      <c r="F176" s="4">
        <f t="shared" si="52"/>
        <v>0</v>
      </c>
      <c r="G176" s="4">
        <f t="shared" si="53"/>
        <v>0</v>
      </c>
      <c r="I176" s="11" t="s">
        <v>1044</v>
      </c>
      <c r="J176" s="9">
        <f t="shared" si="54"/>
        <v>0</v>
      </c>
      <c r="K176" s="9">
        <f t="shared" si="71"/>
        <v>0</v>
      </c>
      <c r="L176" s="9">
        <f t="shared" si="55"/>
        <v>0</v>
      </c>
      <c r="M176" s="9">
        <f t="shared" si="56"/>
        <v>0</v>
      </c>
      <c r="N176" s="9">
        <f t="shared" si="57"/>
        <v>0</v>
      </c>
      <c r="O176" s="9">
        <f t="shared" si="58"/>
        <v>0</v>
      </c>
      <c r="P176" s="9">
        <f t="shared" si="59"/>
        <v>0</v>
      </c>
      <c r="Q176" s="9">
        <f t="shared" si="60"/>
        <v>0</v>
      </c>
      <c r="R176" s="9">
        <f t="shared" si="61"/>
        <v>0</v>
      </c>
      <c r="S176" s="9">
        <f t="shared" si="62"/>
        <v>0</v>
      </c>
      <c r="T176" s="9">
        <f t="shared" si="63"/>
        <v>0</v>
      </c>
      <c r="U176" s="9">
        <f t="shared" si="64"/>
        <v>1</v>
      </c>
      <c r="V176" s="9">
        <f t="shared" si="65"/>
        <v>0</v>
      </c>
      <c r="W176" s="9">
        <f t="shared" si="66"/>
        <v>0</v>
      </c>
      <c r="X176" s="9">
        <f t="shared" si="67"/>
        <v>0</v>
      </c>
      <c r="Y176" s="9">
        <f t="shared" si="68"/>
        <v>0</v>
      </c>
      <c r="Z176" s="9">
        <f t="shared" si="69"/>
        <v>0</v>
      </c>
      <c r="AA176" s="10">
        <f t="shared" si="70"/>
        <v>0</v>
      </c>
    </row>
    <row r="177" spans="1:27" x14ac:dyDescent="0.3">
      <c r="A177" s="18" t="s">
        <v>1302</v>
      </c>
      <c r="B177" s="4">
        <f t="shared" si="48"/>
        <v>1</v>
      </c>
      <c r="C177" s="4">
        <f t="shared" si="49"/>
        <v>0</v>
      </c>
      <c r="D177" s="4">
        <f t="shared" si="50"/>
        <v>0</v>
      </c>
      <c r="E177" s="4">
        <f t="shared" si="51"/>
        <v>0</v>
      </c>
      <c r="F177" s="4">
        <f t="shared" si="52"/>
        <v>0</v>
      </c>
      <c r="G177" s="4">
        <f t="shared" si="53"/>
        <v>0</v>
      </c>
      <c r="I177" s="8" t="s">
        <v>990</v>
      </c>
      <c r="J177" s="9">
        <f t="shared" si="54"/>
        <v>0</v>
      </c>
      <c r="K177" s="9">
        <f t="shared" si="71"/>
        <v>0</v>
      </c>
      <c r="L177" s="9">
        <f t="shared" si="55"/>
        <v>0</v>
      </c>
      <c r="M177" s="9">
        <f t="shared" si="56"/>
        <v>0</v>
      </c>
      <c r="N177" s="9">
        <f t="shared" si="57"/>
        <v>1</v>
      </c>
      <c r="O177" s="9">
        <f t="shared" si="58"/>
        <v>0</v>
      </c>
      <c r="P177" s="9">
        <f t="shared" si="59"/>
        <v>0</v>
      </c>
      <c r="Q177" s="9">
        <f t="shared" si="60"/>
        <v>0</v>
      </c>
      <c r="R177" s="9">
        <f t="shared" si="61"/>
        <v>0</v>
      </c>
      <c r="S177" s="9">
        <f t="shared" si="62"/>
        <v>0</v>
      </c>
      <c r="T177" s="9">
        <f t="shared" si="63"/>
        <v>0</v>
      </c>
      <c r="U177" s="9">
        <f t="shared" si="64"/>
        <v>0</v>
      </c>
      <c r="V177" s="9">
        <f t="shared" si="65"/>
        <v>0</v>
      </c>
      <c r="W177" s="9">
        <f t="shared" si="66"/>
        <v>0</v>
      </c>
      <c r="X177" s="9">
        <f t="shared" si="67"/>
        <v>0</v>
      </c>
      <c r="Y177" s="9">
        <f t="shared" si="68"/>
        <v>0</v>
      </c>
      <c r="Z177" s="9">
        <f t="shared" si="69"/>
        <v>0</v>
      </c>
      <c r="AA177" s="10">
        <f t="shared" si="70"/>
        <v>0</v>
      </c>
    </row>
    <row r="178" spans="1:27" x14ac:dyDescent="0.3">
      <c r="A178" s="4" t="s">
        <v>1294</v>
      </c>
      <c r="B178" s="4">
        <f t="shared" si="48"/>
        <v>0</v>
      </c>
      <c r="C178" s="4">
        <f t="shared" si="49"/>
        <v>0</v>
      </c>
      <c r="D178" s="4">
        <f t="shared" si="50"/>
        <v>0</v>
      </c>
      <c r="E178" s="4">
        <f t="shared" si="51"/>
        <v>0</v>
      </c>
      <c r="F178" s="4">
        <f t="shared" si="52"/>
        <v>0</v>
      </c>
      <c r="G178" s="4">
        <f t="shared" si="53"/>
        <v>0</v>
      </c>
      <c r="I178" s="11" t="s">
        <v>977</v>
      </c>
      <c r="J178" s="9">
        <f t="shared" si="54"/>
        <v>1</v>
      </c>
      <c r="K178" s="9">
        <f t="shared" si="71"/>
        <v>0</v>
      </c>
      <c r="L178" s="9">
        <f t="shared" si="55"/>
        <v>0</v>
      </c>
      <c r="M178" s="9">
        <f t="shared" si="56"/>
        <v>0</v>
      </c>
      <c r="N178" s="9">
        <f t="shared" si="57"/>
        <v>0</v>
      </c>
      <c r="O178" s="9">
        <f t="shared" si="58"/>
        <v>0</v>
      </c>
      <c r="P178" s="9">
        <f t="shared" si="59"/>
        <v>0</v>
      </c>
      <c r="Q178" s="9">
        <f t="shared" si="60"/>
        <v>0</v>
      </c>
      <c r="R178" s="9">
        <f t="shared" si="61"/>
        <v>0</v>
      </c>
      <c r="S178" s="9">
        <f t="shared" si="62"/>
        <v>0</v>
      </c>
      <c r="T178" s="9">
        <f t="shared" si="63"/>
        <v>0</v>
      </c>
      <c r="U178" s="9">
        <f t="shared" si="64"/>
        <v>0</v>
      </c>
      <c r="V178" s="9">
        <f t="shared" si="65"/>
        <v>0</v>
      </c>
      <c r="W178" s="9">
        <f t="shared" si="66"/>
        <v>0</v>
      </c>
      <c r="X178" s="9">
        <f t="shared" si="67"/>
        <v>0</v>
      </c>
      <c r="Y178" s="9">
        <f t="shared" si="68"/>
        <v>0</v>
      </c>
      <c r="Z178" s="9">
        <f t="shared" si="69"/>
        <v>0</v>
      </c>
      <c r="AA178" s="10">
        <f t="shared" si="70"/>
        <v>0</v>
      </c>
    </row>
    <row r="179" spans="1:27" x14ac:dyDescent="0.3">
      <c r="A179" s="18" t="s">
        <v>1302</v>
      </c>
      <c r="B179" s="4">
        <f t="shared" si="48"/>
        <v>1</v>
      </c>
      <c r="C179" s="4">
        <f t="shared" si="49"/>
        <v>0</v>
      </c>
      <c r="D179" s="4">
        <f t="shared" si="50"/>
        <v>0</v>
      </c>
      <c r="E179" s="4">
        <f t="shared" si="51"/>
        <v>0</v>
      </c>
      <c r="F179" s="4">
        <f t="shared" si="52"/>
        <v>0</v>
      </c>
      <c r="G179" s="4">
        <f t="shared" si="53"/>
        <v>0</v>
      </c>
      <c r="I179" s="8" t="s">
        <v>1108</v>
      </c>
      <c r="J179" s="9">
        <f t="shared" si="54"/>
        <v>0</v>
      </c>
      <c r="K179" s="9">
        <f t="shared" si="71"/>
        <v>0</v>
      </c>
      <c r="L179" s="9">
        <f t="shared" si="55"/>
        <v>0</v>
      </c>
      <c r="M179" s="9">
        <f t="shared" si="56"/>
        <v>0</v>
      </c>
      <c r="N179" s="9">
        <f t="shared" si="57"/>
        <v>0</v>
      </c>
      <c r="O179" s="9">
        <f t="shared" si="58"/>
        <v>0</v>
      </c>
      <c r="P179" s="9">
        <f t="shared" si="59"/>
        <v>0</v>
      </c>
      <c r="Q179" s="9">
        <f t="shared" si="60"/>
        <v>0</v>
      </c>
      <c r="R179" s="9">
        <f t="shared" si="61"/>
        <v>0</v>
      </c>
      <c r="S179" s="9">
        <f t="shared" si="62"/>
        <v>0</v>
      </c>
      <c r="T179" s="9">
        <f t="shared" si="63"/>
        <v>0</v>
      </c>
      <c r="U179" s="9">
        <f t="shared" si="64"/>
        <v>0</v>
      </c>
      <c r="V179" s="9">
        <f t="shared" si="65"/>
        <v>0</v>
      </c>
      <c r="W179" s="9">
        <f t="shared" si="66"/>
        <v>1</v>
      </c>
      <c r="X179" s="9">
        <f t="shared" si="67"/>
        <v>0</v>
      </c>
      <c r="Y179" s="9">
        <f t="shared" si="68"/>
        <v>0</v>
      </c>
      <c r="Z179" s="9">
        <f t="shared" si="69"/>
        <v>0</v>
      </c>
      <c r="AA179" s="10">
        <f t="shared" si="70"/>
        <v>0</v>
      </c>
    </row>
    <row r="180" spans="1:27" x14ac:dyDescent="0.3">
      <c r="A180" s="4" t="s">
        <v>1303</v>
      </c>
      <c r="B180" s="4">
        <f t="shared" si="48"/>
        <v>0</v>
      </c>
      <c r="C180" s="4">
        <f t="shared" si="49"/>
        <v>0</v>
      </c>
      <c r="D180" s="4">
        <f t="shared" si="50"/>
        <v>0</v>
      </c>
      <c r="E180" s="4">
        <f t="shared" si="51"/>
        <v>0</v>
      </c>
      <c r="F180" s="4">
        <f t="shared" si="52"/>
        <v>1</v>
      </c>
      <c r="G180" s="4">
        <f t="shared" si="53"/>
        <v>0</v>
      </c>
      <c r="I180" s="11" t="s">
        <v>988</v>
      </c>
      <c r="J180" s="9">
        <f t="shared" si="54"/>
        <v>0</v>
      </c>
      <c r="K180" s="9">
        <f t="shared" si="71"/>
        <v>0</v>
      </c>
      <c r="L180" s="9">
        <f t="shared" si="55"/>
        <v>1</v>
      </c>
      <c r="M180" s="9">
        <f t="shared" si="56"/>
        <v>0</v>
      </c>
      <c r="N180" s="9">
        <f t="shared" si="57"/>
        <v>0</v>
      </c>
      <c r="O180" s="9">
        <f t="shared" si="58"/>
        <v>0</v>
      </c>
      <c r="P180" s="9">
        <f t="shared" si="59"/>
        <v>0</v>
      </c>
      <c r="Q180" s="9">
        <f t="shared" si="60"/>
        <v>0</v>
      </c>
      <c r="R180" s="9">
        <f t="shared" si="61"/>
        <v>0</v>
      </c>
      <c r="S180" s="9">
        <f t="shared" si="62"/>
        <v>0</v>
      </c>
      <c r="T180" s="9">
        <f t="shared" si="63"/>
        <v>0</v>
      </c>
      <c r="U180" s="9">
        <f t="shared" si="64"/>
        <v>0</v>
      </c>
      <c r="V180" s="9">
        <f t="shared" si="65"/>
        <v>0</v>
      </c>
      <c r="W180" s="9">
        <f t="shared" si="66"/>
        <v>0</v>
      </c>
      <c r="X180" s="9">
        <f t="shared" si="67"/>
        <v>0</v>
      </c>
      <c r="Y180" s="9">
        <f t="shared" si="68"/>
        <v>0</v>
      </c>
      <c r="Z180" s="9">
        <f t="shared" si="69"/>
        <v>0</v>
      </c>
      <c r="AA180" s="10">
        <f t="shared" si="70"/>
        <v>0</v>
      </c>
    </row>
    <row r="181" spans="1:27" x14ac:dyDescent="0.3">
      <c r="A181" s="18" t="s">
        <v>1294</v>
      </c>
      <c r="B181" s="4">
        <f t="shared" si="48"/>
        <v>0</v>
      </c>
      <c r="C181" s="4">
        <f t="shared" si="49"/>
        <v>0</v>
      </c>
      <c r="D181" s="4">
        <f t="shared" si="50"/>
        <v>0</v>
      </c>
      <c r="E181" s="4">
        <f t="shared" si="51"/>
        <v>0</v>
      </c>
      <c r="F181" s="4">
        <f t="shared" si="52"/>
        <v>0</v>
      </c>
      <c r="G181" s="4">
        <f t="shared" si="53"/>
        <v>0</v>
      </c>
      <c r="I181" s="8" t="s">
        <v>982</v>
      </c>
      <c r="J181" s="9">
        <f t="shared" si="54"/>
        <v>0</v>
      </c>
      <c r="K181" s="9">
        <f t="shared" si="71"/>
        <v>1</v>
      </c>
      <c r="L181" s="9">
        <f t="shared" si="55"/>
        <v>0</v>
      </c>
      <c r="M181" s="9">
        <f t="shared" si="56"/>
        <v>0</v>
      </c>
      <c r="N181" s="9">
        <f t="shared" si="57"/>
        <v>0</v>
      </c>
      <c r="O181" s="9">
        <f t="shared" si="58"/>
        <v>0</v>
      </c>
      <c r="P181" s="9">
        <f t="shared" si="59"/>
        <v>0</v>
      </c>
      <c r="Q181" s="9">
        <f t="shared" si="60"/>
        <v>0</v>
      </c>
      <c r="R181" s="9">
        <f t="shared" si="61"/>
        <v>0</v>
      </c>
      <c r="S181" s="9">
        <f t="shared" si="62"/>
        <v>0</v>
      </c>
      <c r="T181" s="9">
        <f t="shared" si="63"/>
        <v>0</v>
      </c>
      <c r="U181" s="9">
        <f t="shared" si="64"/>
        <v>0</v>
      </c>
      <c r="V181" s="9">
        <f t="shared" si="65"/>
        <v>0</v>
      </c>
      <c r="W181" s="9">
        <f t="shared" si="66"/>
        <v>0</v>
      </c>
      <c r="X181" s="9">
        <f t="shared" si="67"/>
        <v>0</v>
      </c>
      <c r="Y181" s="9">
        <f t="shared" si="68"/>
        <v>0</v>
      </c>
      <c r="Z181" s="9">
        <f t="shared" si="69"/>
        <v>0</v>
      </c>
      <c r="AA181" s="10">
        <f t="shared" si="70"/>
        <v>0</v>
      </c>
    </row>
    <row r="182" spans="1:27" x14ac:dyDescent="0.3">
      <c r="A182" s="4" t="s">
        <v>1302</v>
      </c>
      <c r="B182" s="4">
        <f t="shared" si="48"/>
        <v>1</v>
      </c>
      <c r="C182" s="4">
        <f t="shared" si="49"/>
        <v>0</v>
      </c>
      <c r="D182" s="4">
        <f t="shared" si="50"/>
        <v>0</v>
      </c>
      <c r="E182" s="4">
        <f t="shared" si="51"/>
        <v>0</v>
      </c>
      <c r="F182" s="4">
        <f t="shared" si="52"/>
        <v>0</v>
      </c>
      <c r="G182" s="4">
        <f t="shared" si="53"/>
        <v>0</v>
      </c>
      <c r="I182" s="11" t="s">
        <v>990</v>
      </c>
      <c r="J182" s="9">
        <f t="shared" si="54"/>
        <v>0</v>
      </c>
      <c r="K182" s="9">
        <f t="shared" si="71"/>
        <v>0</v>
      </c>
      <c r="L182" s="9">
        <f t="shared" si="55"/>
        <v>0</v>
      </c>
      <c r="M182" s="9">
        <f t="shared" si="56"/>
        <v>0</v>
      </c>
      <c r="N182" s="9">
        <f t="shared" si="57"/>
        <v>1</v>
      </c>
      <c r="O182" s="9">
        <f t="shared" si="58"/>
        <v>0</v>
      </c>
      <c r="P182" s="9">
        <f t="shared" si="59"/>
        <v>0</v>
      </c>
      <c r="Q182" s="9">
        <f t="shared" si="60"/>
        <v>0</v>
      </c>
      <c r="R182" s="9">
        <f t="shared" si="61"/>
        <v>0</v>
      </c>
      <c r="S182" s="9">
        <f t="shared" si="62"/>
        <v>0</v>
      </c>
      <c r="T182" s="9">
        <f t="shared" si="63"/>
        <v>0</v>
      </c>
      <c r="U182" s="9">
        <f t="shared" si="64"/>
        <v>0</v>
      </c>
      <c r="V182" s="9">
        <f t="shared" si="65"/>
        <v>0</v>
      </c>
      <c r="W182" s="9">
        <f t="shared" si="66"/>
        <v>0</v>
      </c>
      <c r="X182" s="9">
        <f t="shared" si="67"/>
        <v>0</v>
      </c>
      <c r="Y182" s="9">
        <f t="shared" si="68"/>
        <v>0</v>
      </c>
      <c r="Z182" s="9">
        <f t="shared" si="69"/>
        <v>0</v>
      </c>
      <c r="AA182" s="10">
        <f t="shared" si="70"/>
        <v>0</v>
      </c>
    </row>
    <row r="183" spans="1:27" x14ac:dyDescent="0.3">
      <c r="A183" s="18" t="s">
        <v>1302</v>
      </c>
      <c r="B183" s="4">
        <f t="shared" si="48"/>
        <v>1</v>
      </c>
      <c r="C183" s="4">
        <f t="shared" si="49"/>
        <v>0</v>
      </c>
      <c r="D183" s="4">
        <f t="shared" si="50"/>
        <v>0</v>
      </c>
      <c r="E183" s="4">
        <f t="shared" si="51"/>
        <v>0</v>
      </c>
      <c r="F183" s="4">
        <f t="shared" si="52"/>
        <v>0</v>
      </c>
      <c r="G183" s="4">
        <f t="shared" si="53"/>
        <v>0</v>
      </c>
      <c r="I183" s="8" t="s">
        <v>988</v>
      </c>
      <c r="J183" s="9">
        <f t="shared" si="54"/>
        <v>0</v>
      </c>
      <c r="K183" s="9">
        <f t="shared" si="71"/>
        <v>0</v>
      </c>
      <c r="L183" s="9">
        <f t="shared" si="55"/>
        <v>1</v>
      </c>
      <c r="M183" s="9">
        <f t="shared" si="56"/>
        <v>0</v>
      </c>
      <c r="N183" s="9">
        <f t="shared" si="57"/>
        <v>0</v>
      </c>
      <c r="O183" s="9">
        <f t="shared" si="58"/>
        <v>0</v>
      </c>
      <c r="P183" s="9">
        <f t="shared" si="59"/>
        <v>0</v>
      </c>
      <c r="Q183" s="9">
        <f t="shared" si="60"/>
        <v>0</v>
      </c>
      <c r="R183" s="9">
        <f t="shared" si="61"/>
        <v>0</v>
      </c>
      <c r="S183" s="9">
        <f t="shared" si="62"/>
        <v>0</v>
      </c>
      <c r="T183" s="9">
        <f t="shared" si="63"/>
        <v>0</v>
      </c>
      <c r="U183" s="9">
        <f t="shared" si="64"/>
        <v>0</v>
      </c>
      <c r="V183" s="9">
        <f t="shared" si="65"/>
        <v>0</v>
      </c>
      <c r="W183" s="9">
        <f t="shared" si="66"/>
        <v>0</v>
      </c>
      <c r="X183" s="9">
        <f t="shared" si="67"/>
        <v>0</v>
      </c>
      <c r="Y183" s="9">
        <f t="shared" si="68"/>
        <v>0</v>
      </c>
      <c r="Z183" s="9">
        <f t="shared" si="69"/>
        <v>0</v>
      </c>
      <c r="AA183" s="10">
        <f t="shared" si="70"/>
        <v>0</v>
      </c>
    </row>
    <row r="184" spans="1:27" x14ac:dyDescent="0.3">
      <c r="A184" s="4" t="s">
        <v>1302</v>
      </c>
      <c r="B184" s="4">
        <f t="shared" si="48"/>
        <v>1</v>
      </c>
      <c r="C184" s="4">
        <f t="shared" si="49"/>
        <v>0</v>
      </c>
      <c r="D184" s="4">
        <f t="shared" si="50"/>
        <v>0</v>
      </c>
      <c r="E184" s="4">
        <f t="shared" si="51"/>
        <v>0</v>
      </c>
      <c r="F184" s="4">
        <f t="shared" si="52"/>
        <v>0</v>
      </c>
      <c r="G184" s="4">
        <f t="shared" si="53"/>
        <v>0</v>
      </c>
      <c r="I184" s="11" t="s">
        <v>988</v>
      </c>
      <c r="J184" s="9">
        <f t="shared" si="54"/>
        <v>0</v>
      </c>
      <c r="K184" s="9">
        <f t="shared" si="71"/>
        <v>0</v>
      </c>
      <c r="L184" s="9">
        <f t="shared" si="55"/>
        <v>1</v>
      </c>
      <c r="M184" s="9">
        <f t="shared" si="56"/>
        <v>0</v>
      </c>
      <c r="N184" s="9">
        <f t="shared" si="57"/>
        <v>0</v>
      </c>
      <c r="O184" s="9">
        <f t="shared" si="58"/>
        <v>0</v>
      </c>
      <c r="P184" s="9">
        <f t="shared" si="59"/>
        <v>0</v>
      </c>
      <c r="Q184" s="9">
        <f t="shared" si="60"/>
        <v>0</v>
      </c>
      <c r="R184" s="9">
        <f t="shared" si="61"/>
        <v>0</v>
      </c>
      <c r="S184" s="9">
        <f t="shared" si="62"/>
        <v>0</v>
      </c>
      <c r="T184" s="9">
        <f t="shared" si="63"/>
        <v>0</v>
      </c>
      <c r="U184" s="9">
        <f t="shared" si="64"/>
        <v>0</v>
      </c>
      <c r="V184" s="9">
        <f t="shared" si="65"/>
        <v>0</v>
      </c>
      <c r="W184" s="9">
        <f t="shared" si="66"/>
        <v>0</v>
      </c>
      <c r="X184" s="9">
        <f t="shared" si="67"/>
        <v>0</v>
      </c>
      <c r="Y184" s="9">
        <f t="shared" si="68"/>
        <v>0</v>
      </c>
      <c r="Z184" s="9">
        <f t="shared" si="69"/>
        <v>0</v>
      </c>
      <c r="AA184" s="10">
        <f t="shared" si="70"/>
        <v>0</v>
      </c>
    </row>
    <row r="185" spans="1:27" x14ac:dyDescent="0.3">
      <c r="A185" s="18" t="s">
        <v>1303</v>
      </c>
      <c r="B185" s="4">
        <f t="shared" si="48"/>
        <v>0</v>
      </c>
      <c r="C185" s="4">
        <f t="shared" si="49"/>
        <v>0</v>
      </c>
      <c r="D185" s="4">
        <f t="shared" si="50"/>
        <v>0</v>
      </c>
      <c r="E185" s="4">
        <f t="shared" si="51"/>
        <v>0</v>
      </c>
      <c r="F185" s="4">
        <f t="shared" si="52"/>
        <v>1</v>
      </c>
      <c r="G185" s="4">
        <f t="shared" si="53"/>
        <v>0</v>
      </c>
      <c r="I185" s="8" t="s">
        <v>977</v>
      </c>
      <c r="J185" s="9">
        <f t="shared" si="54"/>
        <v>1</v>
      </c>
      <c r="K185" s="9">
        <f t="shared" si="71"/>
        <v>0</v>
      </c>
      <c r="L185" s="9">
        <f t="shared" si="55"/>
        <v>0</v>
      </c>
      <c r="M185" s="9">
        <f t="shared" si="56"/>
        <v>0</v>
      </c>
      <c r="N185" s="9">
        <f t="shared" si="57"/>
        <v>0</v>
      </c>
      <c r="O185" s="9">
        <f t="shared" si="58"/>
        <v>0</v>
      </c>
      <c r="P185" s="9">
        <f t="shared" si="59"/>
        <v>0</v>
      </c>
      <c r="Q185" s="9">
        <f t="shared" si="60"/>
        <v>0</v>
      </c>
      <c r="R185" s="9">
        <f t="shared" si="61"/>
        <v>0</v>
      </c>
      <c r="S185" s="9">
        <f t="shared" si="62"/>
        <v>0</v>
      </c>
      <c r="T185" s="9">
        <f t="shared" si="63"/>
        <v>0</v>
      </c>
      <c r="U185" s="9">
        <f t="shared" si="64"/>
        <v>0</v>
      </c>
      <c r="V185" s="9">
        <f t="shared" si="65"/>
        <v>0</v>
      </c>
      <c r="W185" s="9">
        <f t="shared" si="66"/>
        <v>0</v>
      </c>
      <c r="X185" s="9">
        <f t="shared" si="67"/>
        <v>0</v>
      </c>
      <c r="Y185" s="9">
        <f t="shared" si="68"/>
        <v>0</v>
      </c>
      <c r="Z185" s="9">
        <f t="shared" si="69"/>
        <v>0</v>
      </c>
      <c r="AA185" s="10">
        <f t="shared" si="70"/>
        <v>0</v>
      </c>
    </row>
    <row r="186" spans="1:27" x14ac:dyDescent="0.3">
      <c r="A186" s="4" t="s">
        <v>1294</v>
      </c>
      <c r="B186" s="4">
        <f t="shared" si="48"/>
        <v>0</v>
      </c>
      <c r="C186" s="4">
        <f t="shared" si="49"/>
        <v>0</v>
      </c>
      <c r="D186" s="4">
        <f t="shared" si="50"/>
        <v>0</v>
      </c>
      <c r="E186" s="4">
        <f t="shared" si="51"/>
        <v>0</v>
      </c>
      <c r="F186" s="4">
        <f t="shared" si="52"/>
        <v>0</v>
      </c>
      <c r="G186" s="4">
        <f t="shared" si="53"/>
        <v>0</v>
      </c>
      <c r="I186" s="11" t="s">
        <v>977</v>
      </c>
      <c r="J186" s="9">
        <f t="shared" si="54"/>
        <v>1</v>
      </c>
      <c r="K186" s="9">
        <f t="shared" si="71"/>
        <v>0</v>
      </c>
      <c r="L186" s="9">
        <f t="shared" si="55"/>
        <v>0</v>
      </c>
      <c r="M186" s="9">
        <f t="shared" si="56"/>
        <v>0</v>
      </c>
      <c r="N186" s="9">
        <f t="shared" si="57"/>
        <v>0</v>
      </c>
      <c r="O186" s="9">
        <f t="shared" si="58"/>
        <v>0</v>
      </c>
      <c r="P186" s="9">
        <f t="shared" si="59"/>
        <v>0</v>
      </c>
      <c r="Q186" s="9">
        <f t="shared" si="60"/>
        <v>0</v>
      </c>
      <c r="R186" s="9">
        <f t="shared" si="61"/>
        <v>0</v>
      </c>
      <c r="S186" s="9">
        <f t="shared" si="62"/>
        <v>0</v>
      </c>
      <c r="T186" s="9">
        <f t="shared" si="63"/>
        <v>0</v>
      </c>
      <c r="U186" s="9">
        <f t="shared" si="64"/>
        <v>0</v>
      </c>
      <c r="V186" s="9">
        <f t="shared" si="65"/>
        <v>0</v>
      </c>
      <c r="W186" s="9">
        <f t="shared" si="66"/>
        <v>0</v>
      </c>
      <c r="X186" s="9">
        <f t="shared" si="67"/>
        <v>0</v>
      </c>
      <c r="Y186" s="9">
        <f t="shared" si="68"/>
        <v>0</v>
      </c>
      <c r="Z186" s="9">
        <f t="shared" si="69"/>
        <v>0</v>
      </c>
      <c r="AA186" s="10">
        <f t="shared" si="70"/>
        <v>0</v>
      </c>
    </row>
    <row r="187" spans="1:27" x14ac:dyDescent="0.3">
      <c r="A187" s="18" t="s">
        <v>1294</v>
      </c>
      <c r="B187" s="4">
        <f t="shared" si="48"/>
        <v>0</v>
      </c>
      <c r="C187" s="4">
        <f t="shared" si="49"/>
        <v>0</v>
      </c>
      <c r="D187" s="4">
        <f t="shared" si="50"/>
        <v>0</v>
      </c>
      <c r="E187" s="4">
        <f t="shared" si="51"/>
        <v>0</v>
      </c>
      <c r="F187" s="4">
        <f t="shared" si="52"/>
        <v>0</v>
      </c>
      <c r="G187" s="4">
        <f t="shared" si="53"/>
        <v>0</v>
      </c>
      <c r="I187" s="8" t="s">
        <v>982</v>
      </c>
      <c r="J187" s="9">
        <f t="shared" si="54"/>
        <v>0</v>
      </c>
      <c r="K187" s="9">
        <f t="shared" si="71"/>
        <v>1</v>
      </c>
      <c r="L187" s="9">
        <f t="shared" si="55"/>
        <v>0</v>
      </c>
      <c r="M187" s="9">
        <f t="shared" si="56"/>
        <v>0</v>
      </c>
      <c r="N187" s="9">
        <f t="shared" si="57"/>
        <v>0</v>
      </c>
      <c r="O187" s="9">
        <f t="shared" si="58"/>
        <v>0</v>
      </c>
      <c r="P187" s="9">
        <f t="shared" si="59"/>
        <v>0</v>
      </c>
      <c r="Q187" s="9">
        <f t="shared" si="60"/>
        <v>0</v>
      </c>
      <c r="R187" s="9">
        <f t="shared" si="61"/>
        <v>0</v>
      </c>
      <c r="S187" s="9">
        <f t="shared" si="62"/>
        <v>0</v>
      </c>
      <c r="T187" s="9">
        <f t="shared" si="63"/>
        <v>0</v>
      </c>
      <c r="U187" s="9">
        <f t="shared" si="64"/>
        <v>0</v>
      </c>
      <c r="V187" s="9">
        <f t="shared" si="65"/>
        <v>0</v>
      </c>
      <c r="W187" s="9">
        <f t="shared" si="66"/>
        <v>0</v>
      </c>
      <c r="X187" s="9">
        <f t="shared" si="67"/>
        <v>0</v>
      </c>
      <c r="Y187" s="9">
        <f t="shared" si="68"/>
        <v>0</v>
      </c>
      <c r="Z187" s="9">
        <f t="shared" si="69"/>
        <v>0</v>
      </c>
      <c r="AA187" s="10">
        <f t="shared" si="70"/>
        <v>0</v>
      </c>
    </row>
    <row r="188" spans="1:27" x14ac:dyDescent="0.3">
      <c r="A188" s="4" t="s">
        <v>1114</v>
      </c>
      <c r="B188" s="4">
        <f t="shared" si="48"/>
        <v>0</v>
      </c>
      <c r="C188" s="4">
        <f t="shared" si="49"/>
        <v>0</v>
      </c>
      <c r="D188" s="4">
        <f t="shared" si="50"/>
        <v>0</v>
      </c>
      <c r="E188" s="4">
        <f t="shared" si="51"/>
        <v>1</v>
      </c>
      <c r="F188" s="4">
        <f t="shared" si="52"/>
        <v>0</v>
      </c>
      <c r="G188" s="4">
        <f t="shared" si="53"/>
        <v>0</v>
      </c>
      <c r="I188" s="11" t="s">
        <v>977</v>
      </c>
      <c r="J188" s="9">
        <f t="shared" si="54"/>
        <v>1</v>
      </c>
      <c r="K188" s="9">
        <f t="shared" si="71"/>
        <v>0</v>
      </c>
      <c r="L188" s="9">
        <f t="shared" si="55"/>
        <v>0</v>
      </c>
      <c r="M188" s="9">
        <f t="shared" si="56"/>
        <v>0</v>
      </c>
      <c r="N188" s="9">
        <f t="shared" si="57"/>
        <v>0</v>
      </c>
      <c r="O188" s="9">
        <f t="shared" si="58"/>
        <v>0</v>
      </c>
      <c r="P188" s="9">
        <f t="shared" si="59"/>
        <v>0</v>
      </c>
      <c r="Q188" s="9">
        <f t="shared" si="60"/>
        <v>0</v>
      </c>
      <c r="R188" s="9">
        <f t="shared" si="61"/>
        <v>0</v>
      </c>
      <c r="S188" s="9">
        <f t="shared" si="62"/>
        <v>0</v>
      </c>
      <c r="T188" s="9">
        <f t="shared" si="63"/>
        <v>0</v>
      </c>
      <c r="U188" s="9">
        <f t="shared" si="64"/>
        <v>0</v>
      </c>
      <c r="V188" s="9">
        <f t="shared" si="65"/>
        <v>0</v>
      </c>
      <c r="W188" s="9">
        <f t="shared" si="66"/>
        <v>0</v>
      </c>
      <c r="X188" s="9">
        <f t="shared" si="67"/>
        <v>0</v>
      </c>
      <c r="Y188" s="9">
        <f t="shared" si="68"/>
        <v>0</v>
      </c>
      <c r="Z188" s="9">
        <f t="shared" si="69"/>
        <v>0</v>
      </c>
      <c r="AA188" s="10">
        <f t="shared" si="70"/>
        <v>0</v>
      </c>
    </row>
    <row r="189" spans="1:27" x14ac:dyDescent="0.3">
      <c r="A189" s="18" t="s">
        <v>1302</v>
      </c>
      <c r="B189" s="4">
        <f t="shared" si="48"/>
        <v>1</v>
      </c>
      <c r="C189" s="4">
        <f t="shared" si="49"/>
        <v>0</v>
      </c>
      <c r="D189" s="4">
        <f t="shared" si="50"/>
        <v>0</v>
      </c>
      <c r="E189" s="4">
        <f t="shared" si="51"/>
        <v>0</v>
      </c>
      <c r="F189" s="4">
        <f t="shared" si="52"/>
        <v>0</v>
      </c>
      <c r="G189" s="4">
        <f t="shared" si="53"/>
        <v>0</v>
      </c>
      <c r="I189" s="8" t="s">
        <v>994</v>
      </c>
      <c r="J189" s="9">
        <f t="shared" si="54"/>
        <v>0</v>
      </c>
      <c r="K189" s="9">
        <f t="shared" si="71"/>
        <v>0</v>
      </c>
      <c r="L189" s="9">
        <f t="shared" si="55"/>
        <v>0</v>
      </c>
      <c r="M189" s="9">
        <f t="shared" si="56"/>
        <v>0</v>
      </c>
      <c r="N189" s="9">
        <f t="shared" si="57"/>
        <v>0</v>
      </c>
      <c r="O189" s="9">
        <f t="shared" si="58"/>
        <v>0</v>
      </c>
      <c r="P189" s="9">
        <f t="shared" si="59"/>
        <v>1</v>
      </c>
      <c r="Q189" s="9">
        <f t="shared" si="60"/>
        <v>0</v>
      </c>
      <c r="R189" s="9">
        <f t="shared" si="61"/>
        <v>0</v>
      </c>
      <c r="S189" s="9">
        <f t="shared" si="62"/>
        <v>0</v>
      </c>
      <c r="T189" s="9">
        <f t="shared" si="63"/>
        <v>0</v>
      </c>
      <c r="U189" s="9">
        <f t="shared" si="64"/>
        <v>0</v>
      </c>
      <c r="V189" s="9">
        <f t="shared" si="65"/>
        <v>0</v>
      </c>
      <c r="W189" s="9">
        <f t="shared" si="66"/>
        <v>0</v>
      </c>
      <c r="X189" s="9">
        <f t="shared" si="67"/>
        <v>0</v>
      </c>
      <c r="Y189" s="9">
        <f t="shared" si="68"/>
        <v>0</v>
      </c>
      <c r="Z189" s="9">
        <f t="shared" si="69"/>
        <v>0</v>
      </c>
      <c r="AA189" s="10">
        <f t="shared" si="70"/>
        <v>0</v>
      </c>
    </row>
    <row r="190" spans="1:27" x14ac:dyDescent="0.3">
      <c r="A190" s="4" t="s">
        <v>1305</v>
      </c>
      <c r="B190" s="4">
        <f t="shared" si="48"/>
        <v>0</v>
      </c>
      <c r="C190" s="4">
        <f t="shared" si="49"/>
        <v>0</v>
      </c>
      <c r="D190" s="4">
        <f t="shared" si="50"/>
        <v>0</v>
      </c>
      <c r="E190" s="4">
        <f t="shared" si="51"/>
        <v>0</v>
      </c>
      <c r="F190" s="4">
        <f t="shared" si="52"/>
        <v>0</v>
      </c>
      <c r="G190" s="4">
        <f t="shared" si="53"/>
        <v>1</v>
      </c>
      <c r="I190" s="11" t="s">
        <v>977</v>
      </c>
      <c r="J190" s="9">
        <f t="shared" si="54"/>
        <v>1</v>
      </c>
      <c r="K190" s="9">
        <f t="shared" si="71"/>
        <v>0</v>
      </c>
      <c r="L190" s="9">
        <f t="shared" si="55"/>
        <v>0</v>
      </c>
      <c r="M190" s="9">
        <f t="shared" si="56"/>
        <v>0</v>
      </c>
      <c r="N190" s="9">
        <f t="shared" si="57"/>
        <v>0</v>
      </c>
      <c r="O190" s="9">
        <f t="shared" si="58"/>
        <v>0</v>
      </c>
      <c r="P190" s="9">
        <f t="shared" si="59"/>
        <v>0</v>
      </c>
      <c r="Q190" s="9">
        <f t="shared" si="60"/>
        <v>0</v>
      </c>
      <c r="R190" s="9">
        <f t="shared" si="61"/>
        <v>0</v>
      </c>
      <c r="S190" s="9">
        <f t="shared" si="62"/>
        <v>0</v>
      </c>
      <c r="T190" s="9">
        <f t="shared" si="63"/>
        <v>0</v>
      </c>
      <c r="U190" s="9">
        <f t="shared" si="64"/>
        <v>0</v>
      </c>
      <c r="V190" s="9">
        <f t="shared" si="65"/>
        <v>0</v>
      </c>
      <c r="W190" s="9">
        <f t="shared" si="66"/>
        <v>0</v>
      </c>
      <c r="X190" s="9">
        <f t="shared" si="67"/>
        <v>0</v>
      </c>
      <c r="Y190" s="9">
        <f t="shared" si="68"/>
        <v>0</v>
      </c>
      <c r="Z190" s="9">
        <f t="shared" si="69"/>
        <v>0</v>
      </c>
      <c r="AA190" s="10">
        <f t="shared" si="70"/>
        <v>0</v>
      </c>
    </row>
    <row r="191" spans="1:27" x14ac:dyDescent="0.3">
      <c r="A191" s="18" t="s">
        <v>1303</v>
      </c>
      <c r="B191" s="4">
        <f t="shared" si="48"/>
        <v>0</v>
      </c>
      <c r="C191" s="4">
        <f t="shared" si="49"/>
        <v>0</v>
      </c>
      <c r="D191" s="4">
        <f t="shared" si="50"/>
        <v>0</v>
      </c>
      <c r="E191" s="4">
        <f t="shared" si="51"/>
        <v>0</v>
      </c>
      <c r="F191" s="4">
        <f t="shared" si="52"/>
        <v>1</v>
      </c>
      <c r="G191" s="4">
        <f t="shared" si="53"/>
        <v>0</v>
      </c>
      <c r="I191" s="8" t="s">
        <v>994</v>
      </c>
      <c r="J191" s="9">
        <f t="shared" si="54"/>
        <v>0</v>
      </c>
      <c r="K191" s="9">
        <f t="shared" si="71"/>
        <v>0</v>
      </c>
      <c r="L191" s="9">
        <f t="shared" si="55"/>
        <v>0</v>
      </c>
      <c r="M191" s="9">
        <f t="shared" si="56"/>
        <v>0</v>
      </c>
      <c r="N191" s="9">
        <f t="shared" si="57"/>
        <v>0</v>
      </c>
      <c r="O191" s="9">
        <f t="shared" si="58"/>
        <v>0</v>
      </c>
      <c r="P191" s="9">
        <f t="shared" si="59"/>
        <v>1</v>
      </c>
      <c r="Q191" s="9">
        <f t="shared" si="60"/>
        <v>0</v>
      </c>
      <c r="R191" s="9">
        <f t="shared" si="61"/>
        <v>0</v>
      </c>
      <c r="S191" s="9">
        <f t="shared" si="62"/>
        <v>0</v>
      </c>
      <c r="T191" s="9">
        <f t="shared" si="63"/>
        <v>0</v>
      </c>
      <c r="U191" s="9">
        <f t="shared" si="64"/>
        <v>0</v>
      </c>
      <c r="V191" s="9">
        <f t="shared" si="65"/>
        <v>0</v>
      </c>
      <c r="W191" s="9">
        <f t="shared" si="66"/>
        <v>0</v>
      </c>
      <c r="X191" s="9">
        <f t="shared" si="67"/>
        <v>0</v>
      </c>
      <c r="Y191" s="9">
        <f t="shared" si="68"/>
        <v>0</v>
      </c>
      <c r="Z191" s="9">
        <f t="shared" si="69"/>
        <v>0</v>
      </c>
      <c r="AA191" s="10">
        <f t="shared" si="70"/>
        <v>0</v>
      </c>
    </row>
    <row r="192" spans="1:27" x14ac:dyDescent="0.3">
      <c r="A192" s="4" t="s">
        <v>1303</v>
      </c>
      <c r="B192" s="4">
        <f t="shared" si="48"/>
        <v>0</v>
      </c>
      <c r="C192" s="4">
        <f t="shared" si="49"/>
        <v>0</v>
      </c>
      <c r="D192" s="4">
        <f t="shared" si="50"/>
        <v>0</v>
      </c>
      <c r="E192" s="4">
        <f t="shared" si="51"/>
        <v>0</v>
      </c>
      <c r="F192" s="4">
        <f t="shared" si="52"/>
        <v>1</v>
      </c>
      <c r="G192" s="4">
        <f t="shared" si="53"/>
        <v>0</v>
      </c>
      <c r="I192" s="11" t="s">
        <v>977</v>
      </c>
      <c r="J192" s="9">
        <f t="shared" si="54"/>
        <v>1</v>
      </c>
      <c r="K192" s="9">
        <f t="shared" si="71"/>
        <v>0</v>
      </c>
      <c r="L192" s="9">
        <f t="shared" si="55"/>
        <v>0</v>
      </c>
      <c r="M192" s="9">
        <f t="shared" si="56"/>
        <v>0</v>
      </c>
      <c r="N192" s="9">
        <f t="shared" si="57"/>
        <v>0</v>
      </c>
      <c r="O192" s="9">
        <f t="shared" si="58"/>
        <v>0</v>
      </c>
      <c r="P192" s="9">
        <f t="shared" si="59"/>
        <v>0</v>
      </c>
      <c r="Q192" s="9">
        <f t="shared" si="60"/>
        <v>0</v>
      </c>
      <c r="R192" s="9">
        <f t="shared" si="61"/>
        <v>0</v>
      </c>
      <c r="S192" s="9">
        <f t="shared" si="62"/>
        <v>0</v>
      </c>
      <c r="T192" s="9">
        <f t="shared" si="63"/>
        <v>0</v>
      </c>
      <c r="U192" s="9">
        <f t="shared" si="64"/>
        <v>0</v>
      </c>
      <c r="V192" s="9">
        <f t="shared" si="65"/>
        <v>0</v>
      </c>
      <c r="W192" s="9">
        <f t="shared" si="66"/>
        <v>0</v>
      </c>
      <c r="X192" s="9">
        <f t="shared" si="67"/>
        <v>0</v>
      </c>
      <c r="Y192" s="9">
        <f t="shared" si="68"/>
        <v>0</v>
      </c>
      <c r="Z192" s="9">
        <f t="shared" si="69"/>
        <v>0</v>
      </c>
      <c r="AA192" s="10">
        <f t="shared" si="70"/>
        <v>0</v>
      </c>
    </row>
    <row r="193" spans="1:27" x14ac:dyDescent="0.3">
      <c r="A193" s="18" t="s">
        <v>1304</v>
      </c>
      <c r="B193" s="4">
        <f t="shared" si="48"/>
        <v>0</v>
      </c>
      <c r="C193" s="4">
        <f t="shared" si="49"/>
        <v>1</v>
      </c>
      <c r="D193" s="4">
        <f t="shared" si="50"/>
        <v>0</v>
      </c>
      <c r="E193" s="4">
        <f t="shared" si="51"/>
        <v>0</v>
      </c>
      <c r="F193" s="4">
        <f t="shared" si="52"/>
        <v>0</v>
      </c>
      <c r="G193" s="4">
        <f t="shared" si="53"/>
        <v>0</v>
      </c>
      <c r="I193" s="8" t="s">
        <v>996</v>
      </c>
      <c r="J193" s="9">
        <f t="shared" si="54"/>
        <v>0</v>
      </c>
      <c r="K193" s="9">
        <f t="shared" si="71"/>
        <v>0</v>
      </c>
      <c r="L193" s="9">
        <f t="shared" si="55"/>
        <v>0</v>
      </c>
      <c r="M193" s="9">
        <f t="shared" si="56"/>
        <v>0</v>
      </c>
      <c r="N193" s="9">
        <f t="shared" si="57"/>
        <v>0</v>
      </c>
      <c r="O193" s="9">
        <f t="shared" si="58"/>
        <v>0</v>
      </c>
      <c r="P193" s="9">
        <f t="shared" si="59"/>
        <v>0</v>
      </c>
      <c r="Q193" s="9">
        <f t="shared" si="60"/>
        <v>1</v>
      </c>
      <c r="R193" s="9">
        <f t="shared" si="61"/>
        <v>0</v>
      </c>
      <c r="S193" s="9">
        <f t="shared" si="62"/>
        <v>0</v>
      </c>
      <c r="T193" s="9">
        <f t="shared" si="63"/>
        <v>0</v>
      </c>
      <c r="U193" s="9">
        <f t="shared" si="64"/>
        <v>0</v>
      </c>
      <c r="V193" s="9">
        <f t="shared" si="65"/>
        <v>0</v>
      </c>
      <c r="W193" s="9">
        <f t="shared" si="66"/>
        <v>0</v>
      </c>
      <c r="X193" s="9">
        <f t="shared" si="67"/>
        <v>0</v>
      </c>
      <c r="Y193" s="9">
        <f t="shared" si="68"/>
        <v>0</v>
      </c>
      <c r="Z193" s="9">
        <f t="shared" si="69"/>
        <v>0</v>
      </c>
      <c r="AA193" s="10">
        <f t="shared" si="70"/>
        <v>0</v>
      </c>
    </row>
    <row r="194" spans="1:27" x14ac:dyDescent="0.3">
      <c r="A194" s="4" t="s">
        <v>1302</v>
      </c>
      <c r="B194" s="4">
        <f t="shared" si="48"/>
        <v>1</v>
      </c>
      <c r="C194" s="4">
        <f t="shared" si="49"/>
        <v>0</v>
      </c>
      <c r="D194" s="4">
        <f t="shared" si="50"/>
        <v>0</v>
      </c>
      <c r="E194" s="4">
        <f t="shared" si="51"/>
        <v>0</v>
      </c>
      <c r="F194" s="4">
        <f t="shared" si="52"/>
        <v>0</v>
      </c>
      <c r="G194" s="4">
        <f t="shared" si="53"/>
        <v>0</v>
      </c>
      <c r="I194" s="11" t="s">
        <v>977</v>
      </c>
      <c r="J194" s="9">
        <f t="shared" si="54"/>
        <v>1</v>
      </c>
      <c r="K194" s="9">
        <f t="shared" si="71"/>
        <v>0</v>
      </c>
      <c r="L194" s="9">
        <f t="shared" si="55"/>
        <v>0</v>
      </c>
      <c r="M194" s="9">
        <f t="shared" si="56"/>
        <v>0</v>
      </c>
      <c r="N194" s="9">
        <f t="shared" si="57"/>
        <v>0</v>
      </c>
      <c r="O194" s="9">
        <f t="shared" si="58"/>
        <v>0</v>
      </c>
      <c r="P194" s="9">
        <f t="shared" si="59"/>
        <v>0</v>
      </c>
      <c r="Q194" s="9">
        <f t="shared" si="60"/>
        <v>0</v>
      </c>
      <c r="R194" s="9">
        <f t="shared" si="61"/>
        <v>0</v>
      </c>
      <c r="S194" s="9">
        <f t="shared" si="62"/>
        <v>0</v>
      </c>
      <c r="T194" s="9">
        <f t="shared" si="63"/>
        <v>0</v>
      </c>
      <c r="U194" s="9">
        <f t="shared" si="64"/>
        <v>0</v>
      </c>
      <c r="V194" s="9">
        <f t="shared" si="65"/>
        <v>0</v>
      </c>
      <c r="W194" s="9">
        <f t="shared" si="66"/>
        <v>0</v>
      </c>
      <c r="X194" s="9">
        <f t="shared" si="67"/>
        <v>0</v>
      </c>
      <c r="Y194" s="9">
        <f t="shared" si="68"/>
        <v>0</v>
      </c>
      <c r="Z194" s="9">
        <f t="shared" si="69"/>
        <v>0</v>
      </c>
      <c r="AA194" s="10">
        <f t="shared" si="70"/>
        <v>0</v>
      </c>
    </row>
    <row r="195" spans="1:27" x14ac:dyDescent="0.3">
      <c r="A195" s="18" t="s">
        <v>1302</v>
      </c>
      <c r="B195" s="4">
        <f t="shared" si="48"/>
        <v>1</v>
      </c>
      <c r="C195" s="4">
        <f t="shared" si="49"/>
        <v>0</v>
      </c>
      <c r="D195" s="4">
        <f t="shared" si="50"/>
        <v>0</v>
      </c>
      <c r="E195" s="4">
        <f t="shared" si="51"/>
        <v>0</v>
      </c>
      <c r="F195" s="4">
        <f t="shared" si="52"/>
        <v>0</v>
      </c>
      <c r="G195" s="4">
        <f t="shared" si="53"/>
        <v>0</v>
      </c>
      <c r="I195" s="8" t="s">
        <v>988</v>
      </c>
      <c r="J195" s="9">
        <f t="shared" si="54"/>
        <v>0</v>
      </c>
      <c r="K195" s="9">
        <f t="shared" si="71"/>
        <v>0</v>
      </c>
      <c r="L195" s="9">
        <f t="shared" si="55"/>
        <v>1</v>
      </c>
      <c r="M195" s="9">
        <f t="shared" si="56"/>
        <v>0</v>
      </c>
      <c r="N195" s="9">
        <f t="shared" si="57"/>
        <v>0</v>
      </c>
      <c r="O195" s="9">
        <f t="shared" si="58"/>
        <v>0</v>
      </c>
      <c r="P195" s="9">
        <f t="shared" si="59"/>
        <v>0</v>
      </c>
      <c r="Q195" s="9">
        <f t="shared" si="60"/>
        <v>0</v>
      </c>
      <c r="R195" s="9">
        <f t="shared" si="61"/>
        <v>0</v>
      </c>
      <c r="S195" s="9">
        <f t="shared" si="62"/>
        <v>0</v>
      </c>
      <c r="T195" s="9">
        <f t="shared" si="63"/>
        <v>0</v>
      </c>
      <c r="U195" s="9">
        <f t="shared" si="64"/>
        <v>0</v>
      </c>
      <c r="V195" s="9">
        <f t="shared" si="65"/>
        <v>0</v>
      </c>
      <c r="W195" s="9">
        <f t="shared" si="66"/>
        <v>0</v>
      </c>
      <c r="X195" s="9">
        <f t="shared" si="67"/>
        <v>0</v>
      </c>
      <c r="Y195" s="9">
        <f t="shared" si="68"/>
        <v>0</v>
      </c>
      <c r="Z195" s="9">
        <f t="shared" si="69"/>
        <v>0</v>
      </c>
      <c r="AA195" s="10">
        <f t="shared" si="70"/>
        <v>0</v>
      </c>
    </row>
    <row r="196" spans="1:27" x14ac:dyDescent="0.3">
      <c r="A196" s="4" t="s">
        <v>1303</v>
      </c>
      <c r="B196" s="4">
        <f t="shared" ref="B196:B259" si="72">IF($A196="Asia",1,0)</f>
        <v>0</v>
      </c>
      <c r="C196" s="4">
        <f t="shared" ref="C196:C259" si="73">IF(A196="Europe",1,0)</f>
        <v>0</v>
      </c>
      <c r="D196" s="4">
        <f t="shared" ref="D196:D259" si="74">IF(A196="Africa",1,0)</f>
        <v>0</v>
      </c>
      <c r="E196" s="4">
        <f t="shared" ref="E196:E259" si="75">IF($A196="Australia",1,0)</f>
        <v>0</v>
      </c>
      <c r="F196" s="4">
        <f t="shared" ref="F196:F259" si="76">IF($A196="North America",1,0)</f>
        <v>1</v>
      </c>
      <c r="G196" s="4">
        <f t="shared" ref="G196:G259" si="77">IF($A196="South America",1,0)</f>
        <v>0</v>
      </c>
      <c r="I196" s="11" t="s">
        <v>982</v>
      </c>
      <c r="J196" s="9">
        <f t="shared" ref="J196:J259" si="78">IF(I196="Music",1,0)</f>
        <v>0</v>
      </c>
      <c r="K196" s="9">
        <f t="shared" si="71"/>
        <v>1</v>
      </c>
      <c r="L196" s="9">
        <f t="shared" ref="L196:L259" si="79">IF(I196="Entertainment",1,0)</f>
        <v>0</v>
      </c>
      <c r="M196" s="9">
        <f t="shared" ref="M196:M259" si="80">IF(I196="Nonprofits &amp; Activism",1,0)</f>
        <v>0</v>
      </c>
      <c r="N196" s="9">
        <f t="shared" ref="N196:N259" si="81">IF(I196="Education",1,0)</f>
        <v>0</v>
      </c>
      <c r="O196" s="9">
        <f t="shared" ref="O196:O259" si="82">IF(I196="Shows",1,0)</f>
        <v>0</v>
      </c>
      <c r="P196" s="9">
        <f t="shared" ref="P196:P259" si="83">IF(I196="People &amp; Blogs",1,0)</f>
        <v>0</v>
      </c>
      <c r="Q196" s="9">
        <f t="shared" ref="Q196:Q259" si="84">IF(I196="Gaming",1,0)</f>
        <v>0</v>
      </c>
      <c r="R196" s="9">
        <f t="shared" ref="R196:R259" si="85">IF(I196="Sports",1,0)</f>
        <v>0</v>
      </c>
      <c r="S196" s="9">
        <f t="shared" ref="S196:S259" si="86">IF(I196="Howto &amp; Style",1,0)</f>
        <v>0</v>
      </c>
      <c r="T196" s="9">
        <f t="shared" ref="T196:T259" si="87">IF(I196="News &amp; Politics",1,0)</f>
        <v>0</v>
      </c>
      <c r="U196" s="9">
        <f t="shared" ref="U196:U259" si="88">IF(I196="Comedy",1,0)</f>
        <v>0</v>
      </c>
      <c r="V196" s="9">
        <f t="shared" ref="V196:V259" si="89">IF(I196="Trailers",1,0)</f>
        <v>0</v>
      </c>
      <c r="W196" s="9">
        <f t="shared" ref="W196:W259" si="90">IF(I196="Movies",1,0)</f>
        <v>0</v>
      </c>
      <c r="X196" s="9">
        <f t="shared" ref="X196:X259" si="91">IF(I196="Autos &amp; Vehicles",1,0)</f>
        <v>0</v>
      </c>
      <c r="Y196" s="9">
        <f t="shared" ref="Y196:Y259" si="92">IF(I196="Pets &amp; Animals",1,0)</f>
        <v>0</v>
      </c>
      <c r="Z196" s="9">
        <f t="shared" ref="Z196:Z259" si="93">IF(I196="Science &amp; Technology",1,0)</f>
        <v>0</v>
      </c>
      <c r="AA196" s="10">
        <f t="shared" ref="AA196:AA259" si="94">IF(I196="Travel &amp; Events",1,0)</f>
        <v>0</v>
      </c>
    </row>
    <row r="197" spans="1:27" x14ac:dyDescent="0.3">
      <c r="A197" s="18" t="s">
        <v>1294</v>
      </c>
      <c r="B197" s="4">
        <f t="shared" si="72"/>
        <v>0</v>
      </c>
      <c r="C197" s="4">
        <f t="shared" si="73"/>
        <v>0</v>
      </c>
      <c r="D197" s="4">
        <f t="shared" si="74"/>
        <v>0</v>
      </c>
      <c r="E197" s="4">
        <f t="shared" si="75"/>
        <v>0</v>
      </c>
      <c r="F197" s="4">
        <f t="shared" si="76"/>
        <v>0</v>
      </c>
      <c r="G197" s="4">
        <f t="shared" si="77"/>
        <v>0</v>
      </c>
      <c r="I197" s="8" t="s">
        <v>1011</v>
      </c>
      <c r="J197" s="9">
        <f t="shared" si="78"/>
        <v>0</v>
      </c>
      <c r="K197" s="9">
        <f t="shared" ref="K197:K260" si="95">IF(I197="Film &amp; Animation",1,0)</f>
        <v>0</v>
      </c>
      <c r="L197" s="9">
        <f t="shared" si="79"/>
        <v>0</v>
      </c>
      <c r="M197" s="9">
        <f t="shared" si="80"/>
        <v>0</v>
      </c>
      <c r="N197" s="9">
        <f t="shared" si="81"/>
        <v>0</v>
      </c>
      <c r="O197" s="9">
        <f t="shared" si="82"/>
        <v>0</v>
      </c>
      <c r="P197" s="9">
        <f t="shared" si="83"/>
        <v>0</v>
      </c>
      <c r="Q197" s="9">
        <f t="shared" si="84"/>
        <v>0</v>
      </c>
      <c r="R197" s="9">
        <f t="shared" si="85"/>
        <v>0</v>
      </c>
      <c r="S197" s="9">
        <f t="shared" si="86"/>
        <v>1</v>
      </c>
      <c r="T197" s="9">
        <f t="shared" si="87"/>
        <v>0</v>
      </c>
      <c r="U197" s="9">
        <f t="shared" si="88"/>
        <v>0</v>
      </c>
      <c r="V197" s="9">
        <f t="shared" si="89"/>
        <v>0</v>
      </c>
      <c r="W197" s="9">
        <f t="shared" si="90"/>
        <v>0</v>
      </c>
      <c r="X197" s="9">
        <f t="shared" si="91"/>
        <v>0</v>
      </c>
      <c r="Y197" s="9">
        <f t="shared" si="92"/>
        <v>0</v>
      </c>
      <c r="Z197" s="9">
        <f t="shared" si="93"/>
        <v>0</v>
      </c>
      <c r="AA197" s="10">
        <f t="shared" si="94"/>
        <v>0</v>
      </c>
    </row>
    <row r="198" spans="1:27" x14ac:dyDescent="0.3">
      <c r="A198" s="4" t="s">
        <v>1294</v>
      </c>
      <c r="B198" s="4">
        <f t="shared" si="72"/>
        <v>0</v>
      </c>
      <c r="C198" s="4">
        <f t="shared" si="73"/>
        <v>0</v>
      </c>
      <c r="D198" s="4">
        <f t="shared" si="74"/>
        <v>0</v>
      </c>
      <c r="E198" s="4">
        <f t="shared" si="75"/>
        <v>0</v>
      </c>
      <c r="F198" s="4">
        <f t="shared" si="76"/>
        <v>0</v>
      </c>
      <c r="G198" s="4">
        <f t="shared" si="77"/>
        <v>0</v>
      </c>
      <c r="I198" s="11" t="s">
        <v>988</v>
      </c>
      <c r="J198" s="9">
        <f t="shared" si="78"/>
        <v>0</v>
      </c>
      <c r="K198" s="9">
        <f t="shared" si="95"/>
        <v>0</v>
      </c>
      <c r="L198" s="9">
        <f t="shared" si="79"/>
        <v>1</v>
      </c>
      <c r="M198" s="9">
        <f t="shared" si="80"/>
        <v>0</v>
      </c>
      <c r="N198" s="9">
        <f t="shared" si="81"/>
        <v>0</v>
      </c>
      <c r="O198" s="9">
        <f t="shared" si="82"/>
        <v>0</v>
      </c>
      <c r="P198" s="9">
        <f t="shared" si="83"/>
        <v>0</v>
      </c>
      <c r="Q198" s="9">
        <f t="shared" si="84"/>
        <v>0</v>
      </c>
      <c r="R198" s="9">
        <f t="shared" si="85"/>
        <v>0</v>
      </c>
      <c r="S198" s="9">
        <f t="shared" si="86"/>
        <v>0</v>
      </c>
      <c r="T198" s="9">
        <f t="shared" si="87"/>
        <v>0</v>
      </c>
      <c r="U198" s="9">
        <f t="shared" si="88"/>
        <v>0</v>
      </c>
      <c r="V198" s="9">
        <f t="shared" si="89"/>
        <v>0</v>
      </c>
      <c r="W198" s="9">
        <f t="shared" si="90"/>
        <v>0</v>
      </c>
      <c r="X198" s="9">
        <f t="shared" si="91"/>
        <v>0</v>
      </c>
      <c r="Y198" s="9">
        <f t="shared" si="92"/>
        <v>0</v>
      </c>
      <c r="Z198" s="9">
        <f t="shared" si="93"/>
        <v>0</v>
      </c>
      <c r="AA198" s="10">
        <f t="shared" si="94"/>
        <v>0</v>
      </c>
    </row>
    <row r="199" spans="1:27" x14ac:dyDescent="0.3">
      <c r="A199" s="18" t="s">
        <v>1302</v>
      </c>
      <c r="B199" s="4">
        <f t="shared" si="72"/>
        <v>1</v>
      </c>
      <c r="C199" s="4">
        <f t="shared" si="73"/>
        <v>0</v>
      </c>
      <c r="D199" s="4">
        <f t="shared" si="74"/>
        <v>0</v>
      </c>
      <c r="E199" s="4">
        <f t="shared" si="75"/>
        <v>0</v>
      </c>
      <c r="F199" s="4">
        <f t="shared" si="76"/>
        <v>0</v>
      </c>
      <c r="G199" s="4">
        <f t="shared" si="77"/>
        <v>0</v>
      </c>
      <c r="I199" s="8" t="s">
        <v>988</v>
      </c>
      <c r="J199" s="9">
        <f t="shared" si="78"/>
        <v>0</v>
      </c>
      <c r="K199" s="9">
        <f t="shared" si="95"/>
        <v>0</v>
      </c>
      <c r="L199" s="9">
        <f t="shared" si="79"/>
        <v>1</v>
      </c>
      <c r="M199" s="9">
        <f t="shared" si="80"/>
        <v>0</v>
      </c>
      <c r="N199" s="9">
        <f t="shared" si="81"/>
        <v>0</v>
      </c>
      <c r="O199" s="9">
        <f t="shared" si="82"/>
        <v>0</v>
      </c>
      <c r="P199" s="9">
        <f t="shared" si="83"/>
        <v>0</v>
      </c>
      <c r="Q199" s="9">
        <f t="shared" si="84"/>
        <v>0</v>
      </c>
      <c r="R199" s="9">
        <f t="shared" si="85"/>
        <v>0</v>
      </c>
      <c r="S199" s="9">
        <f t="shared" si="86"/>
        <v>0</v>
      </c>
      <c r="T199" s="9">
        <f t="shared" si="87"/>
        <v>0</v>
      </c>
      <c r="U199" s="9">
        <f t="shared" si="88"/>
        <v>0</v>
      </c>
      <c r="V199" s="9">
        <f t="shared" si="89"/>
        <v>0</v>
      </c>
      <c r="W199" s="9">
        <f t="shared" si="90"/>
        <v>0</v>
      </c>
      <c r="X199" s="9">
        <f t="shared" si="91"/>
        <v>0</v>
      </c>
      <c r="Y199" s="9">
        <f t="shared" si="92"/>
        <v>0</v>
      </c>
      <c r="Z199" s="9">
        <f t="shared" si="93"/>
        <v>0</v>
      </c>
      <c r="AA199" s="10">
        <f t="shared" si="94"/>
        <v>0</v>
      </c>
    </row>
    <row r="200" spans="1:27" x14ac:dyDescent="0.3">
      <c r="A200" s="4" t="s">
        <v>1303</v>
      </c>
      <c r="B200" s="4">
        <f t="shared" si="72"/>
        <v>0</v>
      </c>
      <c r="C200" s="4">
        <f t="shared" si="73"/>
        <v>0</v>
      </c>
      <c r="D200" s="4">
        <f t="shared" si="74"/>
        <v>0</v>
      </c>
      <c r="E200" s="4">
        <f t="shared" si="75"/>
        <v>0</v>
      </c>
      <c r="F200" s="4">
        <f t="shared" si="76"/>
        <v>1</v>
      </c>
      <c r="G200" s="4">
        <f t="shared" si="77"/>
        <v>0</v>
      </c>
      <c r="I200" s="11" t="s">
        <v>1044</v>
      </c>
      <c r="J200" s="9">
        <f t="shared" si="78"/>
        <v>0</v>
      </c>
      <c r="K200" s="9">
        <f t="shared" si="95"/>
        <v>0</v>
      </c>
      <c r="L200" s="9">
        <f t="shared" si="79"/>
        <v>0</v>
      </c>
      <c r="M200" s="9">
        <f t="shared" si="80"/>
        <v>0</v>
      </c>
      <c r="N200" s="9">
        <f t="shared" si="81"/>
        <v>0</v>
      </c>
      <c r="O200" s="9">
        <f t="shared" si="82"/>
        <v>0</v>
      </c>
      <c r="P200" s="9">
        <f t="shared" si="83"/>
        <v>0</v>
      </c>
      <c r="Q200" s="9">
        <f t="shared" si="84"/>
        <v>0</v>
      </c>
      <c r="R200" s="9">
        <f t="shared" si="85"/>
        <v>0</v>
      </c>
      <c r="S200" s="9">
        <f t="shared" si="86"/>
        <v>0</v>
      </c>
      <c r="T200" s="9">
        <f t="shared" si="87"/>
        <v>0</v>
      </c>
      <c r="U200" s="9">
        <f t="shared" si="88"/>
        <v>1</v>
      </c>
      <c r="V200" s="9">
        <f t="shared" si="89"/>
        <v>0</v>
      </c>
      <c r="W200" s="9">
        <f t="shared" si="90"/>
        <v>0</v>
      </c>
      <c r="X200" s="9">
        <f t="shared" si="91"/>
        <v>0</v>
      </c>
      <c r="Y200" s="9">
        <f t="shared" si="92"/>
        <v>0</v>
      </c>
      <c r="Z200" s="9">
        <f t="shared" si="93"/>
        <v>0</v>
      </c>
      <c r="AA200" s="10">
        <f t="shared" si="94"/>
        <v>0</v>
      </c>
    </row>
    <row r="201" spans="1:27" x14ac:dyDescent="0.3">
      <c r="A201" s="18" t="s">
        <v>1305</v>
      </c>
      <c r="B201" s="4">
        <f t="shared" si="72"/>
        <v>0</v>
      </c>
      <c r="C201" s="4">
        <f t="shared" si="73"/>
        <v>0</v>
      </c>
      <c r="D201" s="4">
        <f t="shared" si="74"/>
        <v>0</v>
      </c>
      <c r="E201" s="4">
        <f t="shared" si="75"/>
        <v>0</v>
      </c>
      <c r="F201" s="4">
        <f t="shared" si="76"/>
        <v>0</v>
      </c>
      <c r="G201" s="4">
        <f t="shared" si="77"/>
        <v>1</v>
      </c>
      <c r="I201" s="8" t="s">
        <v>988</v>
      </c>
      <c r="J201" s="9">
        <f t="shared" si="78"/>
        <v>0</v>
      </c>
      <c r="K201" s="9">
        <f t="shared" si="95"/>
        <v>0</v>
      </c>
      <c r="L201" s="9">
        <f t="shared" si="79"/>
        <v>1</v>
      </c>
      <c r="M201" s="9">
        <f t="shared" si="80"/>
        <v>0</v>
      </c>
      <c r="N201" s="9">
        <f t="shared" si="81"/>
        <v>0</v>
      </c>
      <c r="O201" s="9">
        <f t="shared" si="82"/>
        <v>0</v>
      </c>
      <c r="P201" s="9">
        <f t="shared" si="83"/>
        <v>0</v>
      </c>
      <c r="Q201" s="9">
        <f t="shared" si="84"/>
        <v>0</v>
      </c>
      <c r="R201" s="9">
        <f t="shared" si="85"/>
        <v>0</v>
      </c>
      <c r="S201" s="9">
        <f t="shared" si="86"/>
        <v>0</v>
      </c>
      <c r="T201" s="9">
        <f t="shared" si="87"/>
        <v>0</v>
      </c>
      <c r="U201" s="9">
        <f t="shared" si="88"/>
        <v>0</v>
      </c>
      <c r="V201" s="9">
        <f t="shared" si="89"/>
        <v>0</v>
      </c>
      <c r="W201" s="9">
        <f t="shared" si="90"/>
        <v>0</v>
      </c>
      <c r="X201" s="9">
        <f t="shared" si="91"/>
        <v>0</v>
      </c>
      <c r="Y201" s="9">
        <f t="shared" si="92"/>
        <v>0</v>
      </c>
      <c r="Z201" s="9">
        <f t="shared" si="93"/>
        <v>0</v>
      </c>
      <c r="AA201" s="10">
        <f t="shared" si="94"/>
        <v>0</v>
      </c>
    </row>
    <row r="202" spans="1:27" x14ac:dyDescent="0.3">
      <c r="A202" s="4" t="s">
        <v>1303</v>
      </c>
      <c r="B202" s="4">
        <f t="shared" si="72"/>
        <v>0</v>
      </c>
      <c r="C202" s="4">
        <f t="shared" si="73"/>
        <v>0</v>
      </c>
      <c r="D202" s="4">
        <f t="shared" si="74"/>
        <v>0</v>
      </c>
      <c r="E202" s="4">
        <f t="shared" si="75"/>
        <v>0</v>
      </c>
      <c r="F202" s="4">
        <f t="shared" si="76"/>
        <v>1</v>
      </c>
      <c r="G202" s="4">
        <f t="shared" si="77"/>
        <v>0</v>
      </c>
      <c r="I202" s="11" t="s">
        <v>994</v>
      </c>
      <c r="J202" s="9">
        <f t="shared" si="78"/>
        <v>0</v>
      </c>
      <c r="K202" s="9">
        <f t="shared" si="95"/>
        <v>0</v>
      </c>
      <c r="L202" s="9">
        <f t="shared" si="79"/>
        <v>0</v>
      </c>
      <c r="M202" s="9">
        <f t="shared" si="80"/>
        <v>0</v>
      </c>
      <c r="N202" s="9">
        <f t="shared" si="81"/>
        <v>0</v>
      </c>
      <c r="O202" s="9">
        <f t="shared" si="82"/>
        <v>0</v>
      </c>
      <c r="P202" s="9">
        <f t="shared" si="83"/>
        <v>1</v>
      </c>
      <c r="Q202" s="9">
        <f t="shared" si="84"/>
        <v>0</v>
      </c>
      <c r="R202" s="9">
        <f t="shared" si="85"/>
        <v>0</v>
      </c>
      <c r="S202" s="9">
        <f t="shared" si="86"/>
        <v>0</v>
      </c>
      <c r="T202" s="9">
        <f t="shared" si="87"/>
        <v>0</v>
      </c>
      <c r="U202" s="9">
        <f t="shared" si="88"/>
        <v>0</v>
      </c>
      <c r="V202" s="9">
        <f t="shared" si="89"/>
        <v>0</v>
      </c>
      <c r="W202" s="9">
        <f t="shared" si="90"/>
        <v>0</v>
      </c>
      <c r="X202" s="9">
        <f t="shared" si="91"/>
        <v>0</v>
      </c>
      <c r="Y202" s="9">
        <f t="shared" si="92"/>
        <v>0</v>
      </c>
      <c r="Z202" s="9">
        <f t="shared" si="93"/>
        <v>0</v>
      </c>
      <c r="AA202" s="10">
        <f t="shared" si="94"/>
        <v>0</v>
      </c>
    </row>
    <row r="203" spans="1:27" x14ac:dyDescent="0.3">
      <c r="A203" s="18" t="s">
        <v>1303</v>
      </c>
      <c r="B203" s="4">
        <f t="shared" si="72"/>
        <v>0</v>
      </c>
      <c r="C203" s="4">
        <f t="shared" si="73"/>
        <v>0</v>
      </c>
      <c r="D203" s="4">
        <f t="shared" si="74"/>
        <v>0</v>
      </c>
      <c r="E203" s="4">
        <f t="shared" si="75"/>
        <v>0</v>
      </c>
      <c r="F203" s="4">
        <f t="shared" si="76"/>
        <v>1</v>
      </c>
      <c r="G203" s="4">
        <f t="shared" si="77"/>
        <v>0</v>
      </c>
      <c r="I203" s="8" t="s">
        <v>988</v>
      </c>
      <c r="J203" s="9">
        <f t="shared" si="78"/>
        <v>0</v>
      </c>
      <c r="K203" s="9">
        <f t="shared" si="95"/>
        <v>0</v>
      </c>
      <c r="L203" s="9">
        <f t="shared" si="79"/>
        <v>1</v>
      </c>
      <c r="M203" s="9">
        <f t="shared" si="80"/>
        <v>0</v>
      </c>
      <c r="N203" s="9">
        <f t="shared" si="81"/>
        <v>0</v>
      </c>
      <c r="O203" s="9">
        <f t="shared" si="82"/>
        <v>0</v>
      </c>
      <c r="P203" s="9">
        <f t="shared" si="83"/>
        <v>0</v>
      </c>
      <c r="Q203" s="9">
        <f t="shared" si="84"/>
        <v>0</v>
      </c>
      <c r="R203" s="9">
        <f t="shared" si="85"/>
        <v>0</v>
      </c>
      <c r="S203" s="9">
        <f t="shared" si="86"/>
        <v>0</v>
      </c>
      <c r="T203" s="9">
        <f t="shared" si="87"/>
        <v>0</v>
      </c>
      <c r="U203" s="9">
        <f t="shared" si="88"/>
        <v>0</v>
      </c>
      <c r="V203" s="9">
        <f t="shared" si="89"/>
        <v>0</v>
      </c>
      <c r="W203" s="9">
        <f t="shared" si="90"/>
        <v>0</v>
      </c>
      <c r="X203" s="9">
        <f t="shared" si="91"/>
        <v>0</v>
      </c>
      <c r="Y203" s="9">
        <f t="shared" si="92"/>
        <v>0</v>
      </c>
      <c r="Z203" s="9">
        <f t="shared" si="93"/>
        <v>0</v>
      </c>
      <c r="AA203" s="10">
        <f t="shared" si="94"/>
        <v>0</v>
      </c>
    </row>
    <row r="204" spans="1:27" x14ac:dyDescent="0.3">
      <c r="A204" s="4" t="s">
        <v>1305</v>
      </c>
      <c r="B204" s="4">
        <f t="shared" si="72"/>
        <v>0</v>
      </c>
      <c r="C204" s="4">
        <f t="shared" si="73"/>
        <v>0</v>
      </c>
      <c r="D204" s="4">
        <f t="shared" si="74"/>
        <v>0</v>
      </c>
      <c r="E204" s="4">
        <f t="shared" si="75"/>
        <v>0</v>
      </c>
      <c r="F204" s="4">
        <f t="shared" si="76"/>
        <v>0</v>
      </c>
      <c r="G204" s="4">
        <f t="shared" si="77"/>
        <v>1</v>
      </c>
      <c r="I204" s="11" t="s">
        <v>1044</v>
      </c>
      <c r="J204" s="9">
        <f t="shared" si="78"/>
        <v>0</v>
      </c>
      <c r="K204" s="9">
        <f t="shared" si="95"/>
        <v>0</v>
      </c>
      <c r="L204" s="9">
        <f t="shared" si="79"/>
        <v>0</v>
      </c>
      <c r="M204" s="9">
        <f t="shared" si="80"/>
        <v>0</v>
      </c>
      <c r="N204" s="9">
        <f t="shared" si="81"/>
        <v>0</v>
      </c>
      <c r="O204" s="9">
        <f t="shared" si="82"/>
        <v>0</v>
      </c>
      <c r="P204" s="9">
        <f t="shared" si="83"/>
        <v>0</v>
      </c>
      <c r="Q204" s="9">
        <f t="shared" si="84"/>
        <v>0</v>
      </c>
      <c r="R204" s="9">
        <f t="shared" si="85"/>
        <v>0</v>
      </c>
      <c r="S204" s="9">
        <f t="shared" si="86"/>
        <v>0</v>
      </c>
      <c r="T204" s="9">
        <f t="shared" si="87"/>
        <v>0</v>
      </c>
      <c r="U204" s="9">
        <f t="shared" si="88"/>
        <v>1</v>
      </c>
      <c r="V204" s="9">
        <f t="shared" si="89"/>
        <v>0</v>
      </c>
      <c r="W204" s="9">
        <f t="shared" si="90"/>
        <v>0</v>
      </c>
      <c r="X204" s="9">
        <f t="shared" si="91"/>
        <v>0</v>
      </c>
      <c r="Y204" s="9">
        <f t="shared" si="92"/>
        <v>0</v>
      </c>
      <c r="Z204" s="9">
        <f t="shared" si="93"/>
        <v>0</v>
      </c>
      <c r="AA204" s="10">
        <f t="shared" si="94"/>
        <v>0</v>
      </c>
    </row>
    <row r="205" spans="1:27" x14ac:dyDescent="0.3">
      <c r="A205" s="18" t="s">
        <v>1303</v>
      </c>
      <c r="B205" s="4">
        <f t="shared" si="72"/>
        <v>0</v>
      </c>
      <c r="C205" s="4">
        <f t="shared" si="73"/>
        <v>0</v>
      </c>
      <c r="D205" s="4">
        <f t="shared" si="74"/>
        <v>0</v>
      </c>
      <c r="E205" s="4">
        <f t="shared" si="75"/>
        <v>0</v>
      </c>
      <c r="F205" s="4">
        <f t="shared" si="76"/>
        <v>1</v>
      </c>
      <c r="G205" s="4">
        <f t="shared" si="77"/>
        <v>0</v>
      </c>
      <c r="I205" s="8" t="s">
        <v>977</v>
      </c>
      <c r="J205" s="9">
        <f t="shared" si="78"/>
        <v>1</v>
      </c>
      <c r="K205" s="9">
        <f t="shared" si="95"/>
        <v>0</v>
      </c>
      <c r="L205" s="9">
        <f t="shared" si="79"/>
        <v>0</v>
      </c>
      <c r="M205" s="9">
        <f t="shared" si="80"/>
        <v>0</v>
      </c>
      <c r="N205" s="9">
        <f t="shared" si="81"/>
        <v>0</v>
      </c>
      <c r="O205" s="9">
        <f t="shared" si="82"/>
        <v>0</v>
      </c>
      <c r="P205" s="9">
        <f t="shared" si="83"/>
        <v>0</v>
      </c>
      <c r="Q205" s="9">
        <f t="shared" si="84"/>
        <v>0</v>
      </c>
      <c r="R205" s="9">
        <f t="shared" si="85"/>
        <v>0</v>
      </c>
      <c r="S205" s="9">
        <f t="shared" si="86"/>
        <v>0</v>
      </c>
      <c r="T205" s="9">
        <f t="shared" si="87"/>
        <v>0</v>
      </c>
      <c r="U205" s="9">
        <f t="shared" si="88"/>
        <v>0</v>
      </c>
      <c r="V205" s="9">
        <f t="shared" si="89"/>
        <v>0</v>
      </c>
      <c r="W205" s="9">
        <f t="shared" si="90"/>
        <v>0</v>
      </c>
      <c r="X205" s="9">
        <f t="shared" si="91"/>
        <v>0</v>
      </c>
      <c r="Y205" s="9">
        <f t="shared" si="92"/>
        <v>0</v>
      </c>
      <c r="Z205" s="9">
        <f t="shared" si="93"/>
        <v>0</v>
      </c>
      <c r="AA205" s="10">
        <f t="shared" si="94"/>
        <v>0</v>
      </c>
    </row>
    <row r="206" spans="1:27" x14ac:dyDescent="0.3">
      <c r="A206" s="4" t="s">
        <v>1302</v>
      </c>
      <c r="B206" s="4">
        <f t="shared" si="72"/>
        <v>1</v>
      </c>
      <c r="C206" s="4">
        <f t="shared" si="73"/>
        <v>0</v>
      </c>
      <c r="D206" s="4">
        <f t="shared" si="74"/>
        <v>0</v>
      </c>
      <c r="E206" s="4">
        <f t="shared" si="75"/>
        <v>0</v>
      </c>
      <c r="F206" s="4">
        <f t="shared" si="76"/>
        <v>0</v>
      </c>
      <c r="G206" s="4">
        <f t="shared" si="77"/>
        <v>0</v>
      </c>
      <c r="I206" s="11" t="s">
        <v>1026</v>
      </c>
      <c r="J206" s="9">
        <f t="shared" si="78"/>
        <v>0</v>
      </c>
      <c r="K206" s="9">
        <f t="shared" si="95"/>
        <v>0</v>
      </c>
      <c r="L206" s="9">
        <f t="shared" si="79"/>
        <v>0</v>
      </c>
      <c r="M206" s="9">
        <f t="shared" si="80"/>
        <v>0</v>
      </c>
      <c r="N206" s="9">
        <f t="shared" si="81"/>
        <v>0</v>
      </c>
      <c r="O206" s="9">
        <f t="shared" si="82"/>
        <v>0</v>
      </c>
      <c r="P206" s="9">
        <f t="shared" si="83"/>
        <v>0</v>
      </c>
      <c r="Q206" s="9">
        <f t="shared" si="84"/>
        <v>0</v>
      </c>
      <c r="R206" s="9">
        <f t="shared" si="85"/>
        <v>0</v>
      </c>
      <c r="S206" s="9">
        <f t="shared" si="86"/>
        <v>0</v>
      </c>
      <c r="T206" s="9">
        <f t="shared" si="87"/>
        <v>1</v>
      </c>
      <c r="U206" s="9">
        <f t="shared" si="88"/>
        <v>0</v>
      </c>
      <c r="V206" s="9">
        <f t="shared" si="89"/>
        <v>0</v>
      </c>
      <c r="W206" s="9">
        <f t="shared" si="90"/>
        <v>0</v>
      </c>
      <c r="X206" s="9">
        <f t="shared" si="91"/>
        <v>0</v>
      </c>
      <c r="Y206" s="9">
        <f t="shared" si="92"/>
        <v>0</v>
      </c>
      <c r="Z206" s="9">
        <f t="shared" si="93"/>
        <v>0</v>
      </c>
      <c r="AA206" s="10">
        <f t="shared" si="94"/>
        <v>0</v>
      </c>
    </row>
    <row r="207" spans="1:27" x14ac:dyDescent="0.3">
      <c r="A207" s="18" t="s">
        <v>1302</v>
      </c>
      <c r="B207" s="4">
        <f t="shared" si="72"/>
        <v>1</v>
      </c>
      <c r="C207" s="4">
        <f t="shared" si="73"/>
        <v>0</v>
      </c>
      <c r="D207" s="4">
        <f t="shared" si="74"/>
        <v>0</v>
      </c>
      <c r="E207" s="4">
        <f t="shared" si="75"/>
        <v>0</v>
      </c>
      <c r="F207" s="4">
        <f t="shared" si="76"/>
        <v>0</v>
      </c>
      <c r="G207" s="4">
        <f t="shared" si="77"/>
        <v>0</v>
      </c>
      <c r="I207" s="8" t="s">
        <v>982</v>
      </c>
      <c r="J207" s="9">
        <f t="shared" si="78"/>
        <v>0</v>
      </c>
      <c r="K207" s="9">
        <f t="shared" si="95"/>
        <v>1</v>
      </c>
      <c r="L207" s="9">
        <f t="shared" si="79"/>
        <v>0</v>
      </c>
      <c r="M207" s="9">
        <f t="shared" si="80"/>
        <v>0</v>
      </c>
      <c r="N207" s="9">
        <f t="shared" si="81"/>
        <v>0</v>
      </c>
      <c r="O207" s="9">
        <f t="shared" si="82"/>
        <v>0</v>
      </c>
      <c r="P207" s="9">
        <f t="shared" si="83"/>
        <v>0</v>
      </c>
      <c r="Q207" s="9">
        <f t="shared" si="84"/>
        <v>0</v>
      </c>
      <c r="R207" s="9">
        <f t="shared" si="85"/>
        <v>0</v>
      </c>
      <c r="S207" s="9">
        <f t="shared" si="86"/>
        <v>0</v>
      </c>
      <c r="T207" s="9">
        <f t="shared" si="87"/>
        <v>0</v>
      </c>
      <c r="U207" s="9">
        <f t="shared" si="88"/>
        <v>0</v>
      </c>
      <c r="V207" s="9">
        <f t="shared" si="89"/>
        <v>0</v>
      </c>
      <c r="W207" s="9">
        <f t="shared" si="90"/>
        <v>0</v>
      </c>
      <c r="X207" s="9">
        <f t="shared" si="91"/>
        <v>0</v>
      </c>
      <c r="Y207" s="9">
        <f t="shared" si="92"/>
        <v>0</v>
      </c>
      <c r="Z207" s="9">
        <f t="shared" si="93"/>
        <v>0</v>
      </c>
      <c r="AA207" s="10">
        <f t="shared" si="94"/>
        <v>0</v>
      </c>
    </row>
    <row r="208" spans="1:27" x14ac:dyDescent="0.3">
      <c r="A208" s="4" t="s">
        <v>1303</v>
      </c>
      <c r="B208" s="4">
        <f t="shared" si="72"/>
        <v>0</v>
      </c>
      <c r="C208" s="4">
        <f t="shared" si="73"/>
        <v>0</v>
      </c>
      <c r="D208" s="4">
        <f t="shared" si="74"/>
        <v>0</v>
      </c>
      <c r="E208" s="4">
        <f t="shared" si="75"/>
        <v>0</v>
      </c>
      <c r="F208" s="4">
        <f t="shared" si="76"/>
        <v>1</v>
      </c>
      <c r="G208" s="4">
        <f t="shared" si="77"/>
        <v>0</v>
      </c>
      <c r="I208" s="11" t="s">
        <v>1044</v>
      </c>
      <c r="J208" s="9">
        <f t="shared" si="78"/>
        <v>0</v>
      </c>
      <c r="K208" s="9">
        <f t="shared" si="95"/>
        <v>0</v>
      </c>
      <c r="L208" s="9">
        <f t="shared" si="79"/>
        <v>0</v>
      </c>
      <c r="M208" s="9">
        <f t="shared" si="80"/>
        <v>0</v>
      </c>
      <c r="N208" s="9">
        <f t="shared" si="81"/>
        <v>0</v>
      </c>
      <c r="O208" s="9">
        <f t="shared" si="82"/>
        <v>0</v>
      </c>
      <c r="P208" s="9">
        <f t="shared" si="83"/>
        <v>0</v>
      </c>
      <c r="Q208" s="9">
        <f t="shared" si="84"/>
        <v>0</v>
      </c>
      <c r="R208" s="9">
        <f t="shared" si="85"/>
        <v>0</v>
      </c>
      <c r="S208" s="9">
        <f t="shared" si="86"/>
        <v>0</v>
      </c>
      <c r="T208" s="9">
        <f t="shared" si="87"/>
        <v>0</v>
      </c>
      <c r="U208" s="9">
        <f t="shared" si="88"/>
        <v>1</v>
      </c>
      <c r="V208" s="9">
        <f t="shared" si="89"/>
        <v>0</v>
      </c>
      <c r="W208" s="9">
        <f t="shared" si="90"/>
        <v>0</v>
      </c>
      <c r="X208" s="9">
        <f t="shared" si="91"/>
        <v>0</v>
      </c>
      <c r="Y208" s="9">
        <f t="shared" si="92"/>
        <v>0</v>
      </c>
      <c r="Z208" s="9">
        <f t="shared" si="93"/>
        <v>0</v>
      </c>
      <c r="AA208" s="10">
        <f t="shared" si="94"/>
        <v>0</v>
      </c>
    </row>
    <row r="209" spans="1:27" x14ac:dyDescent="0.3">
      <c r="A209" s="18" t="s">
        <v>1304</v>
      </c>
      <c r="B209" s="4">
        <f t="shared" si="72"/>
        <v>0</v>
      </c>
      <c r="C209" s="4">
        <f t="shared" si="73"/>
        <v>1</v>
      </c>
      <c r="D209" s="4">
        <f t="shared" si="74"/>
        <v>0</v>
      </c>
      <c r="E209" s="4">
        <f t="shared" si="75"/>
        <v>0</v>
      </c>
      <c r="F209" s="4">
        <f t="shared" si="76"/>
        <v>0</v>
      </c>
      <c r="G209" s="4">
        <f t="shared" si="77"/>
        <v>0</v>
      </c>
      <c r="I209" s="8" t="s">
        <v>988</v>
      </c>
      <c r="J209" s="9">
        <f t="shared" si="78"/>
        <v>0</v>
      </c>
      <c r="K209" s="9">
        <f t="shared" si="95"/>
        <v>0</v>
      </c>
      <c r="L209" s="9">
        <f t="shared" si="79"/>
        <v>1</v>
      </c>
      <c r="M209" s="9">
        <f t="shared" si="80"/>
        <v>0</v>
      </c>
      <c r="N209" s="9">
        <f t="shared" si="81"/>
        <v>0</v>
      </c>
      <c r="O209" s="9">
        <f t="shared" si="82"/>
        <v>0</v>
      </c>
      <c r="P209" s="9">
        <f t="shared" si="83"/>
        <v>0</v>
      </c>
      <c r="Q209" s="9">
        <f t="shared" si="84"/>
        <v>0</v>
      </c>
      <c r="R209" s="9">
        <f t="shared" si="85"/>
        <v>0</v>
      </c>
      <c r="S209" s="9">
        <f t="shared" si="86"/>
        <v>0</v>
      </c>
      <c r="T209" s="9">
        <f t="shared" si="87"/>
        <v>0</v>
      </c>
      <c r="U209" s="9">
        <f t="shared" si="88"/>
        <v>0</v>
      </c>
      <c r="V209" s="9">
        <f t="shared" si="89"/>
        <v>0</v>
      </c>
      <c r="W209" s="9">
        <f t="shared" si="90"/>
        <v>0</v>
      </c>
      <c r="X209" s="9">
        <f t="shared" si="91"/>
        <v>0</v>
      </c>
      <c r="Y209" s="9">
        <f t="shared" si="92"/>
        <v>0</v>
      </c>
      <c r="Z209" s="9">
        <f t="shared" si="93"/>
        <v>0</v>
      </c>
      <c r="AA209" s="10">
        <f t="shared" si="94"/>
        <v>0</v>
      </c>
    </row>
    <row r="210" spans="1:27" x14ac:dyDescent="0.3">
      <c r="A210" s="4" t="s">
        <v>1302</v>
      </c>
      <c r="B210" s="4">
        <f t="shared" si="72"/>
        <v>1</v>
      </c>
      <c r="C210" s="4">
        <f t="shared" si="73"/>
        <v>0</v>
      </c>
      <c r="D210" s="4">
        <f t="shared" si="74"/>
        <v>0</v>
      </c>
      <c r="E210" s="4">
        <f t="shared" si="75"/>
        <v>0</v>
      </c>
      <c r="F210" s="4">
        <f t="shared" si="76"/>
        <v>0</v>
      </c>
      <c r="G210" s="4">
        <f t="shared" si="77"/>
        <v>0</v>
      </c>
      <c r="I210" s="11" t="s">
        <v>988</v>
      </c>
      <c r="J210" s="9">
        <f t="shared" si="78"/>
        <v>0</v>
      </c>
      <c r="K210" s="9">
        <f t="shared" si="95"/>
        <v>0</v>
      </c>
      <c r="L210" s="9">
        <f t="shared" si="79"/>
        <v>1</v>
      </c>
      <c r="M210" s="9">
        <f t="shared" si="80"/>
        <v>0</v>
      </c>
      <c r="N210" s="9">
        <f t="shared" si="81"/>
        <v>0</v>
      </c>
      <c r="O210" s="9">
        <f t="shared" si="82"/>
        <v>0</v>
      </c>
      <c r="P210" s="9">
        <f t="shared" si="83"/>
        <v>0</v>
      </c>
      <c r="Q210" s="9">
        <f t="shared" si="84"/>
        <v>0</v>
      </c>
      <c r="R210" s="9">
        <f t="shared" si="85"/>
        <v>0</v>
      </c>
      <c r="S210" s="9">
        <f t="shared" si="86"/>
        <v>0</v>
      </c>
      <c r="T210" s="9">
        <f t="shared" si="87"/>
        <v>0</v>
      </c>
      <c r="U210" s="9">
        <f t="shared" si="88"/>
        <v>0</v>
      </c>
      <c r="V210" s="9">
        <f t="shared" si="89"/>
        <v>0</v>
      </c>
      <c r="W210" s="9">
        <f t="shared" si="90"/>
        <v>0</v>
      </c>
      <c r="X210" s="9">
        <f t="shared" si="91"/>
        <v>0</v>
      </c>
      <c r="Y210" s="9">
        <f t="shared" si="92"/>
        <v>0</v>
      </c>
      <c r="Z210" s="9">
        <f t="shared" si="93"/>
        <v>0</v>
      </c>
      <c r="AA210" s="10">
        <f t="shared" si="94"/>
        <v>0</v>
      </c>
    </row>
    <row r="211" spans="1:27" x14ac:dyDescent="0.3">
      <c r="A211" s="18" t="s">
        <v>1303</v>
      </c>
      <c r="B211" s="4">
        <f t="shared" si="72"/>
        <v>0</v>
      </c>
      <c r="C211" s="4">
        <f t="shared" si="73"/>
        <v>0</v>
      </c>
      <c r="D211" s="4">
        <f t="shared" si="74"/>
        <v>0</v>
      </c>
      <c r="E211" s="4">
        <f t="shared" si="75"/>
        <v>0</v>
      </c>
      <c r="F211" s="4">
        <f t="shared" si="76"/>
        <v>1</v>
      </c>
      <c r="G211" s="4">
        <f t="shared" si="77"/>
        <v>0</v>
      </c>
      <c r="I211" s="8" t="s">
        <v>1294</v>
      </c>
      <c r="J211" s="9">
        <f t="shared" si="78"/>
        <v>0</v>
      </c>
      <c r="K211" s="9">
        <f t="shared" si="95"/>
        <v>0</v>
      </c>
      <c r="L211" s="9">
        <f t="shared" si="79"/>
        <v>0</v>
      </c>
      <c r="M211" s="9">
        <f t="shared" si="80"/>
        <v>0</v>
      </c>
      <c r="N211" s="9">
        <f t="shared" si="81"/>
        <v>0</v>
      </c>
      <c r="O211" s="9">
        <f t="shared" si="82"/>
        <v>0</v>
      </c>
      <c r="P211" s="9">
        <f t="shared" si="83"/>
        <v>0</v>
      </c>
      <c r="Q211" s="9">
        <f t="shared" si="84"/>
        <v>0</v>
      </c>
      <c r="R211" s="9">
        <f t="shared" si="85"/>
        <v>0</v>
      </c>
      <c r="S211" s="9">
        <f t="shared" si="86"/>
        <v>0</v>
      </c>
      <c r="T211" s="9">
        <f t="shared" si="87"/>
        <v>0</v>
      </c>
      <c r="U211" s="9">
        <f t="shared" si="88"/>
        <v>0</v>
      </c>
      <c r="V211" s="9">
        <f t="shared" si="89"/>
        <v>0</v>
      </c>
      <c r="W211" s="9">
        <f t="shared" si="90"/>
        <v>0</v>
      </c>
      <c r="X211" s="9">
        <f t="shared" si="91"/>
        <v>0</v>
      </c>
      <c r="Y211" s="9">
        <f t="shared" si="92"/>
        <v>0</v>
      </c>
      <c r="Z211" s="9">
        <f t="shared" si="93"/>
        <v>0</v>
      </c>
      <c r="AA211" s="10">
        <f t="shared" si="94"/>
        <v>0</v>
      </c>
    </row>
    <row r="212" spans="1:27" x14ac:dyDescent="0.3">
      <c r="A212" s="4" t="s">
        <v>1302</v>
      </c>
      <c r="B212" s="4">
        <f t="shared" si="72"/>
        <v>1</v>
      </c>
      <c r="C212" s="4">
        <f t="shared" si="73"/>
        <v>0</v>
      </c>
      <c r="D212" s="4">
        <f t="shared" si="74"/>
        <v>0</v>
      </c>
      <c r="E212" s="4">
        <f t="shared" si="75"/>
        <v>0</v>
      </c>
      <c r="F212" s="4">
        <f t="shared" si="76"/>
        <v>0</v>
      </c>
      <c r="G212" s="4">
        <f t="shared" si="77"/>
        <v>0</v>
      </c>
      <c r="I212" s="11" t="s">
        <v>988</v>
      </c>
      <c r="J212" s="9">
        <f t="shared" si="78"/>
        <v>0</v>
      </c>
      <c r="K212" s="9">
        <f t="shared" si="95"/>
        <v>0</v>
      </c>
      <c r="L212" s="9">
        <f t="shared" si="79"/>
        <v>1</v>
      </c>
      <c r="M212" s="9">
        <f t="shared" si="80"/>
        <v>0</v>
      </c>
      <c r="N212" s="9">
        <f t="shared" si="81"/>
        <v>0</v>
      </c>
      <c r="O212" s="9">
        <f t="shared" si="82"/>
        <v>0</v>
      </c>
      <c r="P212" s="9">
        <f t="shared" si="83"/>
        <v>0</v>
      </c>
      <c r="Q212" s="9">
        <f t="shared" si="84"/>
        <v>0</v>
      </c>
      <c r="R212" s="9">
        <f t="shared" si="85"/>
        <v>0</v>
      </c>
      <c r="S212" s="9">
        <f t="shared" si="86"/>
        <v>0</v>
      </c>
      <c r="T212" s="9">
        <f t="shared" si="87"/>
        <v>0</v>
      </c>
      <c r="U212" s="9">
        <f t="shared" si="88"/>
        <v>0</v>
      </c>
      <c r="V212" s="9">
        <f t="shared" si="89"/>
        <v>0</v>
      </c>
      <c r="W212" s="9">
        <f t="shared" si="90"/>
        <v>0</v>
      </c>
      <c r="X212" s="9">
        <f t="shared" si="91"/>
        <v>0</v>
      </c>
      <c r="Y212" s="9">
        <f t="shared" si="92"/>
        <v>0</v>
      </c>
      <c r="Z212" s="9">
        <f t="shared" si="93"/>
        <v>0</v>
      </c>
      <c r="AA212" s="10">
        <f t="shared" si="94"/>
        <v>0</v>
      </c>
    </row>
    <row r="213" spans="1:27" x14ac:dyDescent="0.3">
      <c r="A213" s="18" t="s">
        <v>1303</v>
      </c>
      <c r="B213" s="4">
        <f t="shared" si="72"/>
        <v>0</v>
      </c>
      <c r="C213" s="4">
        <f t="shared" si="73"/>
        <v>0</v>
      </c>
      <c r="D213" s="4">
        <f t="shared" si="74"/>
        <v>0</v>
      </c>
      <c r="E213" s="4">
        <f t="shared" si="75"/>
        <v>0</v>
      </c>
      <c r="F213" s="4">
        <f t="shared" si="76"/>
        <v>1</v>
      </c>
      <c r="G213" s="4">
        <f t="shared" si="77"/>
        <v>0</v>
      </c>
      <c r="I213" s="8" t="s">
        <v>1044</v>
      </c>
      <c r="J213" s="9">
        <f t="shared" si="78"/>
        <v>0</v>
      </c>
      <c r="K213" s="9">
        <f t="shared" si="95"/>
        <v>0</v>
      </c>
      <c r="L213" s="9">
        <f t="shared" si="79"/>
        <v>0</v>
      </c>
      <c r="M213" s="9">
        <f t="shared" si="80"/>
        <v>0</v>
      </c>
      <c r="N213" s="9">
        <f t="shared" si="81"/>
        <v>0</v>
      </c>
      <c r="O213" s="9">
        <f t="shared" si="82"/>
        <v>0</v>
      </c>
      <c r="P213" s="9">
        <f t="shared" si="83"/>
        <v>0</v>
      </c>
      <c r="Q213" s="9">
        <f t="shared" si="84"/>
        <v>0</v>
      </c>
      <c r="R213" s="9">
        <f t="shared" si="85"/>
        <v>0</v>
      </c>
      <c r="S213" s="9">
        <f t="shared" si="86"/>
        <v>0</v>
      </c>
      <c r="T213" s="9">
        <f t="shared" si="87"/>
        <v>0</v>
      </c>
      <c r="U213" s="9">
        <f t="shared" si="88"/>
        <v>1</v>
      </c>
      <c r="V213" s="9">
        <f t="shared" si="89"/>
        <v>0</v>
      </c>
      <c r="W213" s="9">
        <f t="shared" si="90"/>
        <v>0</v>
      </c>
      <c r="X213" s="9">
        <f t="shared" si="91"/>
        <v>0</v>
      </c>
      <c r="Y213" s="9">
        <f t="shared" si="92"/>
        <v>0</v>
      </c>
      <c r="Z213" s="9">
        <f t="shared" si="93"/>
        <v>0</v>
      </c>
      <c r="AA213" s="10">
        <f t="shared" si="94"/>
        <v>0</v>
      </c>
    </row>
    <row r="214" spans="1:27" x14ac:dyDescent="0.3">
      <c r="A214" s="4" t="s">
        <v>1302</v>
      </c>
      <c r="B214" s="4">
        <f t="shared" si="72"/>
        <v>1</v>
      </c>
      <c r="C214" s="4">
        <f t="shared" si="73"/>
        <v>0</v>
      </c>
      <c r="D214" s="4">
        <f t="shared" si="74"/>
        <v>0</v>
      </c>
      <c r="E214" s="4">
        <f t="shared" si="75"/>
        <v>0</v>
      </c>
      <c r="F214" s="4">
        <f t="shared" si="76"/>
        <v>0</v>
      </c>
      <c r="G214" s="4">
        <f t="shared" si="77"/>
        <v>0</v>
      </c>
      <c r="I214" s="11" t="s">
        <v>988</v>
      </c>
      <c r="J214" s="9">
        <f t="shared" si="78"/>
        <v>0</v>
      </c>
      <c r="K214" s="9">
        <f t="shared" si="95"/>
        <v>0</v>
      </c>
      <c r="L214" s="9">
        <f t="shared" si="79"/>
        <v>1</v>
      </c>
      <c r="M214" s="9">
        <f t="shared" si="80"/>
        <v>0</v>
      </c>
      <c r="N214" s="9">
        <f t="shared" si="81"/>
        <v>0</v>
      </c>
      <c r="O214" s="9">
        <f t="shared" si="82"/>
        <v>0</v>
      </c>
      <c r="P214" s="9">
        <f t="shared" si="83"/>
        <v>0</v>
      </c>
      <c r="Q214" s="9">
        <f t="shared" si="84"/>
        <v>0</v>
      </c>
      <c r="R214" s="9">
        <f t="shared" si="85"/>
        <v>0</v>
      </c>
      <c r="S214" s="9">
        <f t="shared" si="86"/>
        <v>0</v>
      </c>
      <c r="T214" s="9">
        <f t="shared" si="87"/>
        <v>0</v>
      </c>
      <c r="U214" s="9">
        <f t="shared" si="88"/>
        <v>0</v>
      </c>
      <c r="V214" s="9">
        <f t="shared" si="89"/>
        <v>0</v>
      </c>
      <c r="W214" s="9">
        <f t="shared" si="90"/>
        <v>0</v>
      </c>
      <c r="X214" s="9">
        <f t="shared" si="91"/>
        <v>0</v>
      </c>
      <c r="Y214" s="9">
        <f t="shared" si="92"/>
        <v>0</v>
      </c>
      <c r="Z214" s="9">
        <f t="shared" si="93"/>
        <v>0</v>
      </c>
      <c r="AA214" s="10">
        <f t="shared" si="94"/>
        <v>0</v>
      </c>
    </row>
    <row r="215" spans="1:27" x14ac:dyDescent="0.3">
      <c r="A215" s="18" t="s">
        <v>1294</v>
      </c>
      <c r="B215" s="4">
        <f t="shared" si="72"/>
        <v>0</v>
      </c>
      <c r="C215" s="4">
        <f t="shared" si="73"/>
        <v>0</v>
      </c>
      <c r="D215" s="4">
        <f t="shared" si="74"/>
        <v>0</v>
      </c>
      <c r="E215" s="4">
        <f t="shared" si="75"/>
        <v>0</v>
      </c>
      <c r="F215" s="4">
        <f t="shared" si="76"/>
        <v>0</v>
      </c>
      <c r="G215" s="4">
        <f t="shared" si="77"/>
        <v>0</v>
      </c>
      <c r="I215" s="8" t="s">
        <v>994</v>
      </c>
      <c r="J215" s="9">
        <f t="shared" si="78"/>
        <v>0</v>
      </c>
      <c r="K215" s="9">
        <f t="shared" si="95"/>
        <v>0</v>
      </c>
      <c r="L215" s="9">
        <f t="shared" si="79"/>
        <v>0</v>
      </c>
      <c r="M215" s="9">
        <f t="shared" si="80"/>
        <v>0</v>
      </c>
      <c r="N215" s="9">
        <f t="shared" si="81"/>
        <v>0</v>
      </c>
      <c r="O215" s="9">
        <f t="shared" si="82"/>
        <v>0</v>
      </c>
      <c r="P215" s="9">
        <f t="shared" si="83"/>
        <v>1</v>
      </c>
      <c r="Q215" s="9">
        <f t="shared" si="84"/>
        <v>0</v>
      </c>
      <c r="R215" s="9">
        <f t="shared" si="85"/>
        <v>0</v>
      </c>
      <c r="S215" s="9">
        <f t="shared" si="86"/>
        <v>0</v>
      </c>
      <c r="T215" s="9">
        <f t="shared" si="87"/>
        <v>0</v>
      </c>
      <c r="U215" s="9">
        <f t="shared" si="88"/>
        <v>0</v>
      </c>
      <c r="V215" s="9">
        <f t="shared" si="89"/>
        <v>0</v>
      </c>
      <c r="W215" s="9">
        <f t="shared" si="90"/>
        <v>0</v>
      </c>
      <c r="X215" s="9">
        <f t="shared" si="91"/>
        <v>0</v>
      </c>
      <c r="Y215" s="9">
        <f t="shared" si="92"/>
        <v>0</v>
      </c>
      <c r="Z215" s="9">
        <f t="shared" si="93"/>
        <v>0</v>
      </c>
      <c r="AA215" s="10">
        <f t="shared" si="94"/>
        <v>0</v>
      </c>
    </row>
    <row r="216" spans="1:27" x14ac:dyDescent="0.3">
      <c r="A216" s="4" t="s">
        <v>1294</v>
      </c>
      <c r="B216" s="4">
        <f t="shared" si="72"/>
        <v>0</v>
      </c>
      <c r="C216" s="4">
        <f t="shared" si="73"/>
        <v>0</v>
      </c>
      <c r="D216" s="4">
        <f t="shared" si="74"/>
        <v>0</v>
      </c>
      <c r="E216" s="4">
        <f t="shared" si="75"/>
        <v>0</v>
      </c>
      <c r="F216" s="4">
        <f t="shared" si="76"/>
        <v>0</v>
      </c>
      <c r="G216" s="4">
        <f t="shared" si="77"/>
        <v>0</v>
      </c>
      <c r="I216" s="11" t="s">
        <v>977</v>
      </c>
      <c r="J216" s="9">
        <f t="shared" si="78"/>
        <v>1</v>
      </c>
      <c r="K216" s="9">
        <f t="shared" si="95"/>
        <v>0</v>
      </c>
      <c r="L216" s="9">
        <f t="shared" si="79"/>
        <v>0</v>
      </c>
      <c r="M216" s="9">
        <f t="shared" si="80"/>
        <v>0</v>
      </c>
      <c r="N216" s="9">
        <f t="shared" si="81"/>
        <v>0</v>
      </c>
      <c r="O216" s="9">
        <f t="shared" si="82"/>
        <v>0</v>
      </c>
      <c r="P216" s="9">
        <f t="shared" si="83"/>
        <v>0</v>
      </c>
      <c r="Q216" s="9">
        <f t="shared" si="84"/>
        <v>0</v>
      </c>
      <c r="R216" s="9">
        <f t="shared" si="85"/>
        <v>0</v>
      </c>
      <c r="S216" s="9">
        <f t="shared" si="86"/>
        <v>0</v>
      </c>
      <c r="T216" s="9">
        <f t="shared" si="87"/>
        <v>0</v>
      </c>
      <c r="U216" s="9">
        <f t="shared" si="88"/>
        <v>0</v>
      </c>
      <c r="V216" s="9">
        <f t="shared" si="89"/>
        <v>0</v>
      </c>
      <c r="W216" s="9">
        <f t="shared" si="90"/>
        <v>0</v>
      </c>
      <c r="X216" s="9">
        <f t="shared" si="91"/>
        <v>0</v>
      </c>
      <c r="Y216" s="9">
        <f t="shared" si="92"/>
        <v>0</v>
      </c>
      <c r="Z216" s="9">
        <f t="shared" si="93"/>
        <v>0</v>
      </c>
      <c r="AA216" s="10">
        <f t="shared" si="94"/>
        <v>0</v>
      </c>
    </row>
    <row r="217" spans="1:27" x14ac:dyDescent="0.3">
      <c r="A217" s="18" t="s">
        <v>1303</v>
      </c>
      <c r="B217" s="4">
        <f t="shared" si="72"/>
        <v>0</v>
      </c>
      <c r="C217" s="4">
        <f t="shared" si="73"/>
        <v>0</v>
      </c>
      <c r="D217" s="4">
        <f t="shared" si="74"/>
        <v>0</v>
      </c>
      <c r="E217" s="4">
        <f t="shared" si="75"/>
        <v>0</v>
      </c>
      <c r="F217" s="4">
        <f t="shared" si="76"/>
        <v>1</v>
      </c>
      <c r="G217" s="4">
        <f t="shared" si="77"/>
        <v>0</v>
      </c>
      <c r="I217" s="8" t="s">
        <v>977</v>
      </c>
      <c r="J217" s="9">
        <f t="shared" si="78"/>
        <v>1</v>
      </c>
      <c r="K217" s="9">
        <f t="shared" si="95"/>
        <v>0</v>
      </c>
      <c r="L217" s="9">
        <f t="shared" si="79"/>
        <v>0</v>
      </c>
      <c r="M217" s="9">
        <f t="shared" si="80"/>
        <v>0</v>
      </c>
      <c r="N217" s="9">
        <f t="shared" si="81"/>
        <v>0</v>
      </c>
      <c r="O217" s="9">
        <f t="shared" si="82"/>
        <v>0</v>
      </c>
      <c r="P217" s="9">
        <f t="shared" si="83"/>
        <v>0</v>
      </c>
      <c r="Q217" s="9">
        <f t="shared" si="84"/>
        <v>0</v>
      </c>
      <c r="R217" s="9">
        <f t="shared" si="85"/>
        <v>0</v>
      </c>
      <c r="S217" s="9">
        <f t="shared" si="86"/>
        <v>0</v>
      </c>
      <c r="T217" s="9">
        <f t="shared" si="87"/>
        <v>0</v>
      </c>
      <c r="U217" s="9">
        <f t="shared" si="88"/>
        <v>0</v>
      </c>
      <c r="V217" s="9">
        <f t="shared" si="89"/>
        <v>0</v>
      </c>
      <c r="W217" s="9">
        <f t="shared" si="90"/>
        <v>0</v>
      </c>
      <c r="X217" s="9">
        <f t="shared" si="91"/>
        <v>0</v>
      </c>
      <c r="Y217" s="9">
        <f t="shared" si="92"/>
        <v>0</v>
      </c>
      <c r="Z217" s="9">
        <f t="shared" si="93"/>
        <v>0</v>
      </c>
      <c r="AA217" s="10">
        <f t="shared" si="94"/>
        <v>0</v>
      </c>
    </row>
    <row r="218" spans="1:27" x14ac:dyDescent="0.3">
      <c r="A218" s="4" t="s">
        <v>1302</v>
      </c>
      <c r="B218" s="4">
        <f t="shared" si="72"/>
        <v>1</v>
      </c>
      <c r="C218" s="4">
        <f t="shared" si="73"/>
        <v>0</v>
      </c>
      <c r="D218" s="4">
        <f t="shared" si="74"/>
        <v>0</v>
      </c>
      <c r="E218" s="4">
        <f t="shared" si="75"/>
        <v>0</v>
      </c>
      <c r="F218" s="4">
        <f t="shared" si="76"/>
        <v>0</v>
      </c>
      <c r="G218" s="4">
        <f t="shared" si="77"/>
        <v>0</v>
      </c>
      <c r="I218" s="11" t="s">
        <v>977</v>
      </c>
      <c r="J218" s="9">
        <f t="shared" si="78"/>
        <v>1</v>
      </c>
      <c r="K218" s="9">
        <f t="shared" si="95"/>
        <v>0</v>
      </c>
      <c r="L218" s="9">
        <f t="shared" si="79"/>
        <v>0</v>
      </c>
      <c r="M218" s="9">
        <f t="shared" si="80"/>
        <v>0</v>
      </c>
      <c r="N218" s="9">
        <f t="shared" si="81"/>
        <v>0</v>
      </c>
      <c r="O218" s="9">
        <f t="shared" si="82"/>
        <v>0</v>
      </c>
      <c r="P218" s="9">
        <f t="shared" si="83"/>
        <v>0</v>
      </c>
      <c r="Q218" s="9">
        <f t="shared" si="84"/>
        <v>0</v>
      </c>
      <c r="R218" s="9">
        <f t="shared" si="85"/>
        <v>0</v>
      </c>
      <c r="S218" s="9">
        <f t="shared" si="86"/>
        <v>0</v>
      </c>
      <c r="T218" s="9">
        <f t="shared" si="87"/>
        <v>0</v>
      </c>
      <c r="U218" s="9">
        <f t="shared" si="88"/>
        <v>0</v>
      </c>
      <c r="V218" s="9">
        <f t="shared" si="89"/>
        <v>0</v>
      </c>
      <c r="W218" s="9">
        <f t="shared" si="90"/>
        <v>0</v>
      </c>
      <c r="X218" s="9">
        <f t="shared" si="91"/>
        <v>0</v>
      </c>
      <c r="Y218" s="9">
        <f t="shared" si="92"/>
        <v>0</v>
      </c>
      <c r="Z218" s="9">
        <f t="shared" si="93"/>
        <v>0</v>
      </c>
      <c r="AA218" s="10">
        <f t="shared" si="94"/>
        <v>0</v>
      </c>
    </row>
    <row r="219" spans="1:27" x14ac:dyDescent="0.3">
      <c r="A219" s="18" t="s">
        <v>1303</v>
      </c>
      <c r="B219" s="4">
        <f t="shared" si="72"/>
        <v>0</v>
      </c>
      <c r="C219" s="4">
        <f t="shared" si="73"/>
        <v>0</v>
      </c>
      <c r="D219" s="4">
        <f t="shared" si="74"/>
        <v>0</v>
      </c>
      <c r="E219" s="4">
        <f t="shared" si="75"/>
        <v>0</v>
      </c>
      <c r="F219" s="4">
        <f t="shared" si="76"/>
        <v>1</v>
      </c>
      <c r="G219" s="4">
        <f t="shared" si="77"/>
        <v>0</v>
      </c>
      <c r="I219" s="8" t="s">
        <v>996</v>
      </c>
      <c r="J219" s="9">
        <f t="shared" si="78"/>
        <v>0</v>
      </c>
      <c r="K219" s="9">
        <f t="shared" si="95"/>
        <v>0</v>
      </c>
      <c r="L219" s="9">
        <f t="shared" si="79"/>
        <v>0</v>
      </c>
      <c r="M219" s="9">
        <f t="shared" si="80"/>
        <v>0</v>
      </c>
      <c r="N219" s="9">
        <f t="shared" si="81"/>
        <v>0</v>
      </c>
      <c r="O219" s="9">
        <f t="shared" si="82"/>
        <v>0</v>
      </c>
      <c r="P219" s="9">
        <f t="shared" si="83"/>
        <v>0</v>
      </c>
      <c r="Q219" s="9">
        <f t="shared" si="84"/>
        <v>1</v>
      </c>
      <c r="R219" s="9">
        <f t="shared" si="85"/>
        <v>0</v>
      </c>
      <c r="S219" s="9">
        <f t="shared" si="86"/>
        <v>0</v>
      </c>
      <c r="T219" s="9">
        <f t="shared" si="87"/>
        <v>0</v>
      </c>
      <c r="U219" s="9">
        <f t="shared" si="88"/>
        <v>0</v>
      </c>
      <c r="V219" s="9">
        <f t="shared" si="89"/>
        <v>0</v>
      </c>
      <c r="W219" s="9">
        <f t="shared" si="90"/>
        <v>0</v>
      </c>
      <c r="X219" s="9">
        <f t="shared" si="91"/>
        <v>0</v>
      </c>
      <c r="Y219" s="9">
        <f t="shared" si="92"/>
        <v>0</v>
      </c>
      <c r="Z219" s="9">
        <f t="shared" si="93"/>
        <v>0</v>
      </c>
      <c r="AA219" s="10">
        <f t="shared" si="94"/>
        <v>0</v>
      </c>
    </row>
    <row r="220" spans="1:27" x14ac:dyDescent="0.3">
      <c r="A220" s="4" t="s">
        <v>1303</v>
      </c>
      <c r="B220" s="4">
        <f t="shared" si="72"/>
        <v>0</v>
      </c>
      <c r="C220" s="4">
        <f t="shared" si="73"/>
        <v>0</v>
      </c>
      <c r="D220" s="4">
        <f t="shared" si="74"/>
        <v>0</v>
      </c>
      <c r="E220" s="4">
        <f t="shared" si="75"/>
        <v>0</v>
      </c>
      <c r="F220" s="4">
        <f t="shared" si="76"/>
        <v>1</v>
      </c>
      <c r="G220" s="4">
        <f t="shared" si="77"/>
        <v>0</v>
      </c>
      <c r="I220" s="11" t="s">
        <v>977</v>
      </c>
      <c r="J220" s="9">
        <f t="shared" si="78"/>
        <v>1</v>
      </c>
      <c r="K220" s="9">
        <f t="shared" si="95"/>
        <v>0</v>
      </c>
      <c r="L220" s="9">
        <f t="shared" si="79"/>
        <v>0</v>
      </c>
      <c r="M220" s="9">
        <f t="shared" si="80"/>
        <v>0</v>
      </c>
      <c r="N220" s="9">
        <f t="shared" si="81"/>
        <v>0</v>
      </c>
      <c r="O220" s="9">
        <f t="shared" si="82"/>
        <v>0</v>
      </c>
      <c r="P220" s="9">
        <f t="shared" si="83"/>
        <v>0</v>
      </c>
      <c r="Q220" s="9">
        <f t="shared" si="84"/>
        <v>0</v>
      </c>
      <c r="R220" s="9">
        <f t="shared" si="85"/>
        <v>0</v>
      </c>
      <c r="S220" s="9">
        <f t="shared" si="86"/>
        <v>0</v>
      </c>
      <c r="T220" s="9">
        <f t="shared" si="87"/>
        <v>0</v>
      </c>
      <c r="U220" s="9">
        <f t="shared" si="88"/>
        <v>0</v>
      </c>
      <c r="V220" s="9">
        <f t="shared" si="89"/>
        <v>0</v>
      </c>
      <c r="W220" s="9">
        <f t="shared" si="90"/>
        <v>0</v>
      </c>
      <c r="X220" s="9">
        <f t="shared" si="91"/>
        <v>0</v>
      </c>
      <c r="Y220" s="9">
        <f t="shared" si="92"/>
        <v>0</v>
      </c>
      <c r="Z220" s="9">
        <f t="shared" si="93"/>
        <v>0</v>
      </c>
      <c r="AA220" s="10">
        <f t="shared" si="94"/>
        <v>0</v>
      </c>
    </row>
    <row r="221" spans="1:27" x14ac:dyDescent="0.3">
      <c r="A221" s="18" t="s">
        <v>1303</v>
      </c>
      <c r="B221" s="4">
        <f t="shared" si="72"/>
        <v>0</v>
      </c>
      <c r="C221" s="4">
        <f t="shared" si="73"/>
        <v>0</v>
      </c>
      <c r="D221" s="4">
        <f t="shared" si="74"/>
        <v>0</v>
      </c>
      <c r="E221" s="4">
        <f t="shared" si="75"/>
        <v>0</v>
      </c>
      <c r="F221" s="4">
        <f t="shared" si="76"/>
        <v>1</v>
      </c>
      <c r="G221" s="4">
        <f t="shared" si="77"/>
        <v>0</v>
      </c>
      <c r="I221" s="8" t="s">
        <v>977</v>
      </c>
      <c r="J221" s="9">
        <f t="shared" si="78"/>
        <v>1</v>
      </c>
      <c r="K221" s="9">
        <f t="shared" si="95"/>
        <v>0</v>
      </c>
      <c r="L221" s="9">
        <f t="shared" si="79"/>
        <v>0</v>
      </c>
      <c r="M221" s="9">
        <f t="shared" si="80"/>
        <v>0</v>
      </c>
      <c r="N221" s="9">
        <f t="shared" si="81"/>
        <v>0</v>
      </c>
      <c r="O221" s="9">
        <f t="shared" si="82"/>
        <v>0</v>
      </c>
      <c r="P221" s="9">
        <f t="shared" si="83"/>
        <v>0</v>
      </c>
      <c r="Q221" s="9">
        <f t="shared" si="84"/>
        <v>0</v>
      </c>
      <c r="R221" s="9">
        <f t="shared" si="85"/>
        <v>0</v>
      </c>
      <c r="S221" s="9">
        <f t="shared" si="86"/>
        <v>0</v>
      </c>
      <c r="T221" s="9">
        <f t="shared" si="87"/>
        <v>0</v>
      </c>
      <c r="U221" s="9">
        <f t="shared" si="88"/>
        <v>0</v>
      </c>
      <c r="V221" s="9">
        <f t="shared" si="89"/>
        <v>0</v>
      </c>
      <c r="W221" s="9">
        <f t="shared" si="90"/>
        <v>0</v>
      </c>
      <c r="X221" s="9">
        <f t="shared" si="91"/>
        <v>0</v>
      </c>
      <c r="Y221" s="9">
        <f t="shared" si="92"/>
        <v>0</v>
      </c>
      <c r="Z221" s="9">
        <f t="shared" si="93"/>
        <v>0</v>
      </c>
      <c r="AA221" s="10">
        <f t="shared" si="94"/>
        <v>0</v>
      </c>
    </row>
    <row r="222" spans="1:27" x14ac:dyDescent="0.3">
      <c r="A222" s="4" t="s">
        <v>1305</v>
      </c>
      <c r="B222" s="4">
        <f t="shared" si="72"/>
        <v>0</v>
      </c>
      <c r="C222" s="4">
        <f t="shared" si="73"/>
        <v>0</v>
      </c>
      <c r="D222" s="4">
        <f t="shared" si="74"/>
        <v>0</v>
      </c>
      <c r="E222" s="4">
        <f t="shared" si="75"/>
        <v>0</v>
      </c>
      <c r="F222" s="4">
        <f t="shared" si="76"/>
        <v>0</v>
      </c>
      <c r="G222" s="4">
        <f t="shared" si="77"/>
        <v>1</v>
      </c>
      <c r="I222" s="11" t="s">
        <v>994</v>
      </c>
      <c r="J222" s="9">
        <f t="shared" si="78"/>
        <v>0</v>
      </c>
      <c r="K222" s="9">
        <f t="shared" si="95"/>
        <v>0</v>
      </c>
      <c r="L222" s="9">
        <f t="shared" si="79"/>
        <v>0</v>
      </c>
      <c r="M222" s="9">
        <f t="shared" si="80"/>
        <v>0</v>
      </c>
      <c r="N222" s="9">
        <f t="shared" si="81"/>
        <v>0</v>
      </c>
      <c r="O222" s="9">
        <f t="shared" si="82"/>
        <v>0</v>
      </c>
      <c r="P222" s="9">
        <f t="shared" si="83"/>
        <v>1</v>
      </c>
      <c r="Q222" s="9">
        <f t="shared" si="84"/>
        <v>0</v>
      </c>
      <c r="R222" s="9">
        <f t="shared" si="85"/>
        <v>0</v>
      </c>
      <c r="S222" s="9">
        <f t="shared" si="86"/>
        <v>0</v>
      </c>
      <c r="T222" s="9">
        <f t="shared" si="87"/>
        <v>0</v>
      </c>
      <c r="U222" s="9">
        <f t="shared" si="88"/>
        <v>0</v>
      </c>
      <c r="V222" s="9">
        <f t="shared" si="89"/>
        <v>0</v>
      </c>
      <c r="W222" s="9">
        <f t="shared" si="90"/>
        <v>0</v>
      </c>
      <c r="X222" s="9">
        <f t="shared" si="91"/>
        <v>0</v>
      </c>
      <c r="Y222" s="9">
        <f t="shared" si="92"/>
        <v>0</v>
      </c>
      <c r="Z222" s="9">
        <f t="shared" si="93"/>
        <v>0</v>
      </c>
      <c r="AA222" s="10">
        <f t="shared" si="94"/>
        <v>0</v>
      </c>
    </row>
    <row r="223" spans="1:27" x14ac:dyDescent="0.3">
      <c r="A223" s="18" t="s">
        <v>1294</v>
      </c>
      <c r="B223" s="4">
        <f t="shared" si="72"/>
        <v>0</v>
      </c>
      <c r="C223" s="4">
        <f t="shared" si="73"/>
        <v>0</v>
      </c>
      <c r="D223" s="4">
        <f t="shared" si="74"/>
        <v>0</v>
      </c>
      <c r="E223" s="4">
        <f t="shared" si="75"/>
        <v>0</v>
      </c>
      <c r="F223" s="4">
        <f t="shared" si="76"/>
        <v>0</v>
      </c>
      <c r="G223" s="4">
        <f t="shared" si="77"/>
        <v>0</v>
      </c>
      <c r="I223" s="8" t="s">
        <v>1011</v>
      </c>
      <c r="J223" s="9">
        <f t="shared" si="78"/>
        <v>0</v>
      </c>
      <c r="K223" s="9">
        <f t="shared" si="95"/>
        <v>0</v>
      </c>
      <c r="L223" s="9">
        <f t="shared" si="79"/>
        <v>0</v>
      </c>
      <c r="M223" s="9">
        <f t="shared" si="80"/>
        <v>0</v>
      </c>
      <c r="N223" s="9">
        <f t="shared" si="81"/>
        <v>0</v>
      </c>
      <c r="O223" s="9">
        <f t="shared" si="82"/>
        <v>0</v>
      </c>
      <c r="P223" s="9">
        <f t="shared" si="83"/>
        <v>0</v>
      </c>
      <c r="Q223" s="9">
        <f t="shared" si="84"/>
        <v>0</v>
      </c>
      <c r="R223" s="9">
        <f t="shared" si="85"/>
        <v>0</v>
      </c>
      <c r="S223" s="9">
        <f t="shared" si="86"/>
        <v>1</v>
      </c>
      <c r="T223" s="9">
        <f t="shared" si="87"/>
        <v>0</v>
      </c>
      <c r="U223" s="9">
        <f t="shared" si="88"/>
        <v>0</v>
      </c>
      <c r="V223" s="9">
        <f t="shared" si="89"/>
        <v>0</v>
      </c>
      <c r="W223" s="9">
        <f t="shared" si="90"/>
        <v>0</v>
      </c>
      <c r="X223" s="9">
        <f t="shared" si="91"/>
        <v>0</v>
      </c>
      <c r="Y223" s="9">
        <f t="shared" si="92"/>
        <v>0</v>
      </c>
      <c r="Z223" s="9">
        <f t="shared" si="93"/>
        <v>0</v>
      </c>
      <c r="AA223" s="10">
        <f t="shared" si="94"/>
        <v>0</v>
      </c>
    </row>
    <row r="224" spans="1:27" x14ac:dyDescent="0.3">
      <c r="A224" s="4" t="s">
        <v>1303</v>
      </c>
      <c r="B224" s="4">
        <f t="shared" si="72"/>
        <v>0</v>
      </c>
      <c r="C224" s="4">
        <f t="shared" si="73"/>
        <v>0</v>
      </c>
      <c r="D224" s="4">
        <f t="shared" si="74"/>
        <v>0</v>
      </c>
      <c r="E224" s="4">
        <f t="shared" si="75"/>
        <v>0</v>
      </c>
      <c r="F224" s="4">
        <f t="shared" si="76"/>
        <v>1</v>
      </c>
      <c r="G224" s="4">
        <f t="shared" si="77"/>
        <v>0</v>
      </c>
      <c r="I224" s="11" t="s">
        <v>977</v>
      </c>
      <c r="J224" s="9">
        <f t="shared" si="78"/>
        <v>1</v>
      </c>
      <c r="K224" s="9">
        <f t="shared" si="95"/>
        <v>0</v>
      </c>
      <c r="L224" s="9">
        <f t="shared" si="79"/>
        <v>0</v>
      </c>
      <c r="M224" s="9">
        <f t="shared" si="80"/>
        <v>0</v>
      </c>
      <c r="N224" s="9">
        <f t="shared" si="81"/>
        <v>0</v>
      </c>
      <c r="O224" s="9">
        <f t="shared" si="82"/>
        <v>0</v>
      </c>
      <c r="P224" s="9">
        <f t="shared" si="83"/>
        <v>0</v>
      </c>
      <c r="Q224" s="9">
        <f t="shared" si="84"/>
        <v>0</v>
      </c>
      <c r="R224" s="9">
        <f t="shared" si="85"/>
        <v>0</v>
      </c>
      <c r="S224" s="9">
        <f t="shared" si="86"/>
        <v>0</v>
      </c>
      <c r="T224" s="9">
        <f t="shared" si="87"/>
        <v>0</v>
      </c>
      <c r="U224" s="9">
        <f t="shared" si="88"/>
        <v>0</v>
      </c>
      <c r="V224" s="9">
        <f t="shared" si="89"/>
        <v>0</v>
      </c>
      <c r="W224" s="9">
        <f t="shared" si="90"/>
        <v>0</v>
      </c>
      <c r="X224" s="9">
        <f t="shared" si="91"/>
        <v>0</v>
      </c>
      <c r="Y224" s="9">
        <f t="shared" si="92"/>
        <v>0</v>
      </c>
      <c r="Z224" s="9">
        <f t="shared" si="93"/>
        <v>0</v>
      </c>
      <c r="AA224" s="10">
        <f t="shared" si="94"/>
        <v>0</v>
      </c>
    </row>
    <row r="225" spans="1:27" x14ac:dyDescent="0.3">
      <c r="A225" s="18" t="s">
        <v>1294</v>
      </c>
      <c r="B225" s="4">
        <f t="shared" si="72"/>
        <v>0</v>
      </c>
      <c r="C225" s="4">
        <f t="shared" si="73"/>
        <v>0</v>
      </c>
      <c r="D225" s="4">
        <f t="shared" si="74"/>
        <v>0</v>
      </c>
      <c r="E225" s="4">
        <f t="shared" si="75"/>
        <v>0</v>
      </c>
      <c r="F225" s="4">
        <f t="shared" si="76"/>
        <v>0</v>
      </c>
      <c r="G225" s="4">
        <f t="shared" si="77"/>
        <v>0</v>
      </c>
      <c r="I225" s="8" t="s">
        <v>982</v>
      </c>
      <c r="J225" s="9">
        <f t="shared" si="78"/>
        <v>0</v>
      </c>
      <c r="K225" s="9">
        <f t="shared" si="95"/>
        <v>1</v>
      </c>
      <c r="L225" s="9">
        <f t="shared" si="79"/>
        <v>0</v>
      </c>
      <c r="M225" s="9">
        <f t="shared" si="80"/>
        <v>0</v>
      </c>
      <c r="N225" s="9">
        <f t="shared" si="81"/>
        <v>0</v>
      </c>
      <c r="O225" s="9">
        <f t="shared" si="82"/>
        <v>0</v>
      </c>
      <c r="P225" s="9">
        <f t="shared" si="83"/>
        <v>0</v>
      </c>
      <c r="Q225" s="9">
        <f t="shared" si="84"/>
        <v>0</v>
      </c>
      <c r="R225" s="9">
        <f t="shared" si="85"/>
        <v>0</v>
      </c>
      <c r="S225" s="9">
        <f t="shared" si="86"/>
        <v>0</v>
      </c>
      <c r="T225" s="9">
        <f t="shared" si="87"/>
        <v>0</v>
      </c>
      <c r="U225" s="9">
        <f t="shared" si="88"/>
        <v>0</v>
      </c>
      <c r="V225" s="9">
        <f t="shared" si="89"/>
        <v>0</v>
      </c>
      <c r="W225" s="9">
        <f t="shared" si="90"/>
        <v>0</v>
      </c>
      <c r="X225" s="9">
        <f t="shared" si="91"/>
        <v>0</v>
      </c>
      <c r="Y225" s="9">
        <f t="shared" si="92"/>
        <v>0</v>
      </c>
      <c r="Z225" s="9">
        <f t="shared" si="93"/>
        <v>0</v>
      </c>
      <c r="AA225" s="10">
        <f t="shared" si="94"/>
        <v>0</v>
      </c>
    </row>
    <row r="226" spans="1:27" x14ac:dyDescent="0.3">
      <c r="A226" s="4" t="s">
        <v>1303</v>
      </c>
      <c r="B226" s="4">
        <f t="shared" si="72"/>
        <v>0</v>
      </c>
      <c r="C226" s="4">
        <f t="shared" si="73"/>
        <v>0</v>
      </c>
      <c r="D226" s="4">
        <f t="shared" si="74"/>
        <v>0</v>
      </c>
      <c r="E226" s="4">
        <f t="shared" si="75"/>
        <v>0</v>
      </c>
      <c r="F226" s="4">
        <f t="shared" si="76"/>
        <v>1</v>
      </c>
      <c r="G226" s="4">
        <f t="shared" si="77"/>
        <v>0</v>
      </c>
      <c r="I226" s="11" t="s">
        <v>977</v>
      </c>
      <c r="J226" s="9">
        <f t="shared" si="78"/>
        <v>1</v>
      </c>
      <c r="K226" s="9">
        <f t="shared" si="95"/>
        <v>0</v>
      </c>
      <c r="L226" s="9">
        <f t="shared" si="79"/>
        <v>0</v>
      </c>
      <c r="M226" s="9">
        <f t="shared" si="80"/>
        <v>0</v>
      </c>
      <c r="N226" s="9">
        <f t="shared" si="81"/>
        <v>0</v>
      </c>
      <c r="O226" s="9">
        <f t="shared" si="82"/>
        <v>0</v>
      </c>
      <c r="P226" s="9">
        <f t="shared" si="83"/>
        <v>0</v>
      </c>
      <c r="Q226" s="9">
        <f t="shared" si="84"/>
        <v>0</v>
      </c>
      <c r="R226" s="9">
        <f t="shared" si="85"/>
        <v>0</v>
      </c>
      <c r="S226" s="9">
        <f t="shared" si="86"/>
        <v>0</v>
      </c>
      <c r="T226" s="9">
        <f t="shared" si="87"/>
        <v>0</v>
      </c>
      <c r="U226" s="9">
        <f t="shared" si="88"/>
        <v>0</v>
      </c>
      <c r="V226" s="9">
        <f t="shared" si="89"/>
        <v>0</v>
      </c>
      <c r="W226" s="9">
        <f t="shared" si="90"/>
        <v>0</v>
      </c>
      <c r="X226" s="9">
        <f t="shared" si="91"/>
        <v>0</v>
      </c>
      <c r="Y226" s="9">
        <f t="shared" si="92"/>
        <v>0</v>
      </c>
      <c r="Z226" s="9">
        <f t="shared" si="93"/>
        <v>0</v>
      </c>
      <c r="AA226" s="10">
        <f t="shared" si="94"/>
        <v>0</v>
      </c>
    </row>
    <row r="227" spans="1:27" x14ac:dyDescent="0.3">
      <c r="A227" s="18" t="s">
        <v>1303</v>
      </c>
      <c r="B227" s="4">
        <f t="shared" si="72"/>
        <v>0</v>
      </c>
      <c r="C227" s="4">
        <f t="shared" si="73"/>
        <v>0</v>
      </c>
      <c r="D227" s="4">
        <f t="shared" si="74"/>
        <v>0</v>
      </c>
      <c r="E227" s="4">
        <f t="shared" si="75"/>
        <v>0</v>
      </c>
      <c r="F227" s="4">
        <f t="shared" si="76"/>
        <v>1</v>
      </c>
      <c r="G227" s="4">
        <f t="shared" si="77"/>
        <v>0</v>
      </c>
      <c r="I227" s="8" t="s">
        <v>1044</v>
      </c>
      <c r="J227" s="9">
        <f t="shared" si="78"/>
        <v>0</v>
      </c>
      <c r="K227" s="9">
        <f t="shared" si="95"/>
        <v>0</v>
      </c>
      <c r="L227" s="9">
        <f t="shared" si="79"/>
        <v>0</v>
      </c>
      <c r="M227" s="9">
        <f t="shared" si="80"/>
        <v>0</v>
      </c>
      <c r="N227" s="9">
        <f t="shared" si="81"/>
        <v>0</v>
      </c>
      <c r="O227" s="9">
        <f t="shared" si="82"/>
        <v>0</v>
      </c>
      <c r="P227" s="9">
        <f t="shared" si="83"/>
        <v>0</v>
      </c>
      <c r="Q227" s="9">
        <f t="shared" si="84"/>
        <v>0</v>
      </c>
      <c r="R227" s="9">
        <f t="shared" si="85"/>
        <v>0</v>
      </c>
      <c r="S227" s="9">
        <f t="shared" si="86"/>
        <v>0</v>
      </c>
      <c r="T227" s="9">
        <f t="shared" si="87"/>
        <v>0</v>
      </c>
      <c r="U227" s="9">
        <f t="shared" si="88"/>
        <v>1</v>
      </c>
      <c r="V227" s="9">
        <f t="shared" si="89"/>
        <v>0</v>
      </c>
      <c r="W227" s="9">
        <f t="shared" si="90"/>
        <v>0</v>
      </c>
      <c r="X227" s="9">
        <f t="shared" si="91"/>
        <v>0</v>
      </c>
      <c r="Y227" s="9">
        <f t="shared" si="92"/>
        <v>0</v>
      </c>
      <c r="Z227" s="9">
        <f t="shared" si="93"/>
        <v>0</v>
      </c>
      <c r="AA227" s="10">
        <f t="shared" si="94"/>
        <v>0</v>
      </c>
    </row>
    <row r="228" spans="1:27" x14ac:dyDescent="0.3">
      <c r="A228" s="4" t="s">
        <v>1302</v>
      </c>
      <c r="B228" s="4">
        <f t="shared" si="72"/>
        <v>1</v>
      </c>
      <c r="C228" s="4">
        <f t="shared" si="73"/>
        <v>0</v>
      </c>
      <c r="D228" s="4">
        <f t="shared" si="74"/>
        <v>0</v>
      </c>
      <c r="E228" s="4">
        <f t="shared" si="75"/>
        <v>0</v>
      </c>
      <c r="F228" s="4">
        <f t="shared" si="76"/>
        <v>0</v>
      </c>
      <c r="G228" s="4">
        <f t="shared" si="77"/>
        <v>0</v>
      </c>
      <c r="I228" s="11" t="s">
        <v>994</v>
      </c>
      <c r="J228" s="9">
        <f t="shared" si="78"/>
        <v>0</v>
      </c>
      <c r="K228" s="9">
        <f t="shared" si="95"/>
        <v>0</v>
      </c>
      <c r="L228" s="9">
        <f t="shared" si="79"/>
        <v>0</v>
      </c>
      <c r="M228" s="9">
        <f t="shared" si="80"/>
        <v>0</v>
      </c>
      <c r="N228" s="9">
        <f t="shared" si="81"/>
        <v>0</v>
      </c>
      <c r="O228" s="9">
        <f t="shared" si="82"/>
        <v>0</v>
      </c>
      <c r="P228" s="9">
        <f t="shared" si="83"/>
        <v>1</v>
      </c>
      <c r="Q228" s="9">
        <f t="shared" si="84"/>
        <v>0</v>
      </c>
      <c r="R228" s="9">
        <f t="shared" si="85"/>
        <v>0</v>
      </c>
      <c r="S228" s="9">
        <f t="shared" si="86"/>
        <v>0</v>
      </c>
      <c r="T228" s="9">
        <f t="shared" si="87"/>
        <v>0</v>
      </c>
      <c r="U228" s="9">
        <f t="shared" si="88"/>
        <v>0</v>
      </c>
      <c r="V228" s="9">
        <f t="shared" si="89"/>
        <v>0</v>
      </c>
      <c r="W228" s="9">
        <f t="shared" si="90"/>
        <v>0</v>
      </c>
      <c r="X228" s="9">
        <f t="shared" si="91"/>
        <v>0</v>
      </c>
      <c r="Y228" s="9">
        <f t="shared" si="92"/>
        <v>0</v>
      </c>
      <c r="Z228" s="9">
        <f t="shared" si="93"/>
        <v>0</v>
      </c>
      <c r="AA228" s="10">
        <f t="shared" si="94"/>
        <v>0</v>
      </c>
    </row>
    <row r="229" spans="1:27" x14ac:dyDescent="0.3">
      <c r="A229" s="18" t="s">
        <v>1304</v>
      </c>
      <c r="B229" s="4">
        <f t="shared" si="72"/>
        <v>0</v>
      </c>
      <c r="C229" s="4">
        <f t="shared" si="73"/>
        <v>1</v>
      </c>
      <c r="D229" s="4">
        <f t="shared" si="74"/>
        <v>0</v>
      </c>
      <c r="E229" s="4">
        <f t="shared" si="75"/>
        <v>0</v>
      </c>
      <c r="F229" s="4">
        <f t="shared" si="76"/>
        <v>0</v>
      </c>
      <c r="G229" s="4">
        <f t="shared" si="77"/>
        <v>0</v>
      </c>
      <c r="I229" s="8" t="s">
        <v>977</v>
      </c>
      <c r="J229" s="9">
        <f t="shared" si="78"/>
        <v>1</v>
      </c>
      <c r="K229" s="9">
        <f t="shared" si="95"/>
        <v>0</v>
      </c>
      <c r="L229" s="9">
        <f t="shared" si="79"/>
        <v>0</v>
      </c>
      <c r="M229" s="9">
        <f t="shared" si="80"/>
        <v>0</v>
      </c>
      <c r="N229" s="9">
        <f t="shared" si="81"/>
        <v>0</v>
      </c>
      <c r="O229" s="9">
        <f t="shared" si="82"/>
        <v>0</v>
      </c>
      <c r="P229" s="9">
        <f t="shared" si="83"/>
        <v>0</v>
      </c>
      <c r="Q229" s="9">
        <f t="shared" si="84"/>
        <v>0</v>
      </c>
      <c r="R229" s="9">
        <f t="shared" si="85"/>
        <v>0</v>
      </c>
      <c r="S229" s="9">
        <f t="shared" si="86"/>
        <v>0</v>
      </c>
      <c r="T229" s="9">
        <f t="shared" si="87"/>
        <v>0</v>
      </c>
      <c r="U229" s="9">
        <f t="shared" si="88"/>
        <v>0</v>
      </c>
      <c r="V229" s="9">
        <f t="shared" si="89"/>
        <v>0</v>
      </c>
      <c r="W229" s="9">
        <f t="shared" si="90"/>
        <v>0</v>
      </c>
      <c r="X229" s="9">
        <f t="shared" si="91"/>
        <v>0</v>
      </c>
      <c r="Y229" s="9">
        <f t="shared" si="92"/>
        <v>0</v>
      </c>
      <c r="Z229" s="9">
        <f t="shared" si="93"/>
        <v>0</v>
      </c>
      <c r="AA229" s="10">
        <f t="shared" si="94"/>
        <v>0</v>
      </c>
    </row>
    <row r="230" spans="1:27" x14ac:dyDescent="0.3">
      <c r="A230" s="4" t="s">
        <v>1294</v>
      </c>
      <c r="B230" s="4">
        <f t="shared" si="72"/>
        <v>0</v>
      </c>
      <c r="C230" s="4">
        <f t="shared" si="73"/>
        <v>0</v>
      </c>
      <c r="D230" s="4">
        <f t="shared" si="74"/>
        <v>0</v>
      </c>
      <c r="E230" s="4">
        <f t="shared" si="75"/>
        <v>0</v>
      </c>
      <c r="F230" s="4">
        <f t="shared" si="76"/>
        <v>0</v>
      </c>
      <c r="G230" s="4">
        <f t="shared" si="77"/>
        <v>0</v>
      </c>
      <c r="I230" s="11" t="s">
        <v>994</v>
      </c>
      <c r="J230" s="9">
        <f t="shared" si="78"/>
        <v>0</v>
      </c>
      <c r="K230" s="9">
        <f t="shared" si="95"/>
        <v>0</v>
      </c>
      <c r="L230" s="9">
        <f t="shared" si="79"/>
        <v>0</v>
      </c>
      <c r="M230" s="9">
        <f t="shared" si="80"/>
        <v>0</v>
      </c>
      <c r="N230" s="9">
        <f t="shared" si="81"/>
        <v>0</v>
      </c>
      <c r="O230" s="9">
        <f t="shared" si="82"/>
        <v>0</v>
      </c>
      <c r="P230" s="9">
        <f t="shared" si="83"/>
        <v>1</v>
      </c>
      <c r="Q230" s="9">
        <f t="shared" si="84"/>
        <v>0</v>
      </c>
      <c r="R230" s="9">
        <f t="shared" si="85"/>
        <v>0</v>
      </c>
      <c r="S230" s="9">
        <f t="shared" si="86"/>
        <v>0</v>
      </c>
      <c r="T230" s="9">
        <f t="shared" si="87"/>
        <v>0</v>
      </c>
      <c r="U230" s="9">
        <f t="shared" si="88"/>
        <v>0</v>
      </c>
      <c r="V230" s="9">
        <f t="shared" si="89"/>
        <v>0</v>
      </c>
      <c r="W230" s="9">
        <f t="shared" si="90"/>
        <v>0</v>
      </c>
      <c r="X230" s="9">
        <f t="shared" si="91"/>
        <v>0</v>
      </c>
      <c r="Y230" s="9">
        <f t="shared" si="92"/>
        <v>0</v>
      </c>
      <c r="Z230" s="9">
        <f t="shared" si="93"/>
        <v>0</v>
      </c>
      <c r="AA230" s="10">
        <f t="shared" si="94"/>
        <v>0</v>
      </c>
    </row>
    <row r="231" spans="1:27" x14ac:dyDescent="0.3">
      <c r="A231" s="18" t="s">
        <v>1294</v>
      </c>
      <c r="B231" s="4">
        <f t="shared" si="72"/>
        <v>0</v>
      </c>
      <c r="C231" s="4">
        <f t="shared" si="73"/>
        <v>0</v>
      </c>
      <c r="D231" s="4">
        <f t="shared" si="74"/>
        <v>0</v>
      </c>
      <c r="E231" s="4">
        <f t="shared" si="75"/>
        <v>0</v>
      </c>
      <c r="F231" s="4">
        <f t="shared" si="76"/>
        <v>0</v>
      </c>
      <c r="G231" s="4">
        <f t="shared" si="77"/>
        <v>0</v>
      </c>
      <c r="I231" s="8" t="s">
        <v>994</v>
      </c>
      <c r="J231" s="9">
        <f t="shared" si="78"/>
        <v>0</v>
      </c>
      <c r="K231" s="9">
        <f t="shared" si="95"/>
        <v>0</v>
      </c>
      <c r="L231" s="9">
        <f t="shared" si="79"/>
        <v>0</v>
      </c>
      <c r="M231" s="9">
        <f t="shared" si="80"/>
        <v>0</v>
      </c>
      <c r="N231" s="9">
        <f t="shared" si="81"/>
        <v>0</v>
      </c>
      <c r="O231" s="9">
        <f t="shared" si="82"/>
        <v>0</v>
      </c>
      <c r="P231" s="9">
        <f t="shared" si="83"/>
        <v>1</v>
      </c>
      <c r="Q231" s="9">
        <f t="shared" si="84"/>
        <v>0</v>
      </c>
      <c r="R231" s="9">
        <f t="shared" si="85"/>
        <v>0</v>
      </c>
      <c r="S231" s="9">
        <f t="shared" si="86"/>
        <v>0</v>
      </c>
      <c r="T231" s="9">
        <f t="shared" si="87"/>
        <v>0</v>
      </c>
      <c r="U231" s="9">
        <f t="shared" si="88"/>
        <v>0</v>
      </c>
      <c r="V231" s="9">
        <f t="shared" si="89"/>
        <v>0</v>
      </c>
      <c r="W231" s="9">
        <f t="shared" si="90"/>
        <v>0</v>
      </c>
      <c r="X231" s="9">
        <f t="shared" si="91"/>
        <v>0</v>
      </c>
      <c r="Y231" s="9">
        <f t="shared" si="92"/>
        <v>0</v>
      </c>
      <c r="Z231" s="9">
        <f t="shared" si="93"/>
        <v>0</v>
      </c>
      <c r="AA231" s="10">
        <f t="shared" si="94"/>
        <v>0</v>
      </c>
    </row>
    <row r="232" spans="1:27" x14ac:dyDescent="0.3">
      <c r="A232" s="4" t="s">
        <v>1302</v>
      </c>
      <c r="B232" s="4">
        <f t="shared" si="72"/>
        <v>1</v>
      </c>
      <c r="C232" s="4">
        <f t="shared" si="73"/>
        <v>0</v>
      </c>
      <c r="D232" s="4">
        <f t="shared" si="74"/>
        <v>0</v>
      </c>
      <c r="E232" s="4">
        <f t="shared" si="75"/>
        <v>0</v>
      </c>
      <c r="F232" s="4">
        <f t="shared" si="76"/>
        <v>0</v>
      </c>
      <c r="G232" s="4">
        <f t="shared" si="77"/>
        <v>0</v>
      </c>
      <c r="I232" s="11" t="s">
        <v>1026</v>
      </c>
      <c r="J232" s="9">
        <f t="shared" si="78"/>
        <v>0</v>
      </c>
      <c r="K232" s="9">
        <f t="shared" si="95"/>
        <v>0</v>
      </c>
      <c r="L232" s="9">
        <f t="shared" si="79"/>
        <v>0</v>
      </c>
      <c r="M232" s="9">
        <f t="shared" si="80"/>
        <v>0</v>
      </c>
      <c r="N232" s="9">
        <f t="shared" si="81"/>
        <v>0</v>
      </c>
      <c r="O232" s="9">
        <f t="shared" si="82"/>
        <v>0</v>
      </c>
      <c r="P232" s="9">
        <f t="shared" si="83"/>
        <v>0</v>
      </c>
      <c r="Q232" s="9">
        <f t="shared" si="84"/>
        <v>0</v>
      </c>
      <c r="R232" s="9">
        <f t="shared" si="85"/>
        <v>0</v>
      </c>
      <c r="S232" s="9">
        <f t="shared" si="86"/>
        <v>0</v>
      </c>
      <c r="T232" s="9">
        <f t="shared" si="87"/>
        <v>1</v>
      </c>
      <c r="U232" s="9">
        <f t="shared" si="88"/>
        <v>0</v>
      </c>
      <c r="V232" s="9">
        <f t="shared" si="89"/>
        <v>0</v>
      </c>
      <c r="W232" s="9">
        <f t="shared" si="90"/>
        <v>0</v>
      </c>
      <c r="X232" s="9">
        <f t="shared" si="91"/>
        <v>0</v>
      </c>
      <c r="Y232" s="9">
        <f t="shared" si="92"/>
        <v>0</v>
      </c>
      <c r="Z232" s="9">
        <f t="shared" si="93"/>
        <v>0</v>
      </c>
      <c r="AA232" s="10">
        <f t="shared" si="94"/>
        <v>0</v>
      </c>
    </row>
    <row r="233" spans="1:27" x14ac:dyDescent="0.3">
      <c r="A233" s="18" t="s">
        <v>1303</v>
      </c>
      <c r="B233" s="4">
        <f t="shared" si="72"/>
        <v>0</v>
      </c>
      <c r="C233" s="4">
        <f t="shared" si="73"/>
        <v>0</v>
      </c>
      <c r="D233" s="4">
        <f t="shared" si="74"/>
        <v>0</v>
      </c>
      <c r="E233" s="4">
        <f t="shared" si="75"/>
        <v>0</v>
      </c>
      <c r="F233" s="4">
        <f t="shared" si="76"/>
        <v>1</v>
      </c>
      <c r="G233" s="4">
        <f t="shared" si="77"/>
        <v>0</v>
      </c>
      <c r="I233" s="8" t="s">
        <v>994</v>
      </c>
      <c r="J233" s="9">
        <f t="shared" si="78"/>
        <v>0</v>
      </c>
      <c r="K233" s="9">
        <f t="shared" si="95"/>
        <v>0</v>
      </c>
      <c r="L233" s="9">
        <f t="shared" si="79"/>
        <v>0</v>
      </c>
      <c r="M233" s="9">
        <f t="shared" si="80"/>
        <v>0</v>
      </c>
      <c r="N233" s="9">
        <f t="shared" si="81"/>
        <v>0</v>
      </c>
      <c r="O233" s="9">
        <f t="shared" si="82"/>
        <v>0</v>
      </c>
      <c r="P233" s="9">
        <f t="shared" si="83"/>
        <v>1</v>
      </c>
      <c r="Q233" s="9">
        <f t="shared" si="84"/>
        <v>0</v>
      </c>
      <c r="R233" s="9">
        <f t="shared" si="85"/>
        <v>0</v>
      </c>
      <c r="S233" s="9">
        <f t="shared" si="86"/>
        <v>0</v>
      </c>
      <c r="T233" s="9">
        <f t="shared" si="87"/>
        <v>0</v>
      </c>
      <c r="U233" s="9">
        <f t="shared" si="88"/>
        <v>0</v>
      </c>
      <c r="V233" s="9">
        <f t="shared" si="89"/>
        <v>0</v>
      </c>
      <c r="W233" s="9">
        <f t="shared" si="90"/>
        <v>0</v>
      </c>
      <c r="X233" s="9">
        <f t="shared" si="91"/>
        <v>0</v>
      </c>
      <c r="Y233" s="9">
        <f t="shared" si="92"/>
        <v>0</v>
      </c>
      <c r="Z233" s="9">
        <f t="shared" si="93"/>
        <v>0</v>
      </c>
      <c r="AA233" s="10">
        <f t="shared" si="94"/>
        <v>0</v>
      </c>
    </row>
    <row r="234" spans="1:27" x14ac:dyDescent="0.3">
      <c r="A234" s="4" t="s">
        <v>1303</v>
      </c>
      <c r="B234" s="4">
        <f t="shared" si="72"/>
        <v>0</v>
      </c>
      <c r="C234" s="4">
        <f t="shared" si="73"/>
        <v>0</v>
      </c>
      <c r="D234" s="4">
        <f t="shared" si="74"/>
        <v>0</v>
      </c>
      <c r="E234" s="4">
        <f t="shared" si="75"/>
        <v>0</v>
      </c>
      <c r="F234" s="4">
        <f t="shared" si="76"/>
        <v>1</v>
      </c>
      <c r="G234" s="4">
        <f t="shared" si="77"/>
        <v>0</v>
      </c>
      <c r="I234" s="11" t="s">
        <v>977</v>
      </c>
      <c r="J234" s="9">
        <f t="shared" si="78"/>
        <v>1</v>
      </c>
      <c r="K234" s="9">
        <f t="shared" si="95"/>
        <v>0</v>
      </c>
      <c r="L234" s="9">
        <f t="shared" si="79"/>
        <v>0</v>
      </c>
      <c r="M234" s="9">
        <f t="shared" si="80"/>
        <v>0</v>
      </c>
      <c r="N234" s="9">
        <f t="shared" si="81"/>
        <v>0</v>
      </c>
      <c r="O234" s="9">
        <f t="shared" si="82"/>
        <v>0</v>
      </c>
      <c r="P234" s="9">
        <f t="shared" si="83"/>
        <v>0</v>
      </c>
      <c r="Q234" s="9">
        <f t="shared" si="84"/>
        <v>0</v>
      </c>
      <c r="R234" s="9">
        <f t="shared" si="85"/>
        <v>0</v>
      </c>
      <c r="S234" s="9">
        <f t="shared" si="86"/>
        <v>0</v>
      </c>
      <c r="T234" s="9">
        <f t="shared" si="87"/>
        <v>0</v>
      </c>
      <c r="U234" s="9">
        <f t="shared" si="88"/>
        <v>0</v>
      </c>
      <c r="V234" s="9">
        <f t="shared" si="89"/>
        <v>0</v>
      </c>
      <c r="W234" s="9">
        <f t="shared" si="90"/>
        <v>0</v>
      </c>
      <c r="X234" s="9">
        <f t="shared" si="91"/>
        <v>0</v>
      </c>
      <c r="Y234" s="9">
        <f t="shared" si="92"/>
        <v>0</v>
      </c>
      <c r="Z234" s="9">
        <f t="shared" si="93"/>
        <v>0</v>
      </c>
      <c r="AA234" s="10">
        <f t="shared" si="94"/>
        <v>0</v>
      </c>
    </row>
    <row r="235" spans="1:27" x14ac:dyDescent="0.3">
      <c r="A235" s="18" t="s">
        <v>1303</v>
      </c>
      <c r="B235" s="4">
        <f t="shared" si="72"/>
        <v>0</v>
      </c>
      <c r="C235" s="4">
        <f t="shared" si="73"/>
        <v>0</v>
      </c>
      <c r="D235" s="4">
        <f t="shared" si="74"/>
        <v>0</v>
      </c>
      <c r="E235" s="4">
        <f t="shared" si="75"/>
        <v>0</v>
      </c>
      <c r="F235" s="4">
        <f t="shared" si="76"/>
        <v>1</v>
      </c>
      <c r="G235" s="4">
        <f t="shared" si="77"/>
        <v>0</v>
      </c>
      <c r="I235" s="8" t="s">
        <v>977</v>
      </c>
      <c r="J235" s="9">
        <f t="shared" si="78"/>
        <v>1</v>
      </c>
      <c r="K235" s="9">
        <f t="shared" si="95"/>
        <v>0</v>
      </c>
      <c r="L235" s="9">
        <f t="shared" si="79"/>
        <v>0</v>
      </c>
      <c r="M235" s="9">
        <f t="shared" si="80"/>
        <v>0</v>
      </c>
      <c r="N235" s="9">
        <f t="shared" si="81"/>
        <v>0</v>
      </c>
      <c r="O235" s="9">
        <f t="shared" si="82"/>
        <v>0</v>
      </c>
      <c r="P235" s="9">
        <f t="shared" si="83"/>
        <v>0</v>
      </c>
      <c r="Q235" s="9">
        <f t="shared" si="84"/>
        <v>0</v>
      </c>
      <c r="R235" s="9">
        <f t="shared" si="85"/>
        <v>0</v>
      </c>
      <c r="S235" s="9">
        <f t="shared" si="86"/>
        <v>0</v>
      </c>
      <c r="T235" s="9">
        <f t="shared" si="87"/>
        <v>0</v>
      </c>
      <c r="U235" s="9">
        <f t="shared" si="88"/>
        <v>0</v>
      </c>
      <c r="V235" s="9">
        <f t="shared" si="89"/>
        <v>0</v>
      </c>
      <c r="W235" s="9">
        <f t="shared" si="90"/>
        <v>0</v>
      </c>
      <c r="X235" s="9">
        <f t="shared" si="91"/>
        <v>0</v>
      </c>
      <c r="Y235" s="9">
        <f t="shared" si="92"/>
        <v>0</v>
      </c>
      <c r="Z235" s="9">
        <f t="shared" si="93"/>
        <v>0</v>
      </c>
      <c r="AA235" s="10">
        <f t="shared" si="94"/>
        <v>0</v>
      </c>
    </row>
    <row r="236" spans="1:27" x14ac:dyDescent="0.3">
      <c r="A236" s="4" t="s">
        <v>1302</v>
      </c>
      <c r="B236" s="4">
        <f t="shared" si="72"/>
        <v>1</v>
      </c>
      <c r="C236" s="4">
        <f t="shared" si="73"/>
        <v>0</v>
      </c>
      <c r="D236" s="4">
        <f t="shared" si="74"/>
        <v>0</v>
      </c>
      <c r="E236" s="4">
        <f t="shared" si="75"/>
        <v>0</v>
      </c>
      <c r="F236" s="4">
        <f t="shared" si="76"/>
        <v>0</v>
      </c>
      <c r="G236" s="4">
        <f t="shared" si="77"/>
        <v>0</v>
      </c>
      <c r="I236" s="11" t="s">
        <v>988</v>
      </c>
      <c r="J236" s="9">
        <f t="shared" si="78"/>
        <v>0</v>
      </c>
      <c r="K236" s="9">
        <f t="shared" si="95"/>
        <v>0</v>
      </c>
      <c r="L236" s="9">
        <f t="shared" si="79"/>
        <v>1</v>
      </c>
      <c r="M236" s="9">
        <f t="shared" si="80"/>
        <v>0</v>
      </c>
      <c r="N236" s="9">
        <f t="shared" si="81"/>
        <v>0</v>
      </c>
      <c r="O236" s="9">
        <f t="shared" si="82"/>
        <v>0</v>
      </c>
      <c r="P236" s="9">
        <f t="shared" si="83"/>
        <v>0</v>
      </c>
      <c r="Q236" s="9">
        <f t="shared" si="84"/>
        <v>0</v>
      </c>
      <c r="R236" s="9">
        <f t="shared" si="85"/>
        <v>0</v>
      </c>
      <c r="S236" s="9">
        <f t="shared" si="86"/>
        <v>0</v>
      </c>
      <c r="T236" s="9">
        <f t="shared" si="87"/>
        <v>0</v>
      </c>
      <c r="U236" s="9">
        <f t="shared" si="88"/>
        <v>0</v>
      </c>
      <c r="V236" s="9">
        <f t="shared" si="89"/>
        <v>0</v>
      </c>
      <c r="W236" s="9">
        <f t="shared" si="90"/>
        <v>0</v>
      </c>
      <c r="X236" s="9">
        <f t="shared" si="91"/>
        <v>0</v>
      </c>
      <c r="Y236" s="9">
        <f t="shared" si="92"/>
        <v>0</v>
      </c>
      <c r="Z236" s="9">
        <f t="shared" si="93"/>
        <v>0</v>
      </c>
      <c r="AA236" s="10">
        <f t="shared" si="94"/>
        <v>0</v>
      </c>
    </row>
    <row r="237" spans="1:27" x14ac:dyDescent="0.3">
      <c r="A237" s="18" t="s">
        <v>1305</v>
      </c>
      <c r="B237" s="4">
        <f t="shared" si="72"/>
        <v>0</v>
      </c>
      <c r="C237" s="4">
        <f t="shared" si="73"/>
        <v>0</v>
      </c>
      <c r="D237" s="4">
        <f t="shared" si="74"/>
        <v>0</v>
      </c>
      <c r="E237" s="4">
        <f t="shared" si="75"/>
        <v>0</v>
      </c>
      <c r="F237" s="4">
        <f t="shared" si="76"/>
        <v>0</v>
      </c>
      <c r="G237" s="4">
        <f t="shared" si="77"/>
        <v>1</v>
      </c>
      <c r="I237" s="8" t="s">
        <v>977</v>
      </c>
      <c r="J237" s="9">
        <f t="shared" si="78"/>
        <v>1</v>
      </c>
      <c r="K237" s="9">
        <f t="shared" si="95"/>
        <v>0</v>
      </c>
      <c r="L237" s="9">
        <f t="shared" si="79"/>
        <v>0</v>
      </c>
      <c r="M237" s="9">
        <f t="shared" si="80"/>
        <v>0</v>
      </c>
      <c r="N237" s="9">
        <f t="shared" si="81"/>
        <v>0</v>
      </c>
      <c r="O237" s="9">
        <f t="shared" si="82"/>
        <v>0</v>
      </c>
      <c r="P237" s="9">
        <f t="shared" si="83"/>
        <v>0</v>
      </c>
      <c r="Q237" s="9">
        <f t="shared" si="84"/>
        <v>0</v>
      </c>
      <c r="R237" s="9">
        <f t="shared" si="85"/>
        <v>0</v>
      </c>
      <c r="S237" s="9">
        <f t="shared" si="86"/>
        <v>0</v>
      </c>
      <c r="T237" s="9">
        <f t="shared" si="87"/>
        <v>0</v>
      </c>
      <c r="U237" s="9">
        <f t="shared" si="88"/>
        <v>0</v>
      </c>
      <c r="V237" s="9">
        <f t="shared" si="89"/>
        <v>0</v>
      </c>
      <c r="W237" s="9">
        <f t="shared" si="90"/>
        <v>0</v>
      </c>
      <c r="X237" s="9">
        <f t="shared" si="91"/>
        <v>0</v>
      </c>
      <c r="Y237" s="9">
        <f t="shared" si="92"/>
        <v>0</v>
      </c>
      <c r="Z237" s="9">
        <f t="shared" si="93"/>
        <v>0</v>
      </c>
      <c r="AA237" s="10">
        <f t="shared" si="94"/>
        <v>0</v>
      </c>
    </row>
    <row r="238" spans="1:27" x14ac:dyDescent="0.3">
      <c r="A238" s="4" t="s">
        <v>1294</v>
      </c>
      <c r="B238" s="4">
        <f t="shared" si="72"/>
        <v>0</v>
      </c>
      <c r="C238" s="4">
        <f t="shared" si="73"/>
        <v>0</v>
      </c>
      <c r="D238" s="4">
        <f t="shared" si="74"/>
        <v>0</v>
      </c>
      <c r="E238" s="4">
        <f t="shared" si="75"/>
        <v>0</v>
      </c>
      <c r="F238" s="4">
        <f t="shared" si="76"/>
        <v>0</v>
      </c>
      <c r="G238" s="4">
        <f t="shared" si="77"/>
        <v>0</v>
      </c>
      <c r="I238" s="11" t="s">
        <v>994</v>
      </c>
      <c r="J238" s="9">
        <f t="shared" si="78"/>
        <v>0</v>
      </c>
      <c r="K238" s="9">
        <f t="shared" si="95"/>
        <v>0</v>
      </c>
      <c r="L238" s="9">
        <f t="shared" si="79"/>
        <v>0</v>
      </c>
      <c r="M238" s="9">
        <f t="shared" si="80"/>
        <v>0</v>
      </c>
      <c r="N238" s="9">
        <f t="shared" si="81"/>
        <v>0</v>
      </c>
      <c r="O238" s="9">
        <f t="shared" si="82"/>
        <v>0</v>
      </c>
      <c r="P238" s="9">
        <f t="shared" si="83"/>
        <v>1</v>
      </c>
      <c r="Q238" s="9">
        <f t="shared" si="84"/>
        <v>0</v>
      </c>
      <c r="R238" s="9">
        <f t="shared" si="85"/>
        <v>0</v>
      </c>
      <c r="S238" s="9">
        <f t="shared" si="86"/>
        <v>0</v>
      </c>
      <c r="T238" s="9">
        <f t="shared" si="87"/>
        <v>0</v>
      </c>
      <c r="U238" s="9">
        <f t="shared" si="88"/>
        <v>0</v>
      </c>
      <c r="V238" s="9">
        <f t="shared" si="89"/>
        <v>0</v>
      </c>
      <c r="W238" s="9">
        <f t="shared" si="90"/>
        <v>0</v>
      </c>
      <c r="X238" s="9">
        <f t="shared" si="91"/>
        <v>0</v>
      </c>
      <c r="Y238" s="9">
        <f t="shared" si="92"/>
        <v>0</v>
      </c>
      <c r="Z238" s="9">
        <f t="shared" si="93"/>
        <v>0</v>
      </c>
      <c r="AA238" s="10">
        <f t="shared" si="94"/>
        <v>0</v>
      </c>
    </row>
    <row r="239" spans="1:27" x14ac:dyDescent="0.3">
      <c r="A239" s="18" t="s">
        <v>1303</v>
      </c>
      <c r="B239" s="4">
        <f t="shared" si="72"/>
        <v>0</v>
      </c>
      <c r="C239" s="4">
        <f t="shared" si="73"/>
        <v>0</v>
      </c>
      <c r="D239" s="4">
        <f t="shared" si="74"/>
        <v>0</v>
      </c>
      <c r="E239" s="4">
        <f t="shared" si="75"/>
        <v>0</v>
      </c>
      <c r="F239" s="4">
        <f t="shared" si="76"/>
        <v>1</v>
      </c>
      <c r="G239" s="4">
        <f t="shared" si="77"/>
        <v>0</v>
      </c>
      <c r="I239" s="8" t="s">
        <v>988</v>
      </c>
      <c r="J239" s="9">
        <f t="shared" si="78"/>
        <v>0</v>
      </c>
      <c r="K239" s="9">
        <f t="shared" si="95"/>
        <v>0</v>
      </c>
      <c r="L239" s="9">
        <f t="shared" si="79"/>
        <v>1</v>
      </c>
      <c r="M239" s="9">
        <f t="shared" si="80"/>
        <v>0</v>
      </c>
      <c r="N239" s="9">
        <f t="shared" si="81"/>
        <v>0</v>
      </c>
      <c r="O239" s="9">
        <f t="shared" si="82"/>
        <v>0</v>
      </c>
      <c r="P239" s="9">
        <f t="shared" si="83"/>
        <v>0</v>
      </c>
      <c r="Q239" s="9">
        <f t="shared" si="84"/>
        <v>0</v>
      </c>
      <c r="R239" s="9">
        <f t="shared" si="85"/>
        <v>0</v>
      </c>
      <c r="S239" s="9">
        <f t="shared" si="86"/>
        <v>0</v>
      </c>
      <c r="T239" s="9">
        <f t="shared" si="87"/>
        <v>0</v>
      </c>
      <c r="U239" s="9">
        <f t="shared" si="88"/>
        <v>0</v>
      </c>
      <c r="V239" s="9">
        <f t="shared" si="89"/>
        <v>0</v>
      </c>
      <c r="W239" s="9">
        <f t="shared" si="90"/>
        <v>0</v>
      </c>
      <c r="X239" s="9">
        <f t="shared" si="91"/>
        <v>0</v>
      </c>
      <c r="Y239" s="9">
        <f t="shared" si="92"/>
        <v>0</v>
      </c>
      <c r="Z239" s="9">
        <f t="shared" si="93"/>
        <v>0</v>
      </c>
      <c r="AA239" s="10">
        <f t="shared" si="94"/>
        <v>0</v>
      </c>
    </row>
    <row r="240" spans="1:27" x14ac:dyDescent="0.3">
      <c r="A240" s="4" t="s">
        <v>1305</v>
      </c>
      <c r="B240" s="4">
        <f t="shared" si="72"/>
        <v>0</v>
      </c>
      <c r="C240" s="4">
        <f t="shared" si="73"/>
        <v>0</v>
      </c>
      <c r="D240" s="4">
        <f t="shared" si="74"/>
        <v>0</v>
      </c>
      <c r="E240" s="4">
        <f t="shared" si="75"/>
        <v>0</v>
      </c>
      <c r="F240" s="4">
        <f t="shared" si="76"/>
        <v>0</v>
      </c>
      <c r="G240" s="4">
        <f t="shared" si="77"/>
        <v>1</v>
      </c>
      <c r="I240" s="11" t="s">
        <v>1011</v>
      </c>
      <c r="J240" s="9">
        <f t="shared" si="78"/>
        <v>0</v>
      </c>
      <c r="K240" s="9">
        <f t="shared" si="95"/>
        <v>0</v>
      </c>
      <c r="L240" s="9">
        <f t="shared" si="79"/>
        <v>0</v>
      </c>
      <c r="M240" s="9">
        <f t="shared" si="80"/>
        <v>0</v>
      </c>
      <c r="N240" s="9">
        <f t="shared" si="81"/>
        <v>0</v>
      </c>
      <c r="O240" s="9">
        <f t="shared" si="82"/>
        <v>0</v>
      </c>
      <c r="P240" s="9">
        <f t="shared" si="83"/>
        <v>0</v>
      </c>
      <c r="Q240" s="9">
        <f t="shared" si="84"/>
        <v>0</v>
      </c>
      <c r="R240" s="9">
        <f t="shared" si="85"/>
        <v>0</v>
      </c>
      <c r="S240" s="9">
        <f t="shared" si="86"/>
        <v>1</v>
      </c>
      <c r="T240" s="9">
        <f t="shared" si="87"/>
        <v>0</v>
      </c>
      <c r="U240" s="9">
        <f t="shared" si="88"/>
        <v>0</v>
      </c>
      <c r="V240" s="9">
        <f t="shared" si="89"/>
        <v>0</v>
      </c>
      <c r="W240" s="9">
        <f t="shared" si="90"/>
        <v>0</v>
      </c>
      <c r="X240" s="9">
        <f t="shared" si="91"/>
        <v>0</v>
      </c>
      <c r="Y240" s="9">
        <f t="shared" si="92"/>
        <v>0</v>
      </c>
      <c r="Z240" s="9">
        <f t="shared" si="93"/>
        <v>0</v>
      </c>
      <c r="AA240" s="10">
        <f t="shared" si="94"/>
        <v>0</v>
      </c>
    </row>
    <row r="241" spans="1:27" x14ac:dyDescent="0.3">
      <c r="A241" s="18" t="s">
        <v>1304</v>
      </c>
      <c r="B241" s="4">
        <f t="shared" si="72"/>
        <v>0</v>
      </c>
      <c r="C241" s="4">
        <f t="shared" si="73"/>
        <v>1</v>
      </c>
      <c r="D241" s="4">
        <f t="shared" si="74"/>
        <v>0</v>
      </c>
      <c r="E241" s="4">
        <f t="shared" si="75"/>
        <v>0</v>
      </c>
      <c r="F241" s="4">
        <f t="shared" si="76"/>
        <v>0</v>
      </c>
      <c r="G241" s="4">
        <f t="shared" si="77"/>
        <v>0</v>
      </c>
      <c r="I241" s="8" t="s">
        <v>988</v>
      </c>
      <c r="J241" s="9">
        <f t="shared" si="78"/>
        <v>0</v>
      </c>
      <c r="K241" s="9">
        <f t="shared" si="95"/>
        <v>0</v>
      </c>
      <c r="L241" s="9">
        <f t="shared" si="79"/>
        <v>1</v>
      </c>
      <c r="M241" s="9">
        <f t="shared" si="80"/>
        <v>0</v>
      </c>
      <c r="N241" s="9">
        <f t="shared" si="81"/>
        <v>0</v>
      </c>
      <c r="O241" s="9">
        <f t="shared" si="82"/>
        <v>0</v>
      </c>
      <c r="P241" s="9">
        <f t="shared" si="83"/>
        <v>0</v>
      </c>
      <c r="Q241" s="9">
        <f t="shared" si="84"/>
        <v>0</v>
      </c>
      <c r="R241" s="9">
        <f t="shared" si="85"/>
        <v>0</v>
      </c>
      <c r="S241" s="9">
        <f t="shared" si="86"/>
        <v>0</v>
      </c>
      <c r="T241" s="9">
        <f t="shared" si="87"/>
        <v>0</v>
      </c>
      <c r="U241" s="9">
        <f t="shared" si="88"/>
        <v>0</v>
      </c>
      <c r="V241" s="9">
        <f t="shared" si="89"/>
        <v>0</v>
      </c>
      <c r="W241" s="9">
        <f t="shared" si="90"/>
        <v>0</v>
      </c>
      <c r="X241" s="9">
        <f t="shared" si="91"/>
        <v>0</v>
      </c>
      <c r="Y241" s="9">
        <f t="shared" si="92"/>
        <v>0</v>
      </c>
      <c r="Z241" s="9">
        <f t="shared" si="93"/>
        <v>0</v>
      </c>
      <c r="AA241" s="10">
        <f t="shared" si="94"/>
        <v>0</v>
      </c>
    </row>
    <row r="242" spans="1:27" x14ac:dyDescent="0.3">
      <c r="A242" s="4" t="s">
        <v>1303</v>
      </c>
      <c r="B242" s="4">
        <f t="shared" si="72"/>
        <v>0</v>
      </c>
      <c r="C242" s="4">
        <f t="shared" si="73"/>
        <v>0</v>
      </c>
      <c r="D242" s="4">
        <f t="shared" si="74"/>
        <v>0</v>
      </c>
      <c r="E242" s="4">
        <f t="shared" si="75"/>
        <v>0</v>
      </c>
      <c r="F242" s="4">
        <f t="shared" si="76"/>
        <v>1</v>
      </c>
      <c r="G242" s="4">
        <f t="shared" si="77"/>
        <v>0</v>
      </c>
      <c r="I242" s="11" t="s">
        <v>977</v>
      </c>
      <c r="J242" s="9">
        <f t="shared" si="78"/>
        <v>1</v>
      </c>
      <c r="K242" s="9">
        <f t="shared" si="95"/>
        <v>0</v>
      </c>
      <c r="L242" s="9">
        <f t="shared" si="79"/>
        <v>0</v>
      </c>
      <c r="M242" s="9">
        <f t="shared" si="80"/>
        <v>0</v>
      </c>
      <c r="N242" s="9">
        <f t="shared" si="81"/>
        <v>0</v>
      </c>
      <c r="O242" s="9">
        <f t="shared" si="82"/>
        <v>0</v>
      </c>
      <c r="P242" s="9">
        <f t="shared" si="83"/>
        <v>0</v>
      </c>
      <c r="Q242" s="9">
        <f t="shared" si="84"/>
        <v>0</v>
      </c>
      <c r="R242" s="9">
        <f t="shared" si="85"/>
        <v>0</v>
      </c>
      <c r="S242" s="9">
        <f t="shared" si="86"/>
        <v>0</v>
      </c>
      <c r="T242" s="9">
        <f t="shared" si="87"/>
        <v>0</v>
      </c>
      <c r="U242" s="9">
        <f t="shared" si="88"/>
        <v>0</v>
      </c>
      <c r="V242" s="9">
        <f t="shared" si="89"/>
        <v>0</v>
      </c>
      <c r="W242" s="9">
        <f t="shared" si="90"/>
        <v>0</v>
      </c>
      <c r="X242" s="9">
        <f t="shared" si="91"/>
        <v>0</v>
      </c>
      <c r="Y242" s="9">
        <f t="shared" si="92"/>
        <v>0</v>
      </c>
      <c r="Z242" s="9">
        <f t="shared" si="93"/>
        <v>0</v>
      </c>
      <c r="AA242" s="10">
        <f t="shared" si="94"/>
        <v>0</v>
      </c>
    </row>
    <row r="243" spans="1:27" x14ac:dyDescent="0.3">
      <c r="A243" s="18" t="s">
        <v>1114</v>
      </c>
      <c r="B243" s="4">
        <f t="shared" si="72"/>
        <v>0</v>
      </c>
      <c r="C243" s="4">
        <f t="shared" si="73"/>
        <v>0</v>
      </c>
      <c r="D243" s="4">
        <f t="shared" si="74"/>
        <v>0</v>
      </c>
      <c r="E243" s="4">
        <f t="shared" si="75"/>
        <v>1</v>
      </c>
      <c r="F243" s="4">
        <f t="shared" si="76"/>
        <v>0</v>
      </c>
      <c r="G243" s="4">
        <f t="shared" si="77"/>
        <v>0</v>
      </c>
      <c r="I243" s="8" t="s">
        <v>1011</v>
      </c>
      <c r="J243" s="9">
        <f t="shared" si="78"/>
        <v>0</v>
      </c>
      <c r="K243" s="9">
        <f t="shared" si="95"/>
        <v>0</v>
      </c>
      <c r="L243" s="9">
        <f t="shared" si="79"/>
        <v>0</v>
      </c>
      <c r="M243" s="9">
        <f t="shared" si="80"/>
        <v>0</v>
      </c>
      <c r="N243" s="9">
        <f t="shared" si="81"/>
        <v>0</v>
      </c>
      <c r="O243" s="9">
        <f t="shared" si="82"/>
        <v>0</v>
      </c>
      <c r="P243" s="9">
        <f t="shared" si="83"/>
        <v>0</v>
      </c>
      <c r="Q243" s="9">
        <f t="shared" si="84"/>
        <v>0</v>
      </c>
      <c r="R243" s="9">
        <f t="shared" si="85"/>
        <v>0</v>
      </c>
      <c r="S243" s="9">
        <f t="shared" si="86"/>
        <v>1</v>
      </c>
      <c r="T243" s="9">
        <f t="shared" si="87"/>
        <v>0</v>
      </c>
      <c r="U243" s="9">
        <f t="shared" si="88"/>
        <v>0</v>
      </c>
      <c r="V243" s="9">
        <f t="shared" si="89"/>
        <v>0</v>
      </c>
      <c r="W243" s="9">
        <f t="shared" si="90"/>
        <v>0</v>
      </c>
      <c r="X243" s="9">
        <f t="shared" si="91"/>
        <v>0</v>
      </c>
      <c r="Y243" s="9">
        <f t="shared" si="92"/>
        <v>0</v>
      </c>
      <c r="Z243" s="9">
        <f t="shared" si="93"/>
        <v>0</v>
      </c>
      <c r="AA243" s="10">
        <f t="shared" si="94"/>
        <v>0</v>
      </c>
    </row>
    <row r="244" spans="1:27" x14ac:dyDescent="0.3">
      <c r="A244" s="4" t="s">
        <v>1303</v>
      </c>
      <c r="B244" s="4">
        <f t="shared" si="72"/>
        <v>0</v>
      </c>
      <c r="C244" s="4">
        <f t="shared" si="73"/>
        <v>0</v>
      </c>
      <c r="D244" s="4">
        <f t="shared" si="74"/>
        <v>0</v>
      </c>
      <c r="E244" s="4">
        <f t="shared" si="75"/>
        <v>0</v>
      </c>
      <c r="F244" s="4">
        <f t="shared" si="76"/>
        <v>1</v>
      </c>
      <c r="G244" s="4">
        <f t="shared" si="77"/>
        <v>0</v>
      </c>
      <c r="I244" s="11" t="s">
        <v>1088</v>
      </c>
      <c r="J244" s="9">
        <f t="shared" si="78"/>
        <v>0</v>
      </c>
      <c r="K244" s="9">
        <f t="shared" si="95"/>
        <v>0</v>
      </c>
      <c r="L244" s="9">
        <f t="shared" si="79"/>
        <v>0</v>
      </c>
      <c r="M244" s="9">
        <f t="shared" si="80"/>
        <v>0</v>
      </c>
      <c r="N244" s="9">
        <f t="shared" si="81"/>
        <v>0</v>
      </c>
      <c r="O244" s="9">
        <f t="shared" si="82"/>
        <v>0</v>
      </c>
      <c r="P244" s="9">
        <f t="shared" si="83"/>
        <v>0</v>
      </c>
      <c r="Q244" s="9">
        <f t="shared" si="84"/>
        <v>0</v>
      </c>
      <c r="R244" s="9">
        <f t="shared" si="85"/>
        <v>0</v>
      </c>
      <c r="S244" s="9">
        <f t="shared" si="86"/>
        <v>0</v>
      </c>
      <c r="T244" s="9">
        <f t="shared" si="87"/>
        <v>0</v>
      </c>
      <c r="U244" s="9">
        <f t="shared" si="88"/>
        <v>0</v>
      </c>
      <c r="V244" s="9">
        <f t="shared" si="89"/>
        <v>0</v>
      </c>
      <c r="W244" s="9">
        <f t="shared" si="90"/>
        <v>0</v>
      </c>
      <c r="X244" s="9">
        <f t="shared" si="91"/>
        <v>0</v>
      </c>
      <c r="Y244" s="9">
        <f t="shared" si="92"/>
        <v>0</v>
      </c>
      <c r="Z244" s="9">
        <f t="shared" si="93"/>
        <v>1</v>
      </c>
      <c r="AA244" s="10">
        <f t="shared" si="94"/>
        <v>0</v>
      </c>
    </row>
    <row r="245" spans="1:27" x14ac:dyDescent="0.3">
      <c r="A245" s="18" t="s">
        <v>1303</v>
      </c>
      <c r="B245" s="4">
        <f t="shared" si="72"/>
        <v>0</v>
      </c>
      <c r="C245" s="4">
        <f t="shared" si="73"/>
        <v>0</v>
      </c>
      <c r="D245" s="4">
        <f t="shared" si="74"/>
        <v>0</v>
      </c>
      <c r="E245" s="4">
        <f t="shared" si="75"/>
        <v>0</v>
      </c>
      <c r="F245" s="4">
        <f t="shared" si="76"/>
        <v>1</v>
      </c>
      <c r="G245" s="4">
        <f t="shared" si="77"/>
        <v>0</v>
      </c>
      <c r="I245" s="8" t="s">
        <v>977</v>
      </c>
      <c r="J245" s="9">
        <f t="shared" si="78"/>
        <v>1</v>
      </c>
      <c r="K245" s="9">
        <f t="shared" si="95"/>
        <v>0</v>
      </c>
      <c r="L245" s="9">
        <f t="shared" si="79"/>
        <v>0</v>
      </c>
      <c r="M245" s="9">
        <f t="shared" si="80"/>
        <v>0</v>
      </c>
      <c r="N245" s="9">
        <f t="shared" si="81"/>
        <v>0</v>
      </c>
      <c r="O245" s="9">
        <f t="shared" si="82"/>
        <v>0</v>
      </c>
      <c r="P245" s="9">
        <f t="shared" si="83"/>
        <v>0</v>
      </c>
      <c r="Q245" s="9">
        <f t="shared" si="84"/>
        <v>0</v>
      </c>
      <c r="R245" s="9">
        <f t="shared" si="85"/>
        <v>0</v>
      </c>
      <c r="S245" s="9">
        <f t="shared" si="86"/>
        <v>0</v>
      </c>
      <c r="T245" s="9">
        <f t="shared" si="87"/>
        <v>0</v>
      </c>
      <c r="U245" s="9">
        <f t="shared" si="88"/>
        <v>0</v>
      </c>
      <c r="V245" s="9">
        <f t="shared" si="89"/>
        <v>0</v>
      </c>
      <c r="W245" s="9">
        <f t="shared" si="90"/>
        <v>0</v>
      </c>
      <c r="X245" s="9">
        <f t="shared" si="91"/>
        <v>0</v>
      </c>
      <c r="Y245" s="9">
        <f t="shared" si="92"/>
        <v>0</v>
      </c>
      <c r="Z245" s="9">
        <f t="shared" si="93"/>
        <v>0</v>
      </c>
      <c r="AA245" s="10">
        <f t="shared" si="94"/>
        <v>0</v>
      </c>
    </row>
    <row r="246" spans="1:27" x14ac:dyDescent="0.3">
      <c r="A246" s="4" t="s">
        <v>1302</v>
      </c>
      <c r="B246" s="4">
        <f t="shared" si="72"/>
        <v>1</v>
      </c>
      <c r="C246" s="4">
        <f t="shared" si="73"/>
        <v>0</v>
      </c>
      <c r="D246" s="4">
        <f t="shared" si="74"/>
        <v>0</v>
      </c>
      <c r="E246" s="4">
        <f t="shared" si="75"/>
        <v>0</v>
      </c>
      <c r="F246" s="4">
        <f t="shared" si="76"/>
        <v>0</v>
      </c>
      <c r="G246" s="4">
        <f t="shared" si="77"/>
        <v>0</v>
      </c>
      <c r="I246" s="11" t="s">
        <v>977</v>
      </c>
      <c r="J246" s="9">
        <f t="shared" si="78"/>
        <v>1</v>
      </c>
      <c r="K246" s="9">
        <f t="shared" si="95"/>
        <v>0</v>
      </c>
      <c r="L246" s="9">
        <f t="shared" si="79"/>
        <v>0</v>
      </c>
      <c r="M246" s="9">
        <f t="shared" si="80"/>
        <v>0</v>
      </c>
      <c r="N246" s="9">
        <f t="shared" si="81"/>
        <v>0</v>
      </c>
      <c r="O246" s="9">
        <f t="shared" si="82"/>
        <v>0</v>
      </c>
      <c r="P246" s="9">
        <f t="shared" si="83"/>
        <v>0</v>
      </c>
      <c r="Q246" s="9">
        <f t="shared" si="84"/>
        <v>0</v>
      </c>
      <c r="R246" s="9">
        <f t="shared" si="85"/>
        <v>0</v>
      </c>
      <c r="S246" s="9">
        <f t="shared" si="86"/>
        <v>0</v>
      </c>
      <c r="T246" s="9">
        <f t="shared" si="87"/>
        <v>0</v>
      </c>
      <c r="U246" s="9">
        <f t="shared" si="88"/>
        <v>0</v>
      </c>
      <c r="V246" s="9">
        <f t="shared" si="89"/>
        <v>0</v>
      </c>
      <c r="W246" s="9">
        <f t="shared" si="90"/>
        <v>0</v>
      </c>
      <c r="X246" s="9">
        <f t="shared" si="91"/>
        <v>0</v>
      </c>
      <c r="Y246" s="9">
        <f t="shared" si="92"/>
        <v>0</v>
      </c>
      <c r="Z246" s="9">
        <f t="shared" si="93"/>
        <v>0</v>
      </c>
      <c r="AA246" s="10">
        <f t="shared" si="94"/>
        <v>0</v>
      </c>
    </row>
    <row r="247" spans="1:27" x14ac:dyDescent="0.3">
      <c r="A247" s="18" t="s">
        <v>1303</v>
      </c>
      <c r="B247" s="4">
        <f t="shared" si="72"/>
        <v>0</v>
      </c>
      <c r="C247" s="4">
        <f t="shared" si="73"/>
        <v>0</v>
      </c>
      <c r="D247" s="4">
        <f t="shared" si="74"/>
        <v>0</v>
      </c>
      <c r="E247" s="4">
        <f t="shared" si="75"/>
        <v>0</v>
      </c>
      <c r="F247" s="4">
        <f t="shared" si="76"/>
        <v>1</v>
      </c>
      <c r="G247" s="4">
        <f t="shared" si="77"/>
        <v>0</v>
      </c>
      <c r="I247" s="8" t="s">
        <v>988</v>
      </c>
      <c r="J247" s="9">
        <f t="shared" si="78"/>
        <v>0</v>
      </c>
      <c r="K247" s="9">
        <f t="shared" si="95"/>
        <v>0</v>
      </c>
      <c r="L247" s="9">
        <f t="shared" si="79"/>
        <v>1</v>
      </c>
      <c r="M247" s="9">
        <f t="shared" si="80"/>
        <v>0</v>
      </c>
      <c r="N247" s="9">
        <f t="shared" si="81"/>
        <v>0</v>
      </c>
      <c r="O247" s="9">
        <f t="shared" si="82"/>
        <v>0</v>
      </c>
      <c r="P247" s="9">
        <f t="shared" si="83"/>
        <v>0</v>
      </c>
      <c r="Q247" s="9">
        <f t="shared" si="84"/>
        <v>0</v>
      </c>
      <c r="R247" s="9">
        <f t="shared" si="85"/>
        <v>0</v>
      </c>
      <c r="S247" s="9">
        <f t="shared" si="86"/>
        <v>0</v>
      </c>
      <c r="T247" s="9">
        <f t="shared" si="87"/>
        <v>0</v>
      </c>
      <c r="U247" s="9">
        <f t="shared" si="88"/>
        <v>0</v>
      </c>
      <c r="V247" s="9">
        <f t="shared" si="89"/>
        <v>0</v>
      </c>
      <c r="W247" s="9">
        <f t="shared" si="90"/>
        <v>0</v>
      </c>
      <c r="X247" s="9">
        <f t="shared" si="91"/>
        <v>0</v>
      </c>
      <c r="Y247" s="9">
        <f t="shared" si="92"/>
        <v>0</v>
      </c>
      <c r="Z247" s="9">
        <f t="shared" si="93"/>
        <v>0</v>
      </c>
      <c r="AA247" s="10">
        <f t="shared" si="94"/>
        <v>0</v>
      </c>
    </row>
    <row r="248" spans="1:27" x14ac:dyDescent="0.3">
      <c r="A248" s="4" t="s">
        <v>1294</v>
      </c>
      <c r="B248" s="4">
        <f t="shared" si="72"/>
        <v>0</v>
      </c>
      <c r="C248" s="4">
        <f t="shared" si="73"/>
        <v>0</v>
      </c>
      <c r="D248" s="4">
        <f t="shared" si="74"/>
        <v>0</v>
      </c>
      <c r="E248" s="4">
        <f t="shared" si="75"/>
        <v>0</v>
      </c>
      <c r="F248" s="4">
        <f t="shared" si="76"/>
        <v>0</v>
      </c>
      <c r="G248" s="4">
        <f t="shared" si="77"/>
        <v>0</v>
      </c>
      <c r="I248" s="11" t="s">
        <v>988</v>
      </c>
      <c r="J248" s="9">
        <f t="shared" si="78"/>
        <v>0</v>
      </c>
      <c r="K248" s="9">
        <f t="shared" si="95"/>
        <v>0</v>
      </c>
      <c r="L248" s="9">
        <f t="shared" si="79"/>
        <v>1</v>
      </c>
      <c r="M248" s="9">
        <f t="shared" si="80"/>
        <v>0</v>
      </c>
      <c r="N248" s="9">
        <f t="shared" si="81"/>
        <v>0</v>
      </c>
      <c r="O248" s="9">
        <f t="shared" si="82"/>
        <v>0</v>
      </c>
      <c r="P248" s="9">
        <f t="shared" si="83"/>
        <v>0</v>
      </c>
      <c r="Q248" s="9">
        <f t="shared" si="84"/>
        <v>0</v>
      </c>
      <c r="R248" s="9">
        <f t="shared" si="85"/>
        <v>0</v>
      </c>
      <c r="S248" s="9">
        <f t="shared" si="86"/>
        <v>0</v>
      </c>
      <c r="T248" s="9">
        <f t="shared" si="87"/>
        <v>0</v>
      </c>
      <c r="U248" s="9">
        <f t="shared" si="88"/>
        <v>0</v>
      </c>
      <c r="V248" s="9">
        <f t="shared" si="89"/>
        <v>0</v>
      </c>
      <c r="W248" s="9">
        <f t="shared" si="90"/>
        <v>0</v>
      </c>
      <c r="X248" s="9">
        <f t="shared" si="91"/>
        <v>0</v>
      </c>
      <c r="Y248" s="9">
        <f t="shared" si="92"/>
        <v>0</v>
      </c>
      <c r="Z248" s="9">
        <f t="shared" si="93"/>
        <v>0</v>
      </c>
      <c r="AA248" s="10">
        <f t="shared" si="94"/>
        <v>0</v>
      </c>
    </row>
    <row r="249" spans="1:27" x14ac:dyDescent="0.3">
      <c r="A249" s="18" t="s">
        <v>1302</v>
      </c>
      <c r="B249" s="4">
        <f t="shared" si="72"/>
        <v>1</v>
      </c>
      <c r="C249" s="4">
        <f t="shared" si="73"/>
        <v>0</v>
      </c>
      <c r="D249" s="4">
        <f t="shared" si="74"/>
        <v>0</v>
      </c>
      <c r="E249" s="4">
        <f t="shared" si="75"/>
        <v>0</v>
      </c>
      <c r="F249" s="4">
        <f t="shared" si="76"/>
        <v>0</v>
      </c>
      <c r="G249" s="4">
        <f t="shared" si="77"/>
        <v>0</v>
      </c>
      <c r="I249" s="8" t="s">
        <v>982</v>
      </c>
      <c r="J249" s="9">
        <f t="shared" si="78"/>
        <v>0</v>
      </c>
      <c r="K249" s="9">
        <f t="shared" si="95"/>
        <v>1</v>
      </c>
      <c r="L249" s="9">
        <f t="shared" si="79"/>
        <v>0</v>
      </c>
      <c r="M249" s="9">
        <f t="shared" si="80"/>
        <v>0</v>
      </c>
      <c r="N249" s="9">
        <f t="shared" si="81"/>
        <v>0</v>
      </c>
      <c r="O249" s="9">
        <f t="shared" si="82"/>
        <v>0</v>
      </c>
      <c r="P249" s="9">
        <f t="shared" si="83"/>
        <v>0</v>
      </c>
      <c r="Q249" s="9">
        <f t="shared" si="84"/>
        <v>0</v>
      </c>
      <c r="R249" s="9">
        <f t="shared" si="85"/>
        <v>0</v>
      </c>
      <c r="S249" s="9">
        <f t="shared" si="86"/>
        <v>0</v>
      </c>
      <c r="T249" s="9">
        <f t="shared" si="87"/>
        <v>0</v>
      </c>
      <c r="U249" s="9">
        <f t="shared" si="88"/>
        <v>0</v>
      </c>
      <c r="V249" s="9">
        <f t="shared" si="89"/>
        <v>0</v>
      </c>
      <c r="W249" s="9">
        <f t="shared" si="90"/>
        <v>0</v>
      </c>
      <c r="X249" s="9">
        <f t="shared" si="91"/>
        <v>0</v>
      </c>
      <c r="Y249" s="9">
        <f t="shared" si="92"/>
        <v>0</v>
      </c>
      <c r="Z249" s="9">
        <f t="shared" si="93"/>
        <v>0</v>
      </c>
      <c r="AA249" s="10">
        <f t="shared" si="94"/>
        <v>0</v>
      </c>
    </row>
    <row r="250" spans="1:27" x14ac:dyDescent="0.3">
      <c r="A250" s="4" t="s">
        <v>1305</v>
      </c>
      <c r="B250" s="4">
        <f t="shared" si="72"/>
        <v>0</v>
      </c>
      <c r="C250" s="4">
        <f t="shared" si="73"/>
        <v>0</v>
      </c>
      <c r="D250" s="4">
        <f t="shared" si="74"/>
        <v>0</v>
      </c>
      <c r="E250" s="4">
        <f t="shared" si="75"/>
        <v>0</v>
      </c>
      <c r="F250" s="4">
        <f t="shared" si="76"/>
        <v>0</v>
      </c>
      <c r="G250" s="4">
        <f t="shared" si="77"/>
        <v>1</v>
      </c>
      <c r="I250" s="11" t="s">
        <v>988</v>
      </c>
      <c r="J250" s="9">
        <f t="shared" si="78"/>
        <v>0</v>
      </c>
      <c r="K250" s="9">
        <f t="shared" si="95"/>
        <v>0</v>
      </c>
      <c r="L250" s="9">
        <f t="shared" si="79"/>
        <v>1</v>
      </c>
      <c r="M250" s="9">
        <f t="shared" si="80"/>
        <v>0</v>
      </c>
      <c r="N250" s="9">
        <f t="shared" si="81"/>
        <v>0</v>
      </c>
      <c r="O250" s="9">
        <f t="shared" si="82"/>
        <v>0</v>
      </c>
      <c r="P250" s="9">
        <f t="shared" si="83"/>
        <v>0</v>
      </c>
      <c r="Q250" s="9">
        <f t="shared" si="84"/>
        <v>0</v>
      </c>
      <c r="R250" s="9">
        <f t="shared" si="85"/>
        <v>0</v>
      </c>
      <c r="S250" s="9">
        <f t="shared" si="86"/>
        <v>0</v>
      </c>
      <c r="T250" s="9">
        <f t="shared" si="87"/>
        <v>0</v>
      </c>
      <c r="U250" s="9">
        <f t="shared" si="88"/>
        <v>0</v>
      </c>
      <c r="V250" s="9">
        <f t="shared" si="89"/>
        <v>0</v>
      </c>
      <c r="W250" s="9">
        <f t="shared" si="90"/>
        <v>0</v>
      </c>
      <c r="X250" s="9">
        <f t="shared" si="91"/>
        <v>0</v>
      </c>
      <c r="Y250" s="9">
        <f t="shared" si="92"/>
        <v>0</v>
      </c>
      <c r="Z250" s="9">
        <f t="shared" si="93"/>
        <v>0</v>
      </c>
      <c r="AA250" s="10">
        <f t="shared" si="94"/>
        <v>0</v>
      </c>
    </row>
    <row r="251" spans="1:27" x14ac:dyDescent="0.3">
      <c r="A251" s="18" t="s">
        <v>1302</v>
      </c>
      <c r="B251" s="4">
        <f t="shared" si="72"/>
        <v>1</v>
      </c>
      <c r="C251" s="4">
        <f t="shared" si="73"/>
        <v>0</v>
      </c>
      <c r="D251" s="4">
        <f t="shared" si="74"/>
        <v>0</v>
      </c>
      <c r="E251" s="4">
        <f t="shared" si="75"/>
        <v>0</v>
      </c>
      <c r="F251" s="4">
        <f t="shared" si="76"/>
        <v>0</v>
      </c>
      <c r="G251" s="4">
        <f t="shared" si="77"/>
        <v>0</v>
      </c>
      <c r="I251" s="8" t="s">
        <v>1294</v>
      </c>
      <c r="J251" s="9">
        <f t="shared" si="78"/>
        <v>0</v>
      </c>
      <c r="K251" s="9">
        <f t="shared" si="95"/>
        <v>0</v>
      </c>
      <c r="L251" s="9">
        <f t="shared" si="79"/>
        <v>0</v>
      </c>
      <c r="M251" s="9">
        <f t="shared" si="80"/>
        <v>0</v>
      </c>
      <c r="N251" s="9">
        <f t="shared" si="81"/>
        <v>0</v>
      </c>
      <c r="O251" s="9">
        <f t="shared" si="82"/>
        <v>0</v>
      </c>
      <c r="P251" s="9">
        <f t="shared" si="83"/>
        <v>0</v>
      </c>
      <c r="Q251" s="9">
        <f t="shared" si="84"/>
        <v>0</v>
      </c>
      <c r="R251" s="9">
        <f t="shared" si="85"/>
        <v>0</v>
      </c>
      <c r="S251" s="9">
        <f t="shared" si="86"/>
        <v>0</v>
      </c>
      <c r="T251" s="9">
        <f t="shared" si="87"/>
        <v>0</v>
      </c>
      <c r="U251" s="9">
        <f t="shared" si="88"/>
        <v>0</v>
      </c>
      <c r="V251" s="9">
        <f t="shared" si="89"/>
        <v>0</v>
      </c>
      <c r="W251" s="9">
        <f t="shared" si="90"/>
        <v>0</v>
      </c>
      <c r="X251" s="9">
        <f t="shared" si="91"/>
        <v>0</v>
      </c>
      <c r="Y251" s="9">
        <f t="shared" si="92"/>
        <v>0</v>
      </c>
      <c r="Z251" s="9">
        <f t="shared" si="93"/>
        <v>0</v>
      </c>
      <c r="AA251" s="10">
        <f t="shared" si="94"/>
        <v>0</v>
      </c>
    </row>
    <row r="252" spans="1:27" x14ac:dyDescent="0.3">
      <c r="A252" s="4" t="s">
        <v>1294</v>
      </c>
      <c r="B252" s="4">
        <f t="shared" si="72"/>
        <v>0</v>
      </c>
      <c r="C252" s="4">
        <f t="shared" si="73"/>
        <v>0</v>
      </c>
      <c r="D252" s="4">
        <f t="shared" si="74"/>
        <v>0</v>
      </c>
      <c r="E252" s="4">
        <f t="shared" si="75"/>
        <v>0</v>
      </c>
      <c r="F252" s="4">
        <f t="shared" si="76"/>
        <v>0</v>
      </c>
      <c r="G252" s="4">
        <f t="shared" si="77"/>
        <v>0</v>
      </c>
      <c r="I252" s="11" t="s">
        <v>1044</v>
      </c>
      <c r="J252" s="9">
        <f t="shared" si="78"/>
        <v>0</v>
      </c>
      <c r="K252" s="9">
        <f t="shared" si="95"/>
        <v>0</v>
      </c>
      <c r="L252" s="9">
        <f t="shared" si="79"/>
        <v>0</v>
      </c>
      <c r="M252" s="9">
        <f t="shared" si="80"/>
        <v>0</v>
      </c>
      <c r="N252" s="9">
        <f t="shared" si="81"/>
        <v>0</v>
      </c>
      <c r="O252" s="9">
        <f t="shared" si="82"/>
        <v>0</v>
      </c>
      <c r="P252" s="9">
        <f t="shared" si="83"/>
        <v>0</v>
      </c>
      <c r="Q252" s="9">
        <f t="shared" si="84"/>
        <v>0</v>
      </c>
      <c r="R252" s="9">
        <f t="shared" si="85"/>
        <v>0</v>
      </c>
      <c r="S252" s="9">
        <f t="shared" si="86"/>
        <v>0</v>
      </c>
      <c r="T252" s="9">
        <f t="shared" si="87"/>
        <v>0</v>
      </c>
      <c r="U252" s="9">
        <f t="shared" si="88"/>
        <v>1</v>
      </c>
      <c r="V252" s="9">
        <f t="shared" si="89"/>
        <v>0</v>
      </c>
      <c r="W252" s="9">
        <f t="shared" si="90"/>
        <v>0</v>
      </c>
      <c r="X252" s="9">
        <f t="shared" si="91"/>
        <v>0</v>
      </c>
      <c r="Y252" s="9">
        <f t="shared" si="92"/>
        <v>0</v>
      </c>
      <c r="Z252" s="9">
        <f t="shared" si="93"/>
        <v>0</v>
      </c>
      <c r="AA252" s="10">
        <f t="shared" si="94"/>
        <v>0</v>
      </c>
    </row>
    <row r="253" spans="1:27" x14ac:dyDescent="0.3">
      <c r="A253" s="18" t="s">
        <v>1303</v>
      </c>
      <c r="B253" s="4">
        <f t="shared" si="72"/>
        <v>0</v>
      </c>
      <c r="C253" s="4">
        <f t="shared" si="73"/>
        <v>0</v>
      </c>
      <c r="D253" s="4">
        <f t="shared" si="74"/>
        <v>0</v>
      </c>
      <c r="E253" s="4">
        <f t="shared" si="75"/>
        <v>0</v>
      </c>
      <c r="F253" s="4">
        <f t="shared" si="76"/>
        <v>1</v>
      </c>
      <c r="G253" s="4">
        <f t="shared" si="77"/>
        <v>0</v>
      </c>
      <c r="I253" s="8" t="s">
        <v>1294</v>
      </c>
      <c r="J253" s="9">
        <f t="shared" si="78"/>
        <v>0</v>
      </c>
      <c r="K253" s="9">
        <f t="shared" si="95"/>
        <v>0</v>
      </c>
      <c r="L253" s="9">
        <f t="shared" si="79"/>
        <v>0</v>
      </c>
      <c r="M253" s="9">
        <f t="shared" si="80"/>
        <v>0</v>
      </c>
      <c r="N253" s="9">
        <f t="shared" si="81"/>
        <v>0</v>
      </c>
      <c r="O253" s="9">
        <f t="shared" si="82"/>
        <v>0</v>
      </c>
      <c r="P253" s="9">
        <f t="shared" si="83"/>
        <v>0</v>
      </c>
      <c r="Q253" s="9">
        <f t="shared" si="84"/>
        <v>0</v>
      </c>
      <c r="R253" s="9">
        <f t="shared" si="85"/>
        <v>0</v>
      </c>
      <c r="S253" s="9">
        <f t="shared" si="86"/>
        <v>0</v>
      </c>
      <c r="T253" s="9">
        <f t="shared" si="87"/>
        <v>0</v>
      </c>
      <c r="U253" s="9">
        <f t="shared" si="88"/>
        <v>0</v>
      </c>
      <c r="V253" s="9">
        <f t="shared" si="89"/>
        <v>0</v>
      </c>
      <c r="W253" s="9">
        <f t="shared" si="90"/>
        <v>0</v>
      </c>
      <c r="X253" s="9">
        <f t="shared" si="91"/>
        <v>0</v>
      </c>
      <c r="Y253" s="9">
        <f t="shared" si="92"/>
        <v>0</v>
      </c>
      <c r="Z253" s="9">
        <f t="shared" si="93"/>
        <v>0</v>
      </c>
      <c r="AA253" s="10">
        <f t="shared" si="94"/>
        <v>0</v>
      </c>
    </row>
    <row r="254" spans="1:27" x14ac:dyDescent="0.3">
      <c r="A254" s="4" t="s">
        <v>1303</v>
      </c>
      <c r="B254" s="4">
        <f t="shared" si="72"/>
        <v>0</v>
      </c>
      <c r="C254" s="4">
        <f t="shared" si="73"/>
        <v>0</v>
      </c>
      <c r="D254" s="4">
        <f t="shared" si="74"/>
        <v>0</v>
      </c>
      <c r="E254" s="4">
        <f t="shared" si="75"/>
        <v>0</v>
      </c>
      <c r="F254" s="4">
        <f t="shared" si="76"/>
        <v>1</v>
      </c>
      <c r="G254" s="4">
        <f t="shared" si="77"/>
        <v>0</v>
      </c>
      <c r="I254" s="11" t="s">
        <v>1294</v>
      </c>
      <c r="J254" s="9">
        <f t="shared" si="78"/>
        <v>0</v>
      </c>
      <c r="K254" s="9">
        <f t="shared" si="95"/>
        <v>0</v>
      </c>
      <c r="L254" s="9">
        <f t="shared" si="79"/>
        <v>0</v>
      </c>
      <c r="M254" s="9">
        <f t="shared" si="80"/>
        <v>0</v>
      </c>
      <c r="N254" s="9">
        <f t="shared" si="81"/>
        <v>0</v>
      </c>
      <c r="O254" s="9">
        <f t="shared" si="82"/>
        <v>0</v>
      </c>
      <c r="P254" s="9">
        <f t="shared" si="83"/>
        <v>0</v>
      </c>
      <c r="Q254" s="9">
        <f t="shared" si="84"/>
        <v>0</v>
      </c>
      <c r="R254" s="9">
        <f t="shared" si="85"/>
        <v>0</v>
      </c>
      <c r="S254" s="9">
        <f t="shared" si="86"/>
        <v>0</v>
      </c>
      <c r="T254" s="9">
        <f t="shared" si="87"/>
        <v>0</v>
      </c>
      <c r="U254" s="9">
        <f t="shared" si="88"/>
        <v>0</v>
      </c>
      <c r="V254" s="9">
        <f t="shared" si="89"/>
        <v>0</v>
      </c>
      <c r="W254" s="9">
        <f t="shared" si="90"/>
        <v>0</v>
      </c>
      <c r="X254" s="9">
        <f t="shared" si="91"/>
        <v>0</v>
      </c>
      <c r="Y254" s="9">
        <f t="shared" si="92"/>
        <v>0</v>
      </c>
      <c r="Z254" s="9">
        <f t="shared" si="93"/>
        <v>0</v>
      </c>
      <c r="AA254" s="10">
        <f t="shared" si="94"/>
        <v>0</v>
      </c>
    </row>
    <row r="255" spans="1:27" x14ac:dyDescent="0.3">
      <c r="A255" s="18" t="s">
        <v>1303</v>
      </c>
      <c r="B255" s="4">
        <f t="shared" si="72"/>
        <v>0</v>
      </c>
      <c r="C255" s="4">
        <f t="shared" si="73"/>
        <v>0</v>
      </c>
      <c r="D255" s="4">
        <f t="shared" si="74"/>
        <v>0</v>
      </c>
      <c r="E255" s="4">
        <f t="shared" si="75"/>
        <v>0</v>
      </c>
      <c r="F255" s="4">
        <f t="shared" si="76"/>
        <v>1</v>
      </c>
      <c r="G255" s="4">
        <f t="shared" si="77"/>
        <v>0</v>
      </c>
      <c r="I255" s="8" t="s">
        <v>977</v>
      </c>
      <c r="J255" s="9">
        <f t="shared" si="78"/>
        <v>1</v>
      </c>
      <c r="K255" s="9">
        <f t="shared" si="95"/>
        <v>0</v>
      </c>
      <c r="L255" s="9">
        <f t="shared" si="79"/>
        <v>0</v>
      </c>
      <c r="M255" s="9">
        <f t="shared" si="80"/>
        <v>0</v>
      </c>
      <c r="N255" s="9">
        <f t="shared" si="81"/>
        <v>0</v>
      </c>
      <c r="O255" s="9">
        <f t="shared" si="82"/>
        <v>0</v>
      </c>
      <c r="P255" s="9">
        <f t="shared" si="83"/>
        <v>0</v>
      </c>
      <c r="Q255" s="9">
        <f t="shared" si="84"/>
        <v>0</v>
      </c>
      <c r="R255" s="9">
        <f t="shared" si="85"/>
        <v>0</v>
      </c>
      <c r="S255" s="9">
        <f t="shared" si="86"/>
        <v>0</v>
      </c>
      <c r="T255" s="9">
        <f t="shared" si="87"/>
        <v>0</v>
      </c>
      <c r="U255" s="9">
        <f t="shared" si="88"/>
        <v>0</v>
      </c>
      <c r="V255" s="9">
        <f t="shared" si="89"/>
        <v>0</v>
      </c>
      <c r="W255" s="9">
        <f t="shared" si="90"/>
        <v>0</v>
      </c>
      <c r="X255" s="9">
        <f t="shared" si="91"/>
        <v>0</v>
      </c>
      <c r="Y255" s="9">
        <f t="shared" si="92"/>
        <v>0</v>
      </c>
      <c r="Z255" s="9">
        <f t="shared" si="93"/>
        <v>0</v>
      </c>
      <c r="AA255" s="10">
        <f t="shared" si="94"/>
        <v>0</v>
      </c>
    </row>
    <row r="256" spans="1:27" x14ac:dyDescent="0.3">
      <c r="A256" s="4" t="s">
        <v>1304</v>
      </c>
      <c r="B256" s="4">
        <f t="shared" si="72"/>
        <v>0</v>
      </c>
      <c r="C256" s="4">
        <f t="shared" si="73"/>
        <v>1</v>
      </c>
      <c r="D256" s="4">
        <f t="shared" si="74"/>
        <v>0</v>
      </c>
      <c r="E256" s="4">
        <f t="shared" si="75"/>
        <v>0</v>
      </c>
      <c r="F256" s="4">
        <f t="shared" si="76"/>
        <v>0</v>
      </c>
      <c r="G256" s="4">
        <f t="shared" si="77"/>
        <v>0</v>
      </c>
      <c r="I256" s="11" t="s">
        <v>977</v>
      </c>
      <c r="J256" s="9">
        <f t="shared" si="78"/>
        <v>1</v>
      </c>
      <c r="K256" s="9">
        <f t="shared" si="95"/>
        <v>0</v>
      </c>
      <c r="L256" s="9">
        <f t="shared" si="79"/>
        <v>0</v>
      </c>
      <c r="M256" s="9">
        <f t="shared" si="80"/>
        <v>0</v>
      </c>
      <c r="N256" s="9">
        <f t="shared" si="81"/>
        <v>0</v>
      </c>
      <c r="O256" s="9">
        <f t="shared" si="82"/>
        <v>0</v>
      </c>
      <c r="P256" s="9">
        <f t="shared" si="83"/>
        <v>0</v>
      </c>
      <c r="Q256" s="9">
        <f t="shared" si="84"/>
        <v>0</v>
      </c>
      <c r="R256" s="9">
        <f t="shared" si="85"/>
        <v>0</v>
      </c>
      <c r="S256" s="9">
        <f t="shared" si="86"/>
        <v>0</v>
      </c>
      <c r="T256" s="9">
        <f t="shared" si="87"/>
        <v>0</v>
      </c>
      <c r="U256" s="9">
        <f t="shared" si="88"/>
        <v>0</v>
      </c>
      <c r="V256" s="9">
        <f t="shared" si="89"/>
        <v>0</v>
      </c>
      <c r="W256" s="9">
        <f t="shared" si="90"/>
        <v>0</v>
      </c>
      <c r="X256" s="9">
        <f t="shared" si="91"/>
        <v>0</v>
      </c>
      <c r="Y256" s="9">
        <f t="shared" si="92"/>
        <v>0</v>
      </c>
      <c r="Z256" s="9">
        <f t="shared" si="93"/>
        <v>0</v>
      </c>
      <c r="AA256" s="10">
        <f t="shared" si="94"/>
        <v>0</v>
      </c>
    </row>
    <row r="257" spans="1:27" x14ac:dyDescent="0.3">
      <c r="A257" s="18" t="s">
        <v>1304</v>
      </c>
      <c r="B257" s="4">
        <f t="shared" si="72"/>
        <v>0</v>
      </c>
      <c r="C257" s="4">
        <f t="shared" si="73"/>
        <v>1</v>
      </c>
      <c r="D257" s="4">
        <f t="shared" si="74"/>
        <v>0</v>
      </c>
      <c r="E257" s="4">
        <f t="shared" si="75"/>
        <v>0</v>
      </c>
      <c r="F257" s="4">
        <f t="shared" si="76"/>
        <v>0</v>
      </c>
      <c r="G257" s="4">
        <f t="shared" si="77"/>
        <v>0</v>
      </c>
      <c r="I257" s="8" t="s">
        <v>988</v>
      </c>
      <c r="J257" s="9">
        <f t="shared" si="78"/>
        <v>0</v>
      </c>
      <c r="K257" s="9">
        <f t="shared" si="95"/>
        <v>0</v>
      </c>
      <c r="L257" s="9">
        <f t="shared" si="79"/>
        <v>1</v>
      </c>
      <c r="M257" s="9">
        <f t="shared" si="80"/>
        <v>0</v>
      </c>
      <c r="N257" s="9">
        <f t="shared" si="81"/>
        <v>0</v>
      </c>
      <c r="O257" s="9">
        <f t="shared" si="82"/>
        <v>0</v>
      </c>
      <c r="P257" s="9">
        <f t="shared" si="83"/>
        <v>0</v>
      </c>
      <c r="Q257" s="9">
        <f t="shared" si="84"/>
        <v>0</v>
      </c>
      <c r="R257" s="9">
        <f t="shared" si="85"/>
        <v>0</v>
      </c>
      <c r="S257" s="9">
        <f t="shared" si="86"/>
        <v>0</v>
      </c>
      <c r="T257" s="9">
        <f t="shared" si="87"/>
        <v>0</v>
      </c>
      <c r="U257" s="9">
        <f t="shared" si="88"/>
        <v>0</v>
      </c>
      <c r="V257" s="9">
        <f t="shared" si="89"/>
        <v>0</v>
      </c>
      <c r="W257" s="9">
        <f t="shared" si="90"/>
        <v>0</v>
      </c>
      <c r="X257" s="9">
        <f t="shared" si="91"/>
        <v>0</v>
      </c>
      <c r="Y257" s="9">
        <f t="shared" si="92"/>
        <v>0</v>
      </c>
      <c r="Z257" s="9">
        <f t="shared" si="93"/>
        <v>0</v>
      </c>
      <c r="AA257" s="10">
        <f t="shared" si="94"/>
        <v>0</v>
      </c>
    </row>
    <row r="258" spans="1:27" x14ac:dyDescent="0.3">
      <c r="A258" s="4" t="s">
        <v>1305</v>
      </c>
      <c r="B258" s="4">
        <f t="shared" si="72"/>
        <v>0</v>
      </c>
      <c r="C258" s="4">
        <f t="shared" si="73"/>
        <v>0</v>
      </c>
      <c r="D258" s="4">
        <f t="shared" si="74"/>
        <v>0</v>
      </c>
      <c r="E258" s="4">
        <f t="shared" si="75"/>
        <v>0</v>
      </c>
      <c r="F258" s="4">
        <f t="shared" si="76"/>
        <v>0</v>
      </c>
      <c r="G258" s="4">
        <f t="shared" si="77"/>
        <v>1</v>
      </c>
      <c r="I258" s="11" t="s">
        <v>1044</v>
      </c>
      <c r="J258" s="9">
        <f t="shared" si="78"/>
        <v>0</v>
      </c>
      <c r="K258" s="9">
        <f t="shared" si="95"/>
        <v>0</v>
      </c>
      <c r="L258" s="9">
        <f t="shared" si="79"/>
        <v>0</v>
      </c>
      <c r="M258" s="9">
        <f t="shared" si="80"/>
        <v>0</v>
      </c>
      <c r="N258" s="9">
        <f t="shared" si="81"/>
        <v>0</v>
      </c>
      <c r="O258" s="9">
        <f t="shared" si="82"/>
        <v>0</v>
      </c>
      <c r="P258" s="9">
        <f t="shared" si="83"/>
        <v>0</v>
      </c>
      <c r="Q258" s="9">
        <f t="shared" si="84"/>
        <v>0</v>
      </c>
      <c r="R258" s="9">
        <f t="shared" si="85"/>
        <v>0</v>
      </c>
      <c r="S258" s="9">
        <f t="shared" si="86"/>
        <v>0</v>
      </c>
      <c r="T258" s="9">
        <f t="shared" si="87"/>
        <v>0</v>
      </c>
      <c r="U258" s="9">
        <f t="shared" si="88"/>
        <v>1</v>
      </c>
      <c r="V258" s="9">
        <f t="shared" si="89"/>
        <v>0</v>
      </c>
      <c r="W258" s="9">
        <f t="shared" si="90"/>
        <v>0</v>
      </c>
      <c r="X258" s="9">
        <f t="shared" si="91"/>
        <v>0</v>
      </c>
      <c r="Y258" s="9">
        <f t="shared" si="92"/>
        <v>0</v>
      </c>
      <c r="Z258" s="9">
        <f t="shared" si="93"/>
        <v>0</v>
      </c>
      <c r="AA258" s="10">
        <f t="shared" si="94"/>
        <v>0</v>
      </c>
    </row>
    <row r="259" spans="1:27" x14ac:dyDescent="0.3">
      <c r="A259" s="18" t="s">
        <v>1294</v>
      </c>
      <c r="B259" s="4">
        <f t="shared" si="72"/>
        <v>0</v>
      </c>
      <c r="C259" s="4">
        <f t="shared" si="73"/>
        <v>0</v>
      </c>
      <c r="D259" s="4">
        <f t="shared" si="74"/>
        <v>0</v>
      </c>
      <c r="E259" s="4">
        <f t="shared" si="75"/>
        <v>0</v>
      </c>
      <c r="F259" s="4">
        <f t="shared" si="76"/>
        <v>0</v>
      </c>
      <c r="G259" s="4">
        <f t="shared" si="77"/>
        <v>0</v>
      </c>
      <c r="I259" s="8" t="s">
        <v>982</v>
      </c>
      <c r="J259" s="9">
        <f t="shared" si="78"/>
        <v>0</v>
      </c>
      <c r="K259" s="9">
        <f t="shared" si="95"/>
        <v>1</v>
      </c>
      <c r="L259" s="9">
        <f t="shared" si="79"/>
        <v>0</v>
      </c>
      <c r="M259" s="9">
        <f t="shared" si="80"/>
        <v>0</v>
      </c>
      <c r="N259" s="9">
        <f t="shared" si="81"/>
        <v>0</v>
      </c>
      <c r="O259" s="9">
        <f t="shared" si="82"/>
        <v>0</v>
      </c>
      <c r="P259" s="9">
        <f t="shared" si="83"/>
        <v>0</v>
      </c>
      <c r="Q259" s="9">
        <f t="shared" si="84"/>
        <v>0</v>
      </c>
      <c r="R259" s="9">
        <f t="shared" si="85"/>
        <v>0</v>
      </c>
      <c r="S259" s="9">
        <f t="shared" si="86"/>
        <v>0</v>
      </c>
      <c r="T259" s="9">
        <f t="shared" si="87"/>
        <v>0</v>
      </c>
      <c r="U259" s="9">
        <f t="shared" si="88"/>
        <v>0</v>
      </c>
      <c r="V259" s="9">
        <f t="shared" si="89"/>
        <v>0</v>
      </c>
      <c r="W259" s="9">
        <f t="shared" si="90"/>
        <v>0</v>
      </c>
      <c r="X259" s="9">
        <f t="shared" si="91"/>
        <v>0</v>
      </c>
      <c r="Y259" s="9">
        <f t="shared" si="92"/>
        <v>0</v>
      </c>
      <c r="Z259" s="9">
        <f t="shared" si="93"/>
        <v>0</v>
      </c>
      <c r="AA259" s="10">
        <f t="shared" si="94"/>
        <v>0</v>
      </c>
    </row>
    <row r="260" spans="1:27" x14ac:dyDescent="0.3">
      <c r="A260" s="4" t="s">
        <v>1303</v>
      </c>
      <c r="B260" s="4">
        <f t="shared" ref="B260:B323" si="96">IF($A260="Asia",1,0)</f>
        <v>0</v>
      </c>
      <c r="C260" s="4">
        <f t="shared" ref="C260:C323" si="97">IF(A260="Europe",1,0)</f>
        <v>0</v>
      </c>
      <c r="D260" s="4">
        <f t="shared" ref="D260:D323" si="98">IF(A260="Africa",1,0)</f>
        <v>0</v>
      </c>
      <c r="E260" s="4">
        <f t="shared" ref="E260:E323" si="99">IF($A260="Australia",1,0)</f>
        <v>0</v>
      </c>
      <c r="F260" s="4">
        <f t="shared" ref="F260:F323" si="100">IF($A260="North America",1,0)</f>
        <v>1</v>
      </c>
      <c r="G260" s="4">
        <f t="shared" ref="G260:G323" si="101">IF($A260="South America",1,0)</f>
        <v>0</v>
      </c>
      <c r="I260" s="11" t="s">
        <v>996</v>
      </c>
      <c r="J260" s="9">
        <f t="shared" ref="J260:J323" si="102">IF(I260="Music",1,0)</f>
        <v>0</v>
      </c>
      <c r="K260" s="9">
        <f t="shared" si="95"/>
        <v>0</v>
      </c>
      <c r="L260" s="9">
        <f t="shared" ref="L260:L323" si="103">IF(I260="Entertainment",1,0)</f>
        <v>0</v>
      </c>
      <c r="M260" s="9">
        <f t="shared" ref="M260:M323" si="104">IF(I260="Nonprofits &amp; Activism",1,0)</f>
        <v>0</v>
      </c>
      <c r="N260" s="9">
        <f t="shared" ref="N260:N323" si="105">IF(I260="Education",1,0)</f>
        <v>0</v>
      </c>
      <c r="O260" s="9">
        <f t="shared" ref="O260:O323" si="106">IF(I260="Shows",1,0)</f>
        <v>0</v>
      </c>
      <c r="P260" s="9">
        <f t="shared" ref="P260:P323" si="107">IF(I260="People &amp; Blogs",1,0)</f>
        <v>0</v>
      </c>
      <c r="Q260" s="9">
        <f t="shared" ref="Q260:Q323" si="108">IF(I260="Gaming",1,0)</f>
        <v>1</v>
      </c>
      <c r="R260" s="9">
        <f t="shared" ref="R260:R323" si="109">IF(I260="Sports",1,0)</f>
        <v>0</v>
      </c>
      <c r="S260" s="9">
        <f t="shared" ref="S260:S323" si="110">IF(I260="Howto &amp; Style",1,0)</f>
        <v>0</v>
      </c>
      <c r="T260" s="9">
        <f t="shared" ref="T260:T323" si="111">IF(I260="News &amp; Politics",1,0)</f>
        <v>0</v>
      </c>
      <c r="U260" s="9">
        <f t="shared" ref="U260:U323" si="112">IF(I260="Comedy",1,0)</f>
        <v>0</v>
      </c>
      <c r="V260" s="9">
        <f t="shared" ref="V260:V323" si="113">IF(I260="Trailers",1,0)</f>
        <v>0</v>
      </c>
      <c r="W260" s="9">
        <f t="shared" ref="W260:W323" si="114">IF(I260="Movies",1,0)</f>
        <v>0</v>
      </c>
      <c r="X260" s="9">
        <f t="shared" ref="X260:X323" si="115">IF(I260="Autos &amp; Vehicles",1,0)</f>
        <v>0</v>
      </c>
      <c r="Y260" s="9">
        <f t="shared" ref="Y260:Y323" si="116">IF(I260="Pets &amp; Animals",1,0)</f>
        <v>0</v>
      </c>
      <c r="Z260" s="9">
        <f t="shared" ref="Z260:Z323" si="117">IF(I260="Science &amp; Technology",1,0)</f>
        <v>0</v>
      </c>
      <c r="AA260" s="10">
        <f t="shared" ref="AA260:AA323" si="118">IF(I260="Travel &amp; Events",1,0)</f>
        <v>0</v>
      </c>
    </row>
    <row r="261" spans="1:27" x14ac:dyDescent="0.3">
      <c r="A261" s="18" t="s">
        <v>1305</v>
      </c>
      <c r="B261" s="4">
        <f t="shared" si="96"/>
        <v>0</v>
      </c>
      <c r="C261" s="4">
        <f t="shared" si="97"/>
        <v>0</v>
      </c>
      <c r="D261" s="4">
        <f t="shared" si="98"/>
        <v>0</v>
      </c>
      <c r="E261" s="4">
        <f t="shared" si="99"/>
        <v>0</v>
      </c>
      <c r="F261" s="4">
        <f t="shared" si="100"/>
        <v>0</v>
      </c>
      <c r="G261" s="4">
        <f t="shared" si="101"/>
        <v>1</v>
      </c>
      <c r="I261" s="8" t="s">
        <v>1044</v>
      </c>
      <c r="J261" s="9">
        <f t="shared" si="102"/>
        <v>0</v>
      </c>
      <c r="K261" s="9">
        <f t="shared" ref="K261:K324" si="119">IF(I261="Film &amp; Animation",1,0)</f>
        <v>0</v>
      </c>
      <c r="L261" s="9">
        <f t="shared" si="103"/>
        <v>0</v>
      </c>
      <c r="M261" s="9">
        <f t="shared" si="104"/>
        <v>0</v>
      </c>
      <c r="N261" s="9">
        <f t="shared" si="105"/>
        <v>0</v>
      </c>
      <c r="O261" s="9">
        <f t="shared" si="106"/>
        <v>0</v>
      </c>
      <c r="P261" s="9">
        <f t="shared" si="107"/>
        <v>0</v>
      </c>
      <c r="Q261" s="9">
        <f t="shared" si="108"/>
        <v>0</v>
      </c>
      <c r="R261" s="9">
        <f t="shared" si="109"/>
        <v>0</v>
      </c>
      <c r="S261" s="9">
        <f t="shared" si="110"/>
        <v>0</v>
      </c>
      <c r="T261" s="9">
        <f t="shared" si="111"/>
        <v>0</v>
      </c>
      <c r="U261" s="9">
        <f t="shared" si="112"/>
        <v>1</v>
      </c>
      <c r="V261" s="9">
        <f t="shared" si="113"/>
        <v>0</v>
      </c>
      <c r="W261" s="9">
        <f t="shared" si="114"/>
        <v>0</v>
      </c>
      <c r="X261" s="9">
        <f t="shared" si="115"/>
        <v>0</v>
      </c>
      <c r="Y261" s="9">
        <f t="shared" si="116"/>
        <v>0</v>
      </c>
      <c r="Z261" s="9">
        <f t="shared" si="117"/>
        <v>0</v>
      </c>
      <c r="AA261" s="10">
        <f t="shared" si="118"/>
        <v>0</v>
      </c>
    </row>
    <row r="262" spans="1:27" x14ac:dyDescent="0.3">
      <c r="A262" s="4" t="s">
        <v>1303</v>
      </c>
      <c r="B262" s="4">
        <f t="shared" si="96"/>
        <v>0</v>
      </c>
      <c r="C262" s="4">
        <f t="shared" si="97"/>
        <v>0</v>
      </c>
      <c r="D262" s="4">
        <f t="shared" si="98"/>
        <v>0</v>
      </c>
      <c r="E262" s="4">
        <f t="shared" si="99"/>
        <v>0</v>
      </c>
      <c r="F262" s="4">
        <f t="shared" si="100"/>
        <v>1</v>
      </c>
      <c r="G262" s="4">
        <f t="shared" si="101"/>
        <v>0</v>
      </c>
      <c r="I262" s="11" t="s">
        <v>988</v>
      </c>
      <c r="J262" s="9">
        <f t="shared" si="102"/>
        <v>0</v>
      </c>
      <c r="K262" s="9">
        <f t="shared" si="119"/>
        <v>0</v>
      </c>
      <c r="L262" s="9">
        <f t="shared" si="103"/>
        <v>1</v>
      </c>
      <c r="M262" s="9">
        <f t="shared" si="104"/>
        <v>0</v>
      </c>
      <c r="N262" s="9">
        <f t="shared" si="105"/>
        <v>0</v>
      </c>
      <c r="O262" s="9">
        <f t="shared" si="106"/>
        <v>0</v>
      </c>
      <c r="P262" s="9">
        <f t="shared" si="107"/>
        <v>0</v>
      </c>
      <c r="Q262" s="9">
        <f t="shared" si="108"/>
        <v>0</v>
      </c>
      <c r="R262" s="9">
        <f t="shared" si="109"/>
        <v>0</v>
      </c>
      <c r="S262" s="9">
        <f t="shared" si="110"/>
        <v>0</v>
      </c>
      <c r="T262" s="9">
        <f t="shared" si="111"/>
        <v>0</v>
      </c>
      <c r="U262" s="9">
        <f t="shared" si="112"/>
        <v>0</v>
      </c>
      <c r="V262" s="9">
        <f t="shared" si="113"/>
        <v>0</v>
      </c>
      <c r="W262" s="9">
        <f t="shared" si="114"/>
        <v>0</v>
      </c>
      <c r="X262" s="9">
        <f t="shared" si="115"/>
        <v>0</v>
      </c>
      <c r="Y262" s="9">
        <f t="shared" si="116"/>
        <v>0</v>
      </c>
      <c r="Z262" s="9">
        <f t="shared" si="117"/>
        <v>0</v>
      </c>
      <c r="AA262" s="10">
        <f t="shared" si="118"/>
        <v>0</v>
      </c>
    </row>
    <row r="263" spans="1:27" x14ac:dyDescent="0.3">
      <c r="A263" s="18" t="s">
        <v>1303</v>
      </c>
      <c r="B263" s="4">
        <f t="shared" si="96"/>
        <v>0</v>
      </c>
      <c r="C263" s="4">
        <f t="shared" si="97"/>
        <v>0</v>
      </c>
      <c r="D263" s="4">
        <f t="shared" si="98"/>
        <v>0</v>
      </c>
      <c r="E263" s="4">
        <f t="shared" si="99"/>
        <v>0</v>
      </c>
      <c r="F263" s="4">
        <f t="shared" si="100"/>
        <v>1</v>
      </c>
      <c r="G263" s="4">
        <f t="shared" si="101"/>
        <v>0</v>
      </c>
      <c r="I263" s="8" t="s">
        <v>994</v>
      </c>
      <c r="J263" s="9">
        <f t="shared" si="102"/>
        <v>0</v>
      </c>
      <c r="K263" s="9">
        <f t="shared" si="119"/>
        <v>0</v>
      </c>
      <c r="L263" s="9">
        <f t="shared" si="103"/>
        <v>0</v>
      </c>
      <c r="M263" s="9">
        <f t="shared" si="104"/>
        <v>0</v>
      </c>
      <c r="N263" s="9">
        <f t="shared" si="105"/>
        <v>0</v>
      </c>
      <c r="O263" s="9">
        <f t="shared" si="106"/>
        <v>0</v>
      </c>
      <c r="P263" s="9">
        <f t="shared" si="107"/>
        <v>1</v>
      </c>
      <c r="Q263" s="9">
        <f t="shared" si="108"/>
        <v>0</v>
      </c>
      <c r="R263" s="9">
        <f t="shared" si="109"/>
        <v>0</v>
      </c>
      <c r="S263" s="9">
        <f t="shared" si="110"/>
        <v>0</v>
      </c>
      <c r="T263" s="9">
        <f t="shared" si="111"/>
        <v>0</v>
      </c>
      <c r="U263" s="9">
        <f t="shared" si="112"/>
        <v>0</v>
      </c>
      <c r="V263" s="9">
        <f t="shared" si="113"/>
        <v>0</v>
      </c>
      <c r="W263" s="9">
        <f t="shared" si="114"/>
        <v>0</v>
      </c>
      <c r="X263" s="9">
        <f t="shared" si="115"/>
        <v>0</v>
      </c>
      <c r="Y263" s="9">
        <f t="shared" si="116"/>
        <v>0</v>
      </c>
      <c r="Z263" s="9">
        <f t="shared" si="117"/>
        <v>0</v>
      </c>
      <c r="AA263" s="10">
        <f t="shared" si="118"/>
        <v>0</v>
      </c>
    </row>
    <row r="264" spans="1:27" x14ac:dyDescent="0.3">
      <c r="A264" s="4" t="s">
        <v>1303</v>
      </c>
      <c r="B264" s="4">
        <f t="shared" si="96"/>
        <v>0</v>
      </c>
      <c r="C264" s="4">
        <f t="shared" si="97"/>
        <v>0</v>
      </c>
      <c r="D264" s="4">
        <f t="shared" si="98"/>
        <v>0</v>
      </c>
      <c r="E264" s="4">
        <f t="shared" si="99"/>
        <v>0</v>
      </c>
      <c r="F264" s="4">
        <f t="shared" si="100"/>
        <v>1</v>
      </c>
      <c r="G264" s="4">
        <f t="shared" si="101"/>
        <v>0</v>
      </c>
      <c r="I264" s="11" t="s">
        <v>988</v>
      </c>
      <c r="J264" s="9">
        <f t="shared" si="102"/>
        <v>0</v>
      </c>
      <c r="K264" s="9">
        <f t="shared" si="119"/>
        <v>0</v>
      </c>
      <c r="L264" s="9">
        <f t="shared" si="103"/>
        <v>1</v>
      </c>
      <c r="M264" s="9">
        <f t="shared" si="104"/>
        <v>0</v>
      </c>
      <c r="N264" s="9">
        <f t="shared" si="105"/>
        <v>0</v>
      </c>
      <c r="O264" s="9">
        <f t="shared" si="106"/>
        <v>0</v>
      </c>
      <c r="P264" s="9">
        <f t="shared" si="107"/>
        <v>0</v>
      </c>
      <c r="Q264" s="9">
        <f t="shared" si="108"/>
        <v>0</v>
      </c>
      <c r="R264" s="9">
        <f t="shared" si="109"/>
        <v>0</v>
      </c>
      <c r="S264" s="9">
        <f t="shared" si="110"/>
        <v>0</v>
      </c>
      <c r="T264" s="9">
        <f t="shared" si="111"/>
        <v>0</v>
      </c>
      <c r="U264" s="9">
        <f t="shared" si="112"/>
        <v>0</v>
      </c>
      <c r="V264" s="9">
        <f t="shared" si="113"/>
        <v>0</v>
      </c>
      <c r="W264" s="9">
        <f t="shared" si="114"/>
        <v>0</v>
      </c>
      <c r="X264" s="9">
        <f t="shared" si="115"/>
        <v>0</v>
      </c>
      <c r="Y264" s="9">
        <f t="shared" si="116"/>
        <v>0</v>
      </c>
      <c r="Z264" s="9">
        <f t="shared" si="117"/>
        <v>0</v>
      </c>
      <c r="AA264" s="10">
        <f t="shared" si="118"/>
        <v>0</v>
      </c>
    </row>
    <row r="265" spans="1:27" x14ac:dyDescent="0.3">
      <c r="A265" s="18" t="s">
        <v>1294</v>
      </c>
      <c r="B265" s="4">
        <f t="shared" si="96"/>
        <v>0</v>
      </c>
      <c r="C265" s="4">
        <f t="shared" si="97"/>
        <v>0</v>
      </c>
      <c r="D265" s="4">
        <f t="shared" si="98"/>
        <v>0</v>
      </c>
      <c r="E265" s="4">
        <f t="shared" si="99"/>
        <v>0</v>
      </c>
      <c r="F265" s="4">
        <f t="shared" si="100"/>
        <v>0</v>
      </c>
      <c r="G265" s="4">
        <f t="shared" si="101"/>
        <v>0</v>
      </c>
      <c r="I265" s="8" t="s">
        <v>988</v>
      </c>
      <c r="J265" s="9">
        <f t="shared" si="102"/>
        <v>0</v>
      </c>
      <c r="K265" s="9">
        <f t="shared" si="119"/>
        <v>0</v>
      </c>
      <c r="L265" s="9">
        <f t="shared" si="103"/>
        <v>1</v>
      </c>
      <c r="M265" s="9">
        <f t="shared" si="104"/>
        <v>0</v>
      </c>
      <c r="N265" s="9">
        <f t="shared" si="105"/>
        <v>0</v>
      </c>
      <c r="O265" s="9">
        <f t="shared" si="106"/>
        <v>0</v>
      </c>
      <c r="P265" s="9">
        <f t="shared" si="107"/>
        <v>0</v>
      </c>
      <c r="Q265" s="9">
        <f t="shared" si="108"/>
        <v>0</v>
      </c>
      <c r="R265" s="9">
        <f t="shared" si="109"/>
        <v>0</v>
      </c>
      <c r="S265" s="9">
        <f t="shared" si="110"/>
        <v>0</v>
      </c>
      <c r="T265" s="9">
        <f t="shared" si="111"/>
        <v>0</v>
      </c>
      <c r="U265" s="9">
        <f t="shared" si="112"/>
        <v>0</v>
      </c>
      <c r="V265" s="9">
        <f t="shared" si="113"/>
        <v>0</v>
      </c>
      <c r="W265" s="9">
        <f t="shared" si="114"/>
        <v>0</v>
      </c>
      <c r="X265" s="9">
        <f t="shared" si="115"/>
        <v>0</v>
      </c>
      <c r="Y265" s="9">
        <f t="shared" si="116"/>
        <v>0</v>
      </c>
      <c r="Z265" s="9">
        <f t="shared" si="117"/>
        <v>0</v>
      </c>
      <c r="AA265" s="10">
        <f t="shared" si="118"/>
        <v>0</v>
      </c>
    </row>
    <row r="266" spans="1:27" x14ac:dyDescent="0.3">
      <c r="A266" s="4" t="s">
        <v>1303</v>
      </c>
      <c r="B266" s="4">
        <f t="shared" si="96"/>
        <v>0</v>
      </c>
      <c r="C266" s="4">
        <f t="shared" si="97"/>
        <v>0</v>
      </c>
      <c r="D266" s="4">
        <f t="shared" si="98"/>
        <v>0</v>
      </c>
      <c r="E266" s="4">
        <f t="shared" si="99"/>
        <v>0</v>
      </c>
      <c r="F266" s="4">
        <f t="shared" si="100"/>
        <v>1</v>
      </c>
      <c r="G266" s="4">
        <f t="shared" si="101"/>
        <v>0</v>
      </c>
      <c r="I266" s="11" t="s">
        <v>1011</v>
      </c>
      <c r="J266" s="9">
        <f t="shared" si="102"/>
        <v>0</v>
      </c>
      <c r="K266" s="9">
        <f t="shared" si="119"/>
        <v>0</v>
      </c>
      <c r="L266" s="9">
        <f t="shared" si="103"/>
        <v>0</v>
      </c>
      <c r="M266" s="9">
        <f t="shared" si="104"/>
        <v>0</v>
      </c>
      <c r="N266" s="9">
        <f t="shared" si="105"/>
        <v>0</v>
      </c>
      <c r="O266" s="9">
        <f t="shared" si="106"/>
        <v>0</v>
      </c>
      <c r="P266" s="9">
        <f t="shared" si="107"/>
        <v>0</v>
      </c>
      <c r="Q266" s="9">
        <f t="shared" si="108"/>
        <v>0</v>
      </c>
      <c r="R266" s="9">
        <f t="shared" si="109"/>
        <v>0</v>
      </c>
      <c r="S266" s="9">
        <f t="shared" si="110"/>
        <v>1</v>
      </c>
      <c r="T266" s="9">
        <f t="shared" si="111"/>
        <v>0</v>
      </c>
      <c r="U266" s="9">
        <f t="shared" si="112"/>
        <v>0</v>
      </c>
      <c r="V266" s="9">
        <f t="shared" si="113"/>
        <v>0</v>
      </c>
      <c r="W266" s="9">
        <f t="shared" si="114"/>
        <v>0</v>
      </c>
      <c r="X266" s="9">
        <f t="shared" si="115"/>
        <v>0</v>
      </c>
      <c r="Y266" s="9">
        <f t="shared" si="116"/>
        <v>0</v>
      </c>
      <c r="Z266" s="9">
        <f t="shared" si="117"/>
        <v>0</v>
      </c>
      <c r="AA266" s="10">
        <f t="shared" si="118"/>
        <v>0</v>
      </c>
    </row>
    <row r="267" spans="1:27" x14ac:dyDescent="0.3">
      <c r="A267" s="18" t="s">
        <v>1303</v>
      </c>
      <c r="B267" s="4">
        <f t="shared" si="96"/>
        <v>0</v>
      </c>
      <c r="C267" s="4">
        <f t="shared" si="97"/>
        <v>0</v>
      </c>
      <c r="D267" s="4">
        <f t="shared" si="98"/>
        <v>0</v>
      </c>
      <c r="E267" s="4">
        <f t="shared" si="99"/>
        <v>0</v>
      </c>
      <c r="F267" s="4">
        <f t="shared" si="100"/>
        <v>1</v>
      </c>
      <c r="G267" s="4">
        <f t="shared" si="101"/>
        <v>0</v>
      </c>
      <c r="I267" s="8" t="s">
        <v>977</v>
      </c>
      <c r="J267" s="9">
        <f t="shared" si="102"/>
        <v>1</v>
      </c>
      <c r="K267" s="9">
        <f t="shared" si="119"/>
        <v>0</v>
      </c>
      <c r="L267" s="9">
        <f t="shared" si="103"/>
        <v>0</v>
      </c>
      <c r="M267" s="9">
        <f t="shared" si="104"/>
        <v>0</v>
      </c>
      <c r="N267" s="9">
        <f t="shared" si="105"/>
        <v>0</v>
      </c>
      <c r="O267" s="9">
        <f t="shared" si="106"/>
        <v>0</v>
      </c>
      <c r="P267" s="9">
        <f t="shared" si="107"/>
        <v>0</v>
      </c>
      <c r="Q267" s="9">
        <f t="shared" si="108"/>
        <v>0</v>
      </c>
      <c r="R267" s="9">
        <f t="shared" si="109"/>
        <v>0</v>
      </c>
      <c r="S267" s="9">
        <f t="shared" si="110"/>
        <v>0</v>
      </c>
      <c r="T267" s="9">
        <f t="shared" si="111"/>
        <v>0</v>
      </c>
      <c r="U267" s="9">
        <f t="shared" si="112"/>
        <v>0</v>
      </c>
      <c r="V267" s="9">
        <f t="shared" si="113"/>
        <v>0</v>
      </c>
      <c r="W267" s="9">
        <f t="shared" si="114"/>
        <v>0</v>
      </c>
      <c r="X267" s="9">
        <f t="shared" si="115"/>
        <v>0</v>
      </c>
      <c r="Y267" s="9">
        <f t="shared" si="116"/>
        <v>0</v>
      </c>
      <c r="Z267" s="9">
        <f t="shared" si="117"/>
        <v>0</v>
      </c>
      <c r="AA267" s="10">
        <f t="shared" si="118"/>
        <v>0</v>
      </c>
    </row>
    <row r="268" spans="1:27" x14ac:dyDescent="0.3">
      <c r="A268" s="4" t="s">
        <v>1303</v>
      </c>
      <c r="B268" s="4">
        <f t="shared" si="96"/>
        <v>0</v>
      </c>
      <c r="C268" s="4">
        <f t="shared" si="97"/>
        <v>0</v>
      </c>
      <c r="D268" s="4">
        <f t="shared" si="98"/>
        <v>0</v>
      </c>
      <c r="E268" s="4">
        <f t="shared" si="99"/>
        <v>0</v>
      </c>
      <c r="F268" s="4">
        <f t="shared" si="100"/>
        <v>1</v>
      </c>
      <c r="G268" s="4">
        <f t="shared" si="101"/>
        <v>0</v>
      </c>
      <c r="I268" s="11" t="s">
        <v>1128</v>
      </c>
      <c r="J268" s="9">
        <f t="shared" si="102"/>
        <v>0</v>
      </c>
      <c r="K268" s="9">
        <f t="shared" si="119"/>
        <v>0</v>
      </c>
      <c r="L268" s="9">
        <f t="shared" si="103"/>
        <v>0</v>
      </c>
      <c r="M268" s="9">
        <f t="shared" si="104"/>
        <v>0</v>
      </c>
      <c r="N268" s="9">
        <f t="shared" si="105"/>
        <v>0</v>
      </c>
      <c r="O268" s="9">
        <f t="shared" si="106"/>
        <v>0</v>
      </c>
      <c r="P268" s="9">
        <f t="shared" si="107"/>
        <v>0</v>
      </c>
      <c r="Q268" s="9">
        <f t="shared" si="108"/>
        <v>0</v>
      </c>
      <c r="R268" s="9">
        <f t="shared" si="109"/>
        <v>0</v>
      </c>
      <c r="S268" s="9">
        <f t="shared" si="110"/>
        <v>0</v>
      </c>
      <c r="T268" s="9">
        <f t="shared" si="111"/>
        <v>0</v>
      </c>
      <c r="U268" s="9">
        <f t="shared" si="112"/>
        <v>0</v>
      </c>
      <c r="V268" s="9">
        <f t="shared" si="113"/>
        <v>0</v>
      </c>
      <c r="W268" s="9">
        <f t="shared" si="114"/>
        <v>0</v>
      </c>
      <c r="X268" s="9">
        <f t="shared" si="115"/>
        <v>0</v>
      </c>
      <c r="Y268" s="9">
        <f t="shared" si="116"/>
        <v>1</v>
      </c>
      <c r="Z268" s="9">
        <f t="shared" si="117"/>
        <v>0</v>
      </c>
      <c r="AA268" s="10">
        <f t="shared" si="118"/>
        <v>0</v>
      </c>
    </row>
    <row r="269" spans="1:27" x14ac:dyDescent="0.3">
      <c r="A269" s="18" t="s">
        <v>1303</v>
      </c>
      <c r="B269" s="4">
        <f t="shared" si="96"/>
        <v>0</v>
      </c>
      <c r="C269" s="4">
        <f t="shared" si="97"/>
        <v>0</v>
      </c>
      <c r="D269" s="4">
        <f t="shared" si="98"/>
        <v>0</v>
      </c>
      <c r="E269" s="4">
        <f t="shared" si="99"/>
        <v>0</v>
      </c>
      <c r="F269" s="4">
        <f t="shared" si="100"/>
        <v>1</v>
      </c>
      <c r="G269" s="4">
        <f t="shared" si="101"/>
        <v>0</v>
      </c>
      <c r="I269" s="8" t="s">
        <v>996</v>
      </c>
      <c r="J269" s="9">
        <f t="shared" si="102"/>
        <v>0</v>
      </c>
      <c r="K269" s="9">
        <f t="shared" si="119"/>
        <v>0</v>
      </c>
      <c r="L269" s="9">
        <f t="shared" si="103"/>
        <v>0</v>
      </c>
      <c r="M269" s="9">
        <f t="shared" si="104"/>
        <v>0</v>
      </c>
      <c r="N269" s="9">
        <f t="shared" si="105"/>
        <v>0</v>
      </c>
      <c r="O269" s="9">
        <f t="shared" si="106"/>
        <v>0</v>
      </c>
      <c r="P269" s="9">
        <f t="shared" si="107"/>
        <v>0</v>
      </c>
      <c r="Q269" s="9">
        <f t="shared" si="108"/>
        <v>1</v>
      </c>
      <c r="R269" s="9">
        <f t="shared" si="109"/>
        <v>0</v>
      </c>
      <c r="S269" s="9">
        <f t="shared" si="110"/>
        <v>0</v>
      </c>
      <c r="T269" s="9">
        <f t="shared" si="111"/>
        <v>0</v>
      </c>
      <c r="U269" s="9">
        <f t="shared" si="112"/>
        <v>0</v>
      </c>
      <c r="V269" s="9">
        <f t="shared" si="113"/>
        <v>0</v>
      </c>
      <c r="W269" s="9">
        <f t="shared" si="114"/>
        <v>0</v>
      </c>
      <c r="X269" s="9">
        <f t="shared" si="115"/>
        <v>0</v>
      </c>
      <c r="Y269" s="9">
        <f t="shared" si="116"/>
        <v>0</v>
      </c>
      <c r="Z269" s="9">
        <f t="shared" si="117"/>
        <v>0</v>
      </c>
      <c r="AA269" s="10">
        <f t="shared" si="118"/>
        <v>0</v>
      </c>
    </row>
    <row r="270" spans="1:27" x14ac:dyDescent="0.3">
      <c r="A270" s="4" t="s">
        <v>1304</v>
      </c>
      <c r="B270" s="4">
        <f t="shared" si="96"/>
        <v>0</v>
      </c>
      <c r="C270" s="4">
        <f t="shared" si="97"/>
        <v>1</v>
      </c>
      <c r="D270" s="4">
        <f t="shared" si="98"/>
        <v>0</v>
      </c>
      <c r="E270" s="4">
        <f t="shared" si="99"/>
        <v>0</v>
      </c>
      <c r="F270" s="4">
        <f t="shared" si="100"/>
        <v>0</v>
      </c>
      <c r="G270" s="4">
        <f t="shared" si="101"/>
        <v>0</v>
      </c>
      <c r="I270" s="11" t="s">
        <v>994</v>
      </c>
      <c r="J270" s="9">
        <f t="shared" si="102"/>
        <v>0</v>
      </c>
      <c r="K270" s="9">
        <f t="shared" si="119"/>
        <v>0</v>
      </c>
      <c r="L270" s="9">
        <f t="shared" si="103"/>
        <v>0</v>
      </c>
      <c r="M270" s="9">
        <f t="shared" si="104"/>
        <v>0</v>
      </c>
      <c r="N270" s="9">
        <f t="shared" si="105"/>
        <v>0</v>
      </c>
      <c r="O270" s="9">
        <f t="shared" si="106"/>
        <v>0</v>
      </c>
      <c r="P270" s="9">
        <f t="shared" si="107"/>
        <v>1</v>
      </c>
      <c r="Q270" s="9">
        <f t="shared" si="108"/>
        <v>0</v>
      </c>
      <c r="R270" s="9">
        <f t="shared" si="109"/>
        <v>0</v>
      </c>
      <c r="S270" s="9">
        <f t="shared" si="110"/>
        <v>0</v>
      </c>
      <c r="T270" s="9">
        <f t="shared" si="111"/>
        <v>0</v>
      </c>
      <c r="U270" s="9">
        <f t="shared" si="112"/>
        <v>0</v>
      </c>
      <c r="V270" s="9">
        <f t="shared" si="113"/>
        <v>0</v>
      </c>
      <c r="W270" s="9">
        <f t="shared" si="114"/>
        <v>0</v>
      </c>
      <c r="X270" s="9">
        <f t="shared" si="115"/>
        <v>0</v>
      </c>
      <c r="Y270" s="9">
        <f t="shared" si="116"/>
        <v>0</v>
      </c>
      <c r="Z270" s="9">
        <f t="shared" si="117"/>
        <v>0</v>
      </c>
      <c r="AA270" s="10">
        <f t="shared" si="118"/>
        <v>0</v>
      </c>
    </row>
    <row r="271" spans="1:27" x14ac:dyDescent="0.3">
      <c r="A271" s="18" t="s">
        <v>1303</v>
      </c>
      <c r="B271" s="4">
        <f t="shared" si="96"/>
        <v>0</v>
      </c>
      <c r="C271" s="4">
        <f t="shared" si="97"/>
        <v>0</v>
      </c>
      <c r="D271" s="4">
        <f t="shared" si="98"/>
        <v>0</v>
      </c>
      <c r="E271" s="4">
        <f t="shared" si="99"/>
        <v>0</v>
      </c>
      <c r="F271" s="4">
        <f t="shared" si="100"/>
        <v>1</v>
      </c>
      <c r="G271" s="4">
        <f t="shared" si="101"/>
        <v>0</v>
      </c>
      <c r="I271" s="8" t="s">
        <v>996</v>
      </c>
      <c r="J271" s="9">
        <f t="shared" si="102"/>
        <v>0</v>
      </c>
      <c r="K271" s="9">
        <f t="shared" si="119"/>
        <v>0</v>
      </c>
      <c r="L271" s="9">
        <f t="shared" si="103"/>
        <v>0</v>
      </c>
      <c r="M271" s="9">
        <f t="shared" si="104"/>
        <v>0</v>
      </c>
      <c r="N271" s="9">
        <f t="shared" si="105"/>
        <v>0</v>
      </c>
      <c r="O271" s="9">
        <f t="shared" si="106"/>
        <v>0</v>
      </c>
      <c r="P271" s="9">
        <f t="shared" si="107"/>
        <v>0</v>
      </c>
      <c r="Q271" s="9">
        <f t="shared" si="108"/>
        <v>1</v>
      </c>
      <c r="R271" s="9">
        <f t="shared" si="109"/>
        <v>0</v>
      </c>
      <c r="S271" s="9">
        <f t="shared" si="110"/>
        <v>0</v>
      </c>
      <c r="T271" s="9">
        <f t="shared" si="111"/>
        <v>0</v>
      </c>
      <c r="U271" s="9">
        <f t="shared" si="112"/>
        <v>0</v>
      </c>
      <c r="V271" s="9">
        <f t="shared" si="113"/>
        <v>0</v>
      </c>
      <c r="W271" s="9">
        <f t="shared" si="114"/>
        <v>0</v>
      </c>
      <c r="X271" s="9">
        <f t="shared" si="115"/>
        <v>0</v>
      </c>
      <c r="Y271" s="9">
        <f t="shared" si="116"/>
        <v>0</v>
      </c>
      <c r="Z271" s="9">
        <f t="shared" si="117"/>
        <v>0</v>
      </c>
      <c r="AA271" s="10">
        <f t="shared" si="118"/>
        <v>0</v>
      </c>
    </row>
    <row r="272" spans="1:27" x14ac:dyDescent="0.3">
      <c r="A272" s="4" t="s">
        <v>1294</v>
      </c>
      <c r="B272" s="4">
        <f t="shared" si="96"/>
        <v>0</v>
      </c>
      <c r="C272" s="4">
        <f t="shared" si="97"/>
        <v>0</v>
      </c>
      <c r="D272" s="4">
        <f t="shared" si="98"/>
        <v>0</v>
      </c>
      <c r="E272" s="4">
        <f t="shared" si="99"/>
        <v>0</v>
      </c>
      <c r="F272" s="4">
        <f t="shared" si="100"/>
        <v>0</v>
      </c>
      <c r="G272" s="4">
        <f t="shared" si="101"/>
        <v>0</v>
      </c>
      <c r="I272" s="11" t="s">
        <v>977</v>
      </c>
      <c r="J272" s="9">
        <f t="shared" si="102"/>
        <v>1</v>
      </c>
      <c r="K272" s="9">
        <f t="shared" si="119"/>
        <v>0</v>
      </c>
      <c r="L272" s="9">
        <f t="shared" si="103"/>
        <v>0</v>
      </c>
      <c r="M272" s="9">
        <f t="shared" si="104"/>
        <v>0</v>
      </c>
      <c r="N272" s="9">
        <f t="shared" si="105"/>
        <v>0</v>
      </c>
      <c r="O272" s="9">
        <f t="shared" si="106"/>
        <v>0</v>
      </c>
      <c r="P272" s="9">
        <f t="shared" si="107"/>
        <v>0</v>
      </c>
      <c r="Q272" s="9">
        <f t="shared" si="108"/>
        <v>0</v>
      </c>
      <c r="R272" s="9">
        <f t="shared" si="109"/>
        <v>0</v>
      </c>
      <c r="S272" s="9">
        <f t="shared" si="110"/>
        <v>0</v>
      </c>
      <c r="T272" s="9">
        <f t="shared" si="111"/>
        <v>0</v>
      </c>
      <c r="U272" s="9">
        <f t="shared" si="112"/>
        <v>0</v>
      </c>
      <c r="V272" s="9">
        <f t="shared" si="113"/>
        <v>0</v>
      </c>
      <c r="W272" s="9">
        <f t="shared" si="114"/>
        <v>0</v>
      </c>
      <c r="X272" s="9">
        <f t="shared" si="115"/>
        <v>0</v>
      </c>
      <c r="Y272" s="9">
        <f t="shared" si="116"/>
        <v>0</v>
      </c>
      <c r="Z272" s="9">
        <f t="shared" si="117"/>
        <v>0</v>
      </c>
      <c r="AA272" s="10">
        <f t="shared" si="118"/>
        <v>0</v>
      </c>
    </row>
    <row r="273" spans="1:27" x14ac:dyDescent="0.3">
      <c r="A273" s="18" t="s">
        <v>1303</v>
      </c>
      <c r="B273" s="4">
        <f t="shared" si="96"/>
        <v>0</v>
      </c>
      <c r="C273" s="4">
        <f t="shared" si="97"/>
        <v>0</v>
      </c>
      <c r="D273" s="4">
        <f t="shared" si="98"/>
        <v>0</v>
      </c>
      <c r="E273" s="4">
        <f t="shared" si="99"/>
        <v>0</v>
      </c>
      <c r="F273" s="4">
        <f t="shared" si="100"/>
        <v>1</v>
      </c>
      <c r="G273" s="4">
        <f t="shared" si="101"/>
        <v>0</v>
      </c>
      <c r="I273" s="8" t="s">
        <v>988</v>
      </c>
      <c r="J273" s="9">
        <f t="shared" si="102"/>
        <v>0</v>
      </c>
      <c r="K273" s="9">
        <f t="shared" si="119"/>
        <v>0</v>
      </c>
      <c r="L273" s="9">
        <f t="shared" si="103"/>
        <v>1</v>
      </c>
      <c r="M273" s="9">
        <f t="shared" si="104"/>
        <v>0</v>
      </c>
      <c r="N273" s="9">
        <f t="shared" si="105"/>
        <v>0</v>
      </c>
      <c r="O273" s="9">
        <f t="shared" si="106"/>
        <v>0</v>
      </c>
      <c r="P273" s="9">
        <f t="shared" si="107"/>
        <v>0</v>
      </c>
      <c r="Q273" s="9">
        <f t="shared" si="108"/>
        <v>0</v>
      </c>
      <c r="R273" s="9">
        <f t="shared" si="109"/>
        <v>0</v>
      </c>
      <c r="S273" s="9">
        <f t="shared" si="110"/>
        <v>0</v>
      </c>
      <c r="T273" s="9">
        <f t="shared" si="111"/>
        <v>0</v>
      </c>
      <c r="U273" s="9">
        <f t="shared" si="112"/>
        <v>0</v>
      </c>
      <c r="V273" s="9">
        <f t="shared" si="113"/>
        <v>0</v>
      </c>
      <c r="W273" s="9">
        <f t="shared" si="114"/>
        <v>0</v>
      </c>
      <c r="X273" s="9">
        <f t="shared" si="115"/>
        <v>0</v>
      </c>
      <c r="Y273" s="9">
        <f t="shared" si="116"/>
        <v>0</v>
      </c>
      <c r="Z273" s="9">
        <f t="shared" si="117"/>
        <v>0</v>
      </c>
      <c r="AA273" s="10">
        <f t="shared" si="118"/>
        <v>0</v>
      </c>
    </row>
    <row r="274" spans="1:27" x14ac:dyDescent="0.3">
      <c r="A274" s="4" t="s">
        <v>1303</v>
      </c>
      <c r="B274" s="4">
        <f t="shared" si="96"/>
        <v>0</v>
      </c>
      <c r="C274" s="4">
        <f t="shared" si="97"/>
        <v>0</v>
      </c>
      <c r="D274" s="4">
        <f t="shared" si="98"/>
        <v>0</v>
      </c>
      <c r="E274" s="4">
        <f t="shared" si="99"/>
        <v>0</v>
      </c>
      <c r="F274" s="4">
        <f t="shared" si="100"/>
        <v>1</v>
      </c>
      <c r="G274" s="4">
        <f t="shared" si="101"/>
        <v>0</v>
      </c>
      <c r="I274" s="11" t="s">
        <v>988</v>
      </c>
      <c r="J274" s="9">
        <f t="shared" si="102"/>
        <v>0</v>
      </c>
      <c r="K274" s="9">
        <f t="shared" si="119"/>
        <v>0</v>
      </c>
      <c r="L274" s="9">
        <f t="shared" si="103"/>
        <v>1</v>
      </c>
      <c r="M274" s="9">
        <f t="shared" si="104"/>
        <v>0</v>
      </c>
      <c r="N274" s="9">
        <f t="shared" si="105"/>
        <v>0</v>
      </c>
      <c r="O274" s="9">
        <f t="shared" si="106"/>
        <v>0</v>
      </c>
      <c r="P274" s="9">
        <f t="shared" si="107"/>
        <v>0</v>
      </c>
      <c r="Q274" s="9">
        <f t="shared" si="108"/>
        <v>0</v>
      </c>
      <c r="R274" s="9">
        <f t="shared" si="109"/>
        <v>0</v>
      </c>
      <c r="S274" s="9">
        <f t="shared" si="110"/>
        <v>0</v>
      </c>
      <c r="T274" s="9">
        <f t="shared" si="111"/>
        <v>0</v>
      </c>
      <c r="U274" s="9">
        <f t="shared" si="112"/>
        <v>0</v>
      </c>
      <c r="V274" s="9">
        <f t="shared" si="113"/>
        <v>0</v>
      </c>
      <c r="W274" s="9">
        <f t="shared" si="114"/>
        <v>0</v>
      </c>
      <c r="X274" s="9">
        <f t="shared" si="115"/>
        <v>0</v>
      </c>
      <c r="Y274" s="9">
        <f t="shared" si="116"/>
        <v>0</v>
      </c>
      <c r="Z274" s="9">
        <f t="shared" si="117"/>
        <v>0</v>
      </c>
      <c r="AA274" s="10">
        <f t="shared" si="118"/>
        <v>0</v>
      </c>
    </row>
    <row r="275" spans="1:27" x14ac:dyDescent="0.3">
      <c r="A275" s="18" t="s">
        <v>1305</v>
      </c>
      <c r="B275" s="4">
        <f t="shared" si="96"/>
        <v>0</v>
      </c>
      <c r="C275" s="4">
        <f t="shared" si="97"/>
        <v>0</v>
      </c>
      <c r="D275" s="4">
        <f t="shared" si="98"/>
        <v>0</v>
      </c>
      <c r="E275" s="4">
        <f t="shared" si="99"/>
        <v>0</v>
      </c>
      <c r="F275" s="4">
        <f t="shared" si="100"/>
        <v>0</v>
      </c>
      <c r="G275" s="4">
        <f t="shared" si="101"/>
        <v>1</v>
      </c>
      <c r="I275" s="8" t="s">
        <v>988</v>
      </c>
      <c r="J275" s="9">
        <f t="shared" si="102"/>
        <v>0</v>
      </c>
      <c r="K275" s="9">
        <f t="shared" si="119"/>
        <v>0</v>
      </c>
      <c r="L275" s="9">
        <f t="shared" si="103"/>
        <v>1</v>
      </c>
      <c r="M275" s="9">
        <f t="shared" si="104"/>
        <v>0</v>
      </c>
      <c r="N275" s="9">
        <f t="shared" si="105"/>
        <v>0</v>
      </c>
      <c r="O275" s="9">
        <f t="shared" si="106"/>
        <v>0</v>
      </c>
      <c r="P275" s="9">
        <f t="shared" si="107"/>
        <v>0</v>
      </c>
      <c r="Q275" s="9">
        <f t="shared" si="108"/>
        <v>0</v>
      </c>
      <c r="R275" s="9">
        <f t="shared" si="109"/>
        <v>0</v>
      </c>
      <c r="S275" s="9">
        <f t="shared" si="110"/>
        <v>0</v>
      </c>
      <c r="T275" s="9">
        <f t="shared" si="111"/>
        <v>0</v>
      </c>
      <c r="U275" s="9">
        <f t="shared" si="112"/>
        <v>0</v>
      </c>
      <c r="V275" s="9">
        <f t="shared" si="113"/>
        <v>0</v>
      </c>
      <c r="W275" s="9">
        <f t="shared" si="114"/>
        <v>0</v>
      </c>
      <c r="X275" s="9">
        <f t="shared" si="115"/>
        <v>0</v>
      </c>
      <c r="Y275" s="9">
        <f t="shared" si="116"/>
        <v>0</v>
      </c>
      <c r="Z275" s="9">
        <f t="shared" si="117"/>
        <v>0</v>
      </c>
      <c r="AA275" s="10">
        <f t="shared" si="118"/>
        <v>0</v>
      </c>
    </row>
    <row r="276" spans="1:27" x14ac:dyDescent="0.3">
      <c r="A276" s="4" t="s">
        <v>1304</v>
      </c>
      <c r="B276" s="4">
        <f t="shared" si="96"/>
        <v>0</v>
      </c>
      <c r="C276" s="4">
        <f t="shared" si="97"/>
        <v>1</v>
      </c>
      <c r="D276" s="4">
        <f t="shared" si="98"/>
        <v>0</v>
      </c>
      <c r="E276" s="4">
        <f t="shared" si="99"/>
        <v>0</v>
      </c>
      <c r="F276" s="4">
        <f t="shared" si="100"/>
        <v>0</v>
      </c>
      <c r="G276" s="4">
        <f t="shared" si="101"/>
        <v>0</v>
      </c>
      <c r="I276" s="11" t="s">
        <v>982</v>
      </c>
      <c r="J276" s="9">
        <f t="shared" si="102"/>
        <v>0</v>
      </c>
      <c r="K276" s="9">
        <f t="shared" si="119"/>
        <v>1</v>
      </c>
      <c r="L276" s="9">
        <f t="shared" si="103"/>
        <v>0</v>
      </c>
      <c r="M276" s="9">
        <f t="shared" si="104"/>
        <v>0</v>
      </c>
      <c r="N276" s="9">
        <f t="shared" si="105"/>
        <v>0</v>
      </c>
      <c r="O276" s="9">
        <f t="shared" si="106"/>
        <v>0</v>
      </c>
      <c r="P276" s="9">
        <f t="shared" si="107"/>
        <v>0</v>
      </c>
      <c r="Q276" s="9">
        <f t="shared" si="108"/>
        <v>0</v>
      </c>
      <c r="R276" s="9">
        <f t="shared" si="109"/>
        <v>0</v>
      </c>
      <c r="S276" s="9">
        <f t="shared" si="110"/>
        <v>0</v>
      </c>
      <c r="T276" s="9">
        <f t="shared" si="111"/>
        <v>0</v>
      </c>
      <c r="U276" s="9">
        <f t="shared" si="112"/>
        <v>0</v>
      </c>
      <c r="V276" s="9">
        <f t="shared" si="113"/>
        <v>0</v>
      </c>
      <c r="W276" s="9">
        <f t="shared" si="114"/>
        <v>0</v>
      </c>
      <c r="X276" s="9">
        <f t="shared" si="115"/>
        <v>0</v>
      </c>
      <c r="Y276" s="9">
        <f t="shared" si="116"/>
        <v>0</v>
      </c>
      <c r="Z276" s="9">
        <f t="shared" si="117"/>
        <v>0</v>
      </c>
      <c r="AA276" s="10">
        <f t="shared" si="118"/>
        <v>0</v>
      </c>
    </row>
    <row r="277" spans="1:27" x14ac:dyDescent="0.3">
      <c r="A277" s="18" t="s">
        <v>1304</v>
      </c>
      <c r="B277" s="4">
        <f t="shared" si="96"/>
        <v>0</v>
      </c>
      <c r="C277" s="4">
        <f t="shared" si="97"/>
        <v>1</v>
      </c>
      <c r="D277" s="4">
        <f t="shared" si="98"/>
        <v>0</v>
      </c>
      <c r="E277" s="4">
        <f t="shared" si="99"/>
        <v>0</v>
      </c>
      <c r="F277" s="4">
        <f t="shared" si="100"/>
        <v>0</v>
      </c>
      <c r="G277" s="4">
        <f t="shared" si="101"/>
        <v>0</v>
      </c>
      <c r="I277" s="8" t="s">
        <v>994</v>
      </c>
      <c r="J277" s="9">
        <f t="shared" si="102"/>
        <v>0</v>
      </c>
      <c r="K277" s="9">
        <f t="shared" si="119"/>
        <v>0</v>
      </c>
      <c r="L277" s="9">
        <f t="shared" si="103"/>
        <v>0</v>
      </c>
      <c r="M277" s="9">
        <f t="shared" si="104"/>
        <v>0</v>
      </c>
      <c r="N277" s="9">
        <f t="shared" si="105"/>
        <v>0</v>
      </c>
      <c r="O277" s="9">
        <f t="shared" si="106"/>
        <v>0</v>
      </c>
      <c r="P277" s="9">
        <f t="shared" si="107"/>
        <v>1</v>
      </c>
      <c r="Q277" s="9">
        <f t="shared" si="108"/>
        <v>0</v>
      </c>
      <c r="R277" s="9">
        <f t="shared" si="109"/>
        <v>0</v>
      </c>
      <c r="S277" s="9">
        <f t="shared" si="110"/>
        <v>0</v>
      </c>
      <c r="T277" s="9">
        <f t="shared" si="111"/>
        <v>0</v>
      </c>
      <c r="U277" s="9">
        <f t="shared" si="112"/>
        <v>0</v>
      </c>
      <c r="V277" s="9">
        <f t="shared" si="113"/>
        <v>0</v>
      </c>
      <c r="W277" s="9">
        <f t="shared" si="114"/>
        <v>0</v>
      </c>
      <c r="X277" s="9">
        <f t="shared" si="115"/>
        <v>0</v>
      </c>
      <c r="Y277" s="9">
        <f t="shared" si="116"/>
        <v>0</v>
      </c>
      <c r="Z277" s="9">
        <f t="shared" si="117"/>
        <v>0</v>
      </c>
      <c r="AA277" s="10">
        <f t="shared" si="118"/>
        <v>0</v>
      </c>
    </row>
    <row r="278" spans="1:27" x14ac:dyDescent="0.3">
      <c r="A278" s="4" t="s">
        <v>1304</v>
      </c>
      <c r="B278" s="4">
        <f t="shared" si="96"/>
        <v>0</v>
      </c>
      <c r="C278" s="4">
        <f t="shared" si="97"/>
        <v>1</v>
      </c>
      <c r="D278" s="4">
        <f t="shared" si="98"/>
        <v>0</v>
      </c>
      <c r="E278" s="4">
        <f t="shared" si="99"/>
        <v>0</v>
      </c>
      <c r="F278" s="4">
        <f t="shared" si="100"/>
        <v>0</v>
      </c>
      <c r="G278" s="4">
        <f t="shared" si="101"/>
        <v>0</v>
      </c>
      <c r="I278" s="11" t="s">
        <v>996</v>
      </c>
      <c r="J278" s="9">
        <f t="shared" si="102"/>
        <v>0</v>
      </c>
      <c r="K278" s="9">
        <f t="shared" si="119"/>
        <v>0</v>
      </c>
      <c r="L278" s="9">
        <f t="shared" si="103"/>
        <v>0</v>
      </c>
      <c r="M278" s="9">
        <f t="shared" si="104"/>
        <v>0</v>
      </c>
      <c r="N278" s="9">
        <f t="shared" si="105"/>
        <v>0</v>
      </c>
      <c r="O278" s="9">
        <f t="shared" si="106"/>
        <v>0</v>
      </c>
      <c r="P278" s="9">
        <f t="shared" si="107"/>
        <v>0</v>
      </c>
      <c r="Q278" s="9">
        <f t="shared" si="108"/>
        <v>1</v>
      </c>
      <c r="R278" s="9">
        <f t="shared" si="109"/>
        <v>0</v>
      </c>
      <c r="S278" s="9">
        <f t="shared" si="110"/>
        <v>0</v>
      </c>
      <c r="T278" s="9">
        <f t="shared" si="111"/>
        <v>0</v>
      </c>
      <c r="U278" s="9">
        <f t="shared" si="112"/>
        <v>0</v>
      </c>
      <c r="V278" s="9">
        <f t="shared" si="113"/>
        <v>0</v>
      </c>
      <c r="W278" s="9">
        <f t="shared" si="114"/>
        <v>0</v>
      </c>
      <c r="X278" s="9">
        <f t="shared" si="115"/>
        <v>0</v>
      </c>
      <c r="Y278" s="9">
        <f t="shared" si="116"/>
        <v>0</v>
      </c>
      <c r="Z278" s="9">
        <f t="shared" si="117"/>
        <v>0</v>
      </c>
      <c r="AA278" s="10">
        <f t="shared" si="118"/>
        <v>0</v>
      </c>
    </row>
    <row r="279" spans="1:27" x14ac:dyDescent="0.3">
      <c r="A279" s="18" t="s">
        <v>1302</v>
      </c>
      <c r="B279" s="4">
        <f t="shared" si="96"/>
        <v>1</v>
      </c>
      <c r="C279" s="4">
        <f t="shared" si="97"/>
        <v>0</v>
      </c>
      <c r="D279" s="4">
        <f t="shared" si="98"/>
        <v>0</v>
      </c>
      <c r="E279" s="4">
        <f t="shared" si="99"/>
        <v>0</v>
      </c>
      <c r="F279" s="4">
        <f t="shared" si="100"/>
        <v>0</v>
      </c>
      <c r="G279" s="4">
        <f t="shared" si="101"/>
        <v>0</v>
      </c>
      <c r="I279" s="8" t="s">
        <v>982</v>
      </c>
      <c r="J279" s="9">
        <f t="shared" si="102"/>
        <v>0</v>
      </c>
      <c r="K279" s="9">
        <f t="shared" si="119"/>
        <v>1</v>
      </c>
      <c r="L279" s="9">
        <f t="shared" si="103"/>
        <v>0</v>
      </c>
      <c r="M279" s="9">
        <f t="shared" si="104"/>
        <v>0</v>
      </c>
      <c r="N279" s="9">
        <f t="shared" si="105"/>
        <v>0</v>
      </c>
      <c r="O279" s="9">
        <f t="shared" si="106"/>
        <v>0</v>
      </c>
      <c r="P279" s="9">
        <f t="shared" si="107"/>
        <v>0</v>
      </c>
      <c r="Q279" s="9">
        <f t="shared" si="108"/>
        <v>0</v>
      </c>
      <c r="R279" s="9">
        <f t="shared" si="109"/>
        <v>0</v>
      </c>
      <c r="S279" s="9">
        <f t="shared" si="110"/>
        <v>0</v>
      </c>
      <c r="T279" s="9">
        <f t="shared" si="111"/>
        <v>0</v>
      </c>
      <c r="U279" s="9">
        <f t="shared" si="112"/>
        <v>0</v>
      </c>
      <c r="V279" s="9">
        <f t="shared" si="113"/>
        <v>0</v>
      </c>
      <c r="W279" s="9">
        <f t="shared" si="114"/>
        <v>0</v>
      </c>
      <c r="X279" s="9">
        <f t="shared" si="115"/>
        <v>0</v>
      </c>
      <c r="Y279" s="9">
        <f t="shared" si="116"/>
        <v>0</v>
      </c>
      <c r="Z279" s="9">
        <f t="shared" si="117"/>
        <v>0</v>
      </c>
      <c r="AA279" s="10">
        <f t="shared" si="118"/>
        <v>0</v>
      </c>
    </row>
    <row r="280" spans="1:27" x14ac:dyDescent="0.3">
      <c r="A280" s="4" t="s">
        <v>1305</v>
      </c>
      <c r="B280" s="4">
        <f t="shared" si="96"/>
        <v>0</v>
      </c>
      <c r="C280" s="4">
        <f t="shared" si="97"/>
        <v>0</v>
      </c>
      <c r="D280" s="4">
        <f t="shared" si="98"/>
        <v>0</v>
      </c>
      <c r="E280" s="4">
        <f t="shared" si="99"/>
        <v>0</v>
      </c>
      <c r="F280" s="4">
        <f t="shared" si="100"/>
        <v>0</v>
      </c>
      <c r="G280" s="4">
        <f t="shared" si="101"/>
        <v>1</v>
      </c>
      <c r="I280" s="11" t="s">
        <v>982</v>
      </c>
      <c r="J280" s="9">
        <f t="shared" si="102"/>
        <v>0</v>
      </c>
      <c r="K280" s="9">
        <f t="shared" si="119"/>
        <v>1</v>
      </c>
      <c r="L280" s="9">
        <f t="shared" si="103"/>
        <v>0</v>
      </c>
      <c r="M280" s="9">
        <f t="shared" si="104"/>
        <v>0</v>
      </c>
      <c r="N280" s="9">
        <f t="shared" si="105"/>
        <v>0</v>
      </c>
      <c r="O280" s="9">
        <f t="shared" si="106"/>
        <v>0</v>
      </c>
      <c r="P280" s="9">
        <f t="shared" si="107"/>
        <v>0</v>
      </c>
      <c r="Q280" s="9">
        <f t="shared" si="108"/>
        <v>0</v>
      </c>
      <c r="R280" s="9">
        <f t="shared" si="109"/>
        <v>0</v>
      </c>
      <c r="S280" s="9">
        <f t="shared" si="110"/>
        <v>0</v>
      </c>
      <c r="T280" s="9">
        <f t="shared" si="111"/>
        <v>0</v>
      </c>
      <c r="U280" s="9">
        <f t="shared" si="112"/>
        <v>0</v>
      </c>
      <c r="V280" s="9">
        <f t="shared" si="113"/>
        <v>0</v>
      </c>
      <c r="W280" s="9">
        <f t="shared" si="114"/>
        <v>0</v>
      </c>
      <c r="X280" s="9">
        <f t="shared" si="115"/>
        <v>0</v>
      </c>
      <c r="Y280" s="9">
        <f t="shared" si="116"/>
        <v>0</v>
      </c>
      <c r="Z280" s="9">
        <f t="shared" si="117"/>
        <v>0</v>
      </c>
      <c r="AA280" s="10">
        <f t="shared" si="118"/>
        <v>0</v>
      </c>
    </row>
    <row r="281" spans="1:27" x14ac:dyDescent="0.3">
      <c r="A281" s="18" t="s">
        <v>1303</v>
      </c>
      <c r="B281" s="4">
        <f t="shared" si="96"/>
        <v>0</v>
      </c>
      <c r="C281" s="4">
        <f t="shared" si="97"/>
        <v>0</v>
      </c>
      <c r="D281" s="4">
        <f t="shared" si="98"/>
        <v>0</v>
      </c>
      <c r="E281" s="4">
        <f t="shared" si="99"/>
        <v>0</v>
      </c>
      <c r="F281" s="4">
        <f t="shared" si="100"/>
        <v>1</v>
      </c>
      <c r="G281" s="4">
        <f t="shared" si="101"/>
        <v>0</v>
      </c>
      <c r="I281" s="8" t="s">
        <v>988</v>
      </c>
      <c r="J281" s="9">
        <f t="shared" si="102"/>
        <v>0</v>
      </c>
      <c r="K281" s="9">
        <f t="shared" si="119"/>
        <v>0</v>
      </c>
      <c r="L281" s="9">
        <f t="shared" si="103"/>
        <v>1</v>
      </c>
      <c r="M281" s="9">
        <f t="shared" si="104"/>
        <v>0</v>
      </c>
      <c r="N281" s="9">
        <f t="shared" si="105"/>
        <v>0</v>
      </c>
      <c r="O281" s="9">
        <f t="shared" si="106"/>
        <v>0</v>
      </c>
      <c r="P281" s="9">
        <f t="shared" si="107"/>
        <v>0</v>
      </c>
      <c r="Q281" s="9">
        <f t="shared" si="108"/>
        <v>0</v>
      </c>
      <c r="R281" s="9">
        <f t="shared" si="109"/>
        <v>0</v>
      </c>
      <c r="S281" s="9">
        <f t="shared" si="110"/>
        <v>0</v>
      </c>
      <c r="T281" s="9">
        <f t="shared" si="111"/>
        <v>0</v>
      </c>
      <c r="U281" s="9">
        <f t="shared" si="112"/>
        <v>0</v>
      </c>
      <c r="V281" s="9">
        <f t="shared" si="113"/>
        <v>0</v>
      </c>
      <c r="W281" s="9">
        <f t="shared" si="114"/>
        <v>0</v>
      </c>
      <c r="X281" s="9">
        <f t="shared" si="115"/>
        <v>0</v>
      </c>
      <c r="Y281" s="9">
        <f t="shared" si="116"/>
        <v>0</v>
      </c>
      <c r="Z281" s="9">
        <f t="shared" si="117"/>
        <v>0</v>
      </c>
      <c r="AA281" s="10">
        <f t="shared" si="118"/>
        <v>0</v>
      </c>
    </row>
    <row r="282" spans="1:27" x14ac:dyDescent="0.3">
      <c r="A282" s="4" t="s">
        <v>1294</v>
      </c>
      <c r="B282" s="4">
        <f t="shared" si="96"/>
        <v>0</v>
      </c>
      <c r="C282" s="4">
        <f t="shared" si="97"/>
        <v>0</v>
      </c>
      <c r="D282" s="4">
        <f t="shared" si="98"/>
        <v>0</v>
      </c>
      <c r="E282" s="4">
        <f t="shared" si="99"/>
        <v>0</v>
      </c>
      <c r="F282" s="4">
        <f t="shared" si="100"/>
        <v>0</v>
      </c>
      <c r="G282" s="4">
        <f t="shared" si="101"/>
        <v>0</v>
      </c>
      <c r="I282" s="11" t="s">
        <v>988</v>
      </c>
      <c r="J282" s="9">
        <f t="shared" si="102"/>
        <v>0</v>
      </c>
      <c r="K282" s="9">
        <f t="shared" si="119"/>
        <v>0</v>
      </c>
      <c r="L282" s="9">
        <f t="shared" si="103"/>
        <v>1</v>
      </c>
      <c r="M282" s="9">
        <f t="shared" si="104"/>
        <v>0</v>
      </c>
      <c r="N282" s="9">
        <f t="shared" si="105"/>
        <v>0</v>
      </c>
      <c r="O282" s="9">
        <f t="shared" si="106"/>
        <v>0</v>
      </c>
      <c r="P282" s="9">
        <f t="shared" si="107"/>
        <v>0</v>
      </c>
      <c r="Q282" s="9">
        <f t="shared" si="108"/>
        <v>0</v>
      </c>
      <c r="R282" s="9">
        <f t="shared" si="109"/>
        <v>0</v>
      </c>
      <c r="S282" s="9">
        <f t="shared" si="110"/>
        <v>0</v>
      </c>
      <c r="T282" s="9">
        <f t="shared" si="111"/>
        <v>0</v>
      </c>
      <c r="U282" s="9">
        <f t="shared" si="112"/>
        <v>0</v>
      </c>
      <c r="V282" s="9">
        <f t="shared" si="113"/>
        <v>0</v>
      </c>
      <c r="W282" s="9">
        <f t="shared" si="114"/>
        <v>0</v>
      </c>
      <c r="X282" s="9">
        <f t="shared" si="115"/>
        <v>0</v>
      </c>
      <c r="Y282" s="9">
        <f t="shared" si="116"/>
        <v>0</v>
      </c>
      <c r="Z282" s="9">
        <f t="shared" si="117"/>
        <v>0</v>
      </c>
      <c r="AA282" s="10">
        <f t="shared" si="118"/>
        <v>0</v>
      </c>
    </row>
    <row r="283" spans="1:27" x14ac:dyDescent="0.3">
      <c r="A283" s="18" t="s">
        <v>1303</v>
      </c>
      <c r="B283" s="4">
        <f t="shared" si="96"/>
        <v>0</v>
      </c>
      <c r="C283" s="4">
        <f t="shared" si="97"/>
        <v>0</v>
      </c>
      <c r="D283" s="4">
        <f t="shared" si="98"/>
        <v>0</v>
      </c>
      <c r="E283" s="4">
        <f t="shared" si="99"/>
        <v>0</v>
      </c>
      <c r="F283" s="4">
        <f t="shared" si="100"/>
        <v>1</v>
      </c>
      <c r="G283" s="4">
        <f t="shared" si="101"/>
        <v>0</v>
      </c>
      <c r="I283" s="8" t="s">
        <v>1088</v>
      </c>
      <c r="J283" s="9">
        <f t="shared" si="102"/>
        <v>0</v>
      </c>
      <c r="K283" s="9">
        <f t="shared" si="119"/>
        <v>0</v>
      </c>
      <c r="L283" s="9">
        <f t="shared" si="103"/>
        <v>0</v>
      </c>
      <c r="M283" s="9">
        <f t="shared" si="104"/>
        <v>0</v>
      </c>
      <c r="N283" s="9">
        <f t="shared" si="105"/>
        <v>0</v>
      </c>
      <c r="O283" s="9">
        <f t="shared" si="106"/>
        <v>0</v>
      </c>
      <c r="P283" s="9">
        <f t="shared" si="107"/>
        <v>0</v>
      </c>
      <c r="Q283" s="9">
        <f t="shared" si="108"/>
        <v>0</v>
      </c>
      <c r="R283" s="9">
        <f t="shared" si="109"/>
        <v>0</v>
      </c>
      <c r="S283" s="9">
        <f t="shared" si="110"/>
        <v>0</v>
      </c>
      <c r="T283" s="9">
        <f t="shared" si="111"/>
        <v>0</v>
      </c>
      <c r="U283" s="9">
        <f t="shared" si="112"/>
        <v>0</v>
      </c>
      <c r="V283" s="9">
        <f t="shared" si="113"/>
        <v>0</v>
      </c>
      <c r="W283" s="9">
        <f t="shared" si="114"/>
        <v>0</v>
      </c>
      <c r="X283" s="9">
        <f t="shared" si="115"/>
        <v>0</v>
      </c>
      <c r="Y283" s="9">
        <f t="shared" si="116"/>
        <v>0</v>
      </c>
      <c r="Z283" s="9">
        <f t="shared" si="117"/>
        <v>1</v>
      </c>
      <c r="AA283" s="10">
        <f t="shared" si="118"/>
        <v>0</v>
      </c>
    </row>
    <row r="284" spans="1:27" x14ac:dyDescent="0.3">
      <c r="A284" s="4" t="s">
        <v>1303</v>
      </c>
      <c r="B284" s="4">
        <f t="shared" si="96"/>
        <v>0</v>
      </c>
      <c r="C284" s="4">
        <f t="shared" si="97"/>
        <v>0</v>
      </c>
      <c r="D284" s="4">
        <f t="shared" si="98"/>
        <v>0</v>
      </c>
      <c r="E284" s="4">
        <f t="shared" si="99"/>
        <v>0</v>
      </c>
      <c r="F284" s="4">
        <f t="shared" si="100"/>
        <v>1</v>
      </c>
      <c r="G284" s="4">
        <f t="shared" si="101"/>
        <v>0</v>
      </c>
      <c r="I284" s="11" t="s">
        <v>994</v>
      </c>
      <c r="J284" s="9">
        <f t="shared" si="102"/>
        <v>0</v>
      </c>
      <c r="K284" s="9">
        <f t="shared" si="119"/>
        <v>0</v>
      </c>
      <c r="L284" s="9">
        <f t="shared" si="103"/>
        <v>0</v>
      </c>
      <c r="M284" s="9">
        <f t="shared" si="104"/>
        <v>0</v>
      </c>
      <c r="N284" s="9">
        <f t="shared" si="105"/>
        <v>0</v>
      </c>
      <c r="O284" s="9">
        <f t="shared" si="106"/>
        <v>0</v>
      </c>
      <c r="P284" s="9">
        <f t="shared" si="107"/>
        <v>1</v>
      </c>
      <c r="Q284" s="9">
        <f t="shared" si="108"/>
        <v>0</v>
      </c>
      <c r="R284" s="9">
        <f t="shared" si="109"/>
        <v>0</v>
      </c>
      <c r="S284" s="9">
        <f t="shared" si="110"/>
        <v>0</v>
      </c>
      <c r="T284" s="9">
        <f t="shared" si="111"/>
        <v>0</v>
      </c>
      <c r="U284" s="9">
        <f t="shared" si="112"/>
        <v>0</v>
      </c>
      <c r="V284" s="9">
        <f t="shared" si="113"/>
        <v>0</v>
      </c>
      <c r="W284" s="9">
        <f t="shared" si="114"/>
        <v>0</v>
      </c>
      <c r="X284" s="9">
        <f t="shared" si="115"/>
        <v>0</v>
      </c>
      <c r="Y284" s="9">
        <f t="shared" si="116"/>
        <v>0</v>
      </c>
      <c r="Z284" s="9">
        <f t="shared" si="117"/>
        <v>0</v>
      </c>
      <c r="AA284" s="10">
        <f t="shared" si="118"/>
        <v>0</v>
      </c>
    </row>
    <row r="285" spans="1:27" x14ac:dyDescent="0.3">
      <c r="A285" s="18" t="s">
        <v>1302</v>
      </c>
      <c r="B285" s="4">
        <f t="shared" si="96"/>
        <v>1</v>
      </c>
      <c r="C285" s="4">
        <f t="shared" si="97"/>
        <v>0</v>
      </c>
      <c r="D285" s="4">
        <f t="shared" si="98"/>
        <v>0</v>
      </c>
      <c r="E285" s="4">
        <f t="shared" si="99"/>
        <v>0</v>
      </c>
      <c r="F285" s="4">
        <f t="shared" si="100"/>
        <v>0</v>
      </c>
      <c r="G285" s="4">
        <f t="shared" si="101"/>
        <v>0</v>
      </c>
      <c r="I285" s="8" t="s">
        <v>977</v>
      </c>
      <c r="J285" s="9">
        <f t="shared" si="102"/>
        <v>1</v>
      </c>
      <c r="K285" s="9">
        <f t="shared" si="119"/>
        <v>0</v>
      </c>
      <c r="L285" s="9">
        <f t="shared" si="103"/>
        <v>0</v>
      </c>
      <c r="M285" s="9">
        <f t="shared" si="104"/>
        <v>0</v>
      </c>
      <c r="N285" s="9">
        <f t="shared" si="105"/>
        <v>0</v>
      </c>
      <c r="O285" s="9">
        <f t="shared" si="106"/>
        <v>0</v>
      </c>
      <c r="P285" s="9">
        <f t="shared" si="107"/>
        <v>0</v>
      </c>
      <c r="Q285" s="9">
        <f t="shared" si="108"/>
        <v>0</v>
      </c>
      <c r="R285" s="9">
        <f t="shared" si="109"/>
        <v>0</v>
      </c>
      <c r="S285" s="9">
        <f t="shared" si="110"/>
        <v>0</v>
      </c>
      <c r="T285" s="9">
        <f t="shared" si="111"/>
        <v>0</v>
      </c>
      <c r="U285" s="9">
        <f t="shared" si="112"/>
        <v>0</v>
      </c>
      <c r="V285" s="9">
        <f t="shared" si="113"/>
        <v>0</v>
      </c>
      <c r="W285" s="9">
        <f t="shared" si="114"/>
        <v>0</v>
      </c>
      <c r="X285" s="9">
        <f t="shared" si="115"/>
        <v>0</v>
      </c>
      <c r="Y285" s="9">
        <f t="shared" si="116"/>
        <v>0</v>
      </c>
      <c r="Z285" s="9">
        <f t="shared" si="117"/>
        <v>0</v>
      </c>
      <c r="AA285" s="10">
        <f t="shared" si="118"/>
        <v>0</v>
      </c>
    </row>
    <row r="286" spans="1:27" x14ac:dyDescent="0.3">
      <c r="A286" s="4" t="s">
        <v>1302</v>
      </c>
      <c r="B286" s="4">
        <f t="shared" si="96"/>
        <v>1</v>
      </c>
      <c r="C286" s="4">
        <f t="shared" si="97"/>
        <v>0</v>
      </c>
      <c r="D286" s="4">
        <f t="shared" si="98"/>
        <v>0</v>
      </c>
      <c r="E286" s="4">
        <f t="shared" si="99"/>
        <v>0</v>
      </c>
      <c r="F286" s="4">
        <f t="shared" si="100"/>
        <v>0</v>
      </c>
      <c r="G286" s="4">
        <f t="shared" si="101"/>
        <v>0</v>
      </c>
      <c r="I286" s="11" t="s">
        <v>977</v>
      </c>
      <c r="J286" s="9">
        <f t="shared" si="102"/>
        <v>1</v>
      </c>
      <c r="K286" s="9">
        <f t="shared" si="119"/>
        <v>0</v>
      </c>
      <c r="L286" s="9">
        <f t="shared" si="103"/>
        <v>0</v>
      </c>
      <c r="M286" s="9">
        <f t="shared" si="104"/>
        <v>0</v>
      </c>
      <c r="N286" s="9">
        <f t="shared" si="105"/>
        <v>0</v>
      </c>
      <c r="O286" s="9">
        <f t="shared" si="106"/>
        <v>0</v>
      </c>
      <c r="P286" s="9">
        <f t="shared" si="107"/>
        <v>0</v>
      </c>
      <c r="Q286" s="9">
        <f t="shared" si="108"/>
        <v>0</v>
      </c>
      <c r="R286" s="9">
        <f t="shared" si="109"/>
        <v>0</v>
      </c>
      <c r="S286" s="9">
        <f t="shared" si="110"/>
        <v>0</v>
      </c>
      <c r="T286" s="9">
        <f t="shared" si="111"/>
        <v>0</v>
      </c>
      <c r="U286" s="9">
        <f t="shared" si="112"/>
        <v>0</v>
      </c>
      <c r="V286" s="9">
        <f t="shared" si="113"/>
        <v>0</v>
      </c>
      <c r="W286" s="9">
        <f t="shared" si="114"/>
        <v>0</v>
      </c>
      <c r="X286" s="9">
        <f t="shared" si="115"/>
        <v>0</v>
      </c>
      <c r="Y286" s="9">
        <f t="shared" si="116"/>
        <v>0</v>
      </c>
      <c r="Z286" s="9">
        <f t="shared" si="117"/>
        <v>0</v>
      </c>
      <c r="AA286" s="10">
        <f t="shared" si="118"/>
        <v>0</v>
      </c>
    </row>
    <row r="287" spans="1:27" x14ac:dyDescent="0.3">
      <c r="A287" s="18" t="s">
        <v>1303</v>
      </c>
      <c r="B287" s="4">
        <f t="shared" si="96"/>
        <v>0</v>
      </c>
      <c r="C287" s="4">
        <f t="shared" si="97"/>
        <v>0</v>
      </c>
      <c r="D287" s="4">
        <f t="shared" si="98"/>
        <v>0</v>
      </c>
      <c r="E287" s="4">
        <f t="shared" si="99"/>
        <v>0</v>
      </c>
      <c r="F287" s="4">
        <f t="shared" si="100"/>
        <v>1</v>
      </c>
      <c r="G287" s="4">
        <f t="shared" si="101"/>
        <v>0</v>
      </c>
      <c r="I287" s="8" t="s">
        <v>992</v>
      </c>
      <c r="J287" s="9">
        <f t="shared" si="102"/>
        <v>0</v>
      </c>
      <c r="K287" s="9">
        <f t="shared" si="119"/>
        <v>0</v>
      </c>
      <c r="L287" s="9">
        <f t="shared" si="103"/>
        <v>0</v>
      </c>
      <c r="M287" s="9">
        <f t="shared" si="104"/>
        <v>0</v>
      </c>
      <c r="N287" s="9">
        <f t="shared" si="105"/>
        <v>0</v>
      </c>
      <c r="O287" s="9">
        <f t="shared" si="106"/>
        <v>1</v>
      </c>
      <c r="P287" s="9">
        <f t="shared" si="107"/>
        <v>0</v>
      </c>
      <c r="Q287" s="9">
        <f t="shared" si="108"/>
        <v>0</v>
      </c>
      <c r="R287" s="9">
        <f t="shared" si="109"/>
        <v>0</v>
      </c>
      <c r="S287" s="9">
        <f t="shared" si="110"/>
        <v>0</v>
      </c>
      <c r="T287" s="9">
        <f t="shared" si="111"/>
        <v>0</v>
      </c>
      <c r="U287" s="9">
        <f t="shared" si="112"/>
        <v>0</v>
      </c>
      <c r="V287" s="9">
        <f t="shared" si="113"/>
        <v>0</v>
      </c>
      <c r="W287" s="9">
        <f t="shared" si="114"/>
        <v>0</v>
      </c>
      <c r="X287" s="9">
        <f t="shared" si="115"/>
        <v>0</v>
      </c>
      <c r="Y287" s="9">
        <f t="shared" si="116"/>
        <v>0</v>
      </c>
      <c r="Z287" s="9">
        <f t="shared" si="117"/>
        <v>0</v>
      </c>
      <c r="AA287" s="10">
        <f t="shared" si="118"/>
        <v>0</v>
      </c>
    </row>
    <row r="288" spans="1:27" x14ac:dyDescent="0.3">
      <c r="A288" s="4" t="s">
        <v>1303</v>
      </c>
      <c r="B288" s="4">
        <f t="shared" si="96"/>
        <v>0</v>
      </c>
      <c r="C288" s="4">
        <f t="shared" si="97"/>
        <v>0</v>
      </c>
      <c r="D288" s="4">
        <f t="shared" si="98"/>
        <v>0</v>
      </c>
      <c r="E288" s="4">
        <f t="shared" si="99"/>
        <v>0</v>
      </c>
      <c r="F288" s="4">
        <f t="shared" si="100"/>
        <v>1</v>
      </c>
      <c r="G288" s="4">
        <f t="shared" si="101"/>
        <v>0</v>
      </c>
      <c r="I288" s="11" t="s">
        <v>994</v>
      </c>
      <c r="J288" s="9">
        <f t="shared" si="102"/>
        <v>0</v>
      </c>
      <c r="K288" s="9">
        <f t="shared" si="119"/>
        <v>0</v>
      </c>
      <c r="L288" s="9">
        <f t="shared" si="103"/>
        <v>0</v>
      </c>
      <c r="M288" s="9">
        <f t="shared" si="104"/>
        <v>0</v>
      </c>
      <c r="N288" s="9">
        <f t="shared" si="105"/>
        <v>0</v>
      </c>
      <c r="O288" s="9">
        <f t="shared" si="106"/>
        <v>0</v>
      </c>
      <c r="P288" s="9">
        <f t="shared" si="107"/>
        <v>1</v>
      </c>
      <c r="Q288" s="9">
        <f t="shared" si="108"/>
        <v>0</v>
      </c>
      <c r="R288" s="9">
        <f t="shared" si="109"/>
        <v>0</v>
      </c>
      <c r="S288" s="9">
        <f t="shared" si="110"/>
        <v>0</v>
      </c>
      <c r="T288" s="9">
        <f t="shared" si="111"/>
        <v>0</v>
      </c>
      <c r="U288" s="9">
        <f t="shared" si="112"/>
        <v>0</v>
      </c>
      <c r="V288" s="9">
        <f t="shared" si="113"/>
        <v>0</v>
      </c>
      <c r="W288" s="9">
        <f t="shared" si="114"/>
        <v>0</v>
      </c>
      <c r="X288" s="9">
        <f t="shared" si="115"/>
        <v>0</v>
      </c>
      <c r="Y288" s="9">
        <f t="shared" si="116"/>
        <v>0</v>
      </c>
      <c r="Z288" s="9">
        <f t="shared" si="117"/>
        <v>0</v>
      </c>
      <c r="AA288" s="10">
        <f t="shared" si="118"/>
        <v>0</v>
      </c>
    </row>
    <row r="289" spans="1:27" x14ac:dyDescent="0.3">
      <c r="A289" s="18" t="s">
        <v>1302</v>
      </c>
      <c r="B289" s="4">
        <f t="shared" si="96"/>
        <v>1</v>
      </c>
      <c r="C289" s="4">
        <f t="shared" si="97"/>
        <v>0</v>
      </c>
      <c r="D289" s="4">
        <f t="shared" si="98"/>
        <v>0</v>
      </c>
      <c r="E289" s="4">
        <f t="shared" si="99"/>
        <v>0</v>
      </c>
      <c r="F289" s="4">
        <f t="shared" si="100"/>
        <v>0</v>
      </c>
      <c r="G289" s="4">
        <f t="shared" si="101"/>
        <v>0</v>
      </c>
      <c r="I289" s="8" t="s">
        <v>977</v>
      </c>
      <c r="J289" s="9">
        <f t="shared" si="102"/>
        <v>1</v>
      </c>
      <c r="K289" s="9">
        <f t="shared" si="119"/>
        <v>0</v>
      </c>
      <c r="L289" s="9">
        <f t="shared" si="103"/>
        <v>0</v>
      </c>
      <c r="M289" s="9">
        <f t="shared" si="104"/>
        <v>0</v>
      </c>
      <c r="N289" s="9">
        <f t="shared" si="105"/>
        <v>0</v>
      </c>
      <c r="O289" s="9">
        <f t="shared" si="106"/>
        <v>0</v>
      </c>
      <c r="P289" s="9">
        <f t="shared" si="107"/>
        <v>0</v>
      </c>
      <c r="Q289" s="9">
        <f t="shared" si="108"/>
        <v>0</v>
      </c>
      <c r="R289" s="9">
        <f t="shared" si="109"/>
        <v>0</v>
      </c>
      <c r="S289" s="9">
        <f t="shared" si="110"/>
        <v>0</v>
      </c>
      <c r="T289" s="9">
        <f t="shared" si="111"/>
        <v>0</v>
      </c>
      <c r="U289" s="9">
        <f t="shared" si="112"/>
        <v>0</v>
      </c>
      <c r="V289" s="9">
        <f t="shared" si="113"/>
        <v>0</v>
      </c>
      <c r="W289" s="9">
        <f t="shared" si="114"/>
        <v>0</v>
      </c>
      <c r="X289" s="9">
        <f t="shared" si="115"/>
        <v>0</v>
      </c>
      <c r="Y289" s="9">
        <f t="shared" si="116"/>
        <v>0</v>
      </c>
      <c r="Z289" s="9">
        <f t="shared" si="117"/>
        <v>0</v>
      </c>
      <c r="AA289" s="10">
        <f t="shared" si="118"/>
        <v>0</v>
      </c>
    </row>
    <row r="290" spans="1:27" x14ac:dyDescent="0.3">
      <c r="A290" s="4" t="s">
        <v>1302</v>
      </c>
      <c r="B290" s="4">
        <f t="shared" si="96"/>
        <v>1</v>
      </c>
      <c r="C290" s="4">
        <f t="shared" si="97"/>
        <v>0</v>
      </c>
      <c r="D290" s="4">
        <f t="shared" si="98"/>
        <v>0</v>
      </c>
      <c r="E290" s="4">
        <f t="shared" si="99"/>
        <v>0</v>
      </c>
      <c r="F290" s="4">
        <f t="shared" si="100"/>
        <v>0</v>
      </c>
      <c r="G290" s="4">
        <f t="shared" si="101"/>
        <v>0</v>
      </c>
      <c r="I290" s="11" t="s">
        <v>1088</v>
      </c>
      <c r="J290" s="9">
        <f t="shared" si="102"/>
        <v>0</v>
      </c>
      <c r="K290" s="9">
        <f t="shared" si="119"/>
        <v>0</v>
      </c>
      <c r="L290" s="9">
        <f t="shared" si="103"/>
        <v>0</v>
      </c>
      <c r="M290" s="9">
        <f t="shared" si="104"/>
        <v>0</v>
      </c>
      <c r="N290" s="9">
        <f t="shared" si="105"/>
        <v>0</v>
      </c>
      <c r="O290" s="9">
        <f t="shared" si="106"/>
        <v>0</v>
      </c>
      <c r="P290" s="9">
        <f t="shared" si="107"/>
        <v>0</v>
      </c>
      <c r="Q290" s="9">
        <f t="shared" si="108"/>
        <v>0</v>
      </c>
      <c r="R290" s="9">
        <f t="shared" si="109"/>
        <v>0</v>
      </c>
      <c r="S290" s="9">
        <f t="shared" si="110"/>
        <v>0</v>
      </c>
      <c r="T290" s="9">
        <f t="shared" si="111"/>
        <v>0</v>
      </c>
      <c r="U290" s="9">
        <f t="shared" si="112"/>
        <v>0</v>
      </c>
      <c r="V290" s="9">
        <f t="shared" si="113"/>
        <v>0</v>
      </c>
      <c r="W290" s="9">
        <f t="shared" si="114"/>
        <v>0</v>
      </c>
      <c r="X290" s="9">
        <f t="shared" si="115"/>
        <v>0</v>
      </c>
      <c r="Y290" s="9">
        <f t="shared" si="116"/>
        <v>0</v>
      </c>
      <c r="Z290" s="9">
        <f t="shared" si="117"/>
        <v>1</v>
      </c>
      <c r="AA290" s="10">
        <f t="shared" si="118"/>
        <v>0</v>
      </c>
    </row>
    <row r="291" spans="1:27" x14ac:dyDescent="0.3">
      <c r="A291" s="18" t="s">
        <v>1302</v>
      </c>
      <c r="B291" s="4">
        <f t="shared" si="96"/>
        <v>1</v>
      </c>
      <c r="C291" s="4">
        <f t="shared" si="97"/>
        <v>0</v>
      </c>
      <c r="D291" s="4">
        <f t="shared" si="98"/>
        <v>0</v>
      </c>
      <c r="E291" s="4">
        <f t="shared" si="99"/>
        <v>0</v>
      </c>
      <c r="F291" s="4">
        <f t="shared" si="100"/>
        <v>0</v>
      </c>
      <c r="G291" s="4">
        <f t="shared" si="101"/>
        <v>0</v>
      </c>
      <c r="I291" s="8" t="s">
        <v>988</v>
      </c>
      <c r="J291" s="9">
        <f t="shared" si="102"/>
        <v>0</v>
      </c>
      <c r="K291" s="9">
        <f t="shared" si="119"/>
        <v>0</v>
      </c>
      <c r="L291" s="9">
        <f t="shared" si="103"/>
        <v>1</v>
      </c>
      <c r="M291" s="9">
        <f t="shared" si="104"/>
        <v>0</v>
      </c>
      <c r="N291" s="9">
        <f t="shared" si="105"/>
        <v>0</v>
      </c>
      <c r="O291" s="9">
        <f t="shared" si="106"/>
        <v>0</v>
      </c>
      <c r="P291" s="9">
        <f t="shared" si="107"/>
        <v>0</v>
      </c>
      <c r="Q291" s="9">
        <f t="shared" si="108"/>
        <v>0</v>
      </c>
      <c r="R291" s="9">
        <f t="shared" si="109"/>
        <v>0</v>
      </c>
      <c r="S291" s="9">
        <f t="shared" si="110"/>
        <v>0</v>
      </c>
      <c r="T291" s="9">
        <f t="shared" si="111"/>
        <v>0</v>
      </c>
      <c r="U291" s="9">
        <f t="shared" si="112"/>
        <v>0</v>
      </c>
      <c r="V291" s="9">
        <f t="shared" si="113"/>
        <v>0</v>
      </c>
      <c r="W291" s="9">
        <f t="shared" si="114"/>
        <v>0</v>
      </c>
      <c r="X291" s="9">
        <f t="shared" si="115"/>
        <v>0</v>
      </c>
      <c r="Y291" s="9">
        <f t="shared" si="116"/>
        <v>0</v>
      </c>
      <c r="Z291" s="9">
        <f t="shared" si="117"/>
        <v>0</v>
      </c>
      <c r="AA291" s="10">
        <f t="shared" si="118"/>
        <v>0</v>
      </c>
    </row>
    <row r="292" spans="1:27" x14ac:dyDescent="0.3">
      <c r="A292" s="4" t="s">
        <v>1304</v>
      </c>
      <c r="B292" s="4">
        <f t="shared" si="96"/>
        <v>0</v>
      </c>
      <c r="C292" s="4">
        <f t="shared" si="97"/>
        <v>1</v>
      </c>
      <c r="D292" s="4">
        <f t="shared" si="98"/>
        <v>0</v>
      </c>
      <c r="E292" s="4">
        <f t="shared" si="99"/>
        <v>0</v>
      </c>
      <c r="F292" s="4">
        <f t="shared" si="100"/>
        <v>0</v>
      </c>
      <c r="G292" s="4">
        <f t="shared" si="101"/>
        <v>0</v>
      </c>
      <c r="I292" s="11" t="s">
        <v>988</v>
      </c>
      <c r="J292" s="9">
        <f t="shared" si="102"/>
        <v>0</v>
      </c>
      <c r="K292" s="9">
        <f t="shared" si="119"/>
        <v>0</v>
      </c>
      <c r="L292" s="9">
        <f t="shared" si="103"/>
        <v>1</v>
      </c>
      <c r="M292" s="9">
        <f t="shared" si="104"/>
        <v>0</v>
      </c>
      <c r="N292" s="9">
        <f t="shared" si="105"/>
        <v>0</v>
      </c>
      <c r="O292" s="9">
        <f t="shared" si="106"/>
        <v>0</v>
      </c>
      <c r="P292" s="9">
        <f t="shared" si="107"/>
        <v>0</v>
      </c>
      <c r="Q292" s="9">
        <f t="shared" si="108"/>
        <v>0</v>
      </c>
      <c r="R292" s="9">
        <f t="shared" si="109"/>
        <v>0</v>
      </c>
      <c r="S292" s="9">
        <f t="shared" si="110"/>
        <v>0</v>
      </c>
      <c r="T292" s="9">
        <f t="shared" si="111"/>
        <v>0</v>
      </c>
      <c r="U292" s="9">
        <f t="shared" si="112"/>
        <v>0</v>
      </c>
      <c r="V292" s="9">
        <f t="shared" si="113"/>
        <v>0</v>
      </c>
      <c r="W292" s="9">
        <f t="shared" si="114"/>
        <v>0</v>
      </c>
      <c r="X292" s="9">
        <f t="shared" si="115"/>
        <v>0</v>
      </c>
      <c r="Y292" s="9">
        <f t="shared" si="116"/>
        <v>0</v>
      </c>
      <c r="Z292" s="9">
        <f t="shared" si="117"/>
        <v>0</v>
      </c>
      <c r="AA292" s="10">
        <f t="shared" si="118"/>
        <v>0</v>
      </c>
    </row>
    <row r="293" spans="1:27" x14ac:dyDescent="0.3">
      <c r="A293" s="18" t="s">
        <v>1305</v>
      </c>
      <c r="B293" s="4">
        <f t="shared" si="96"/>
        <v>0</v>
      </c>
      <c r="C293" s="4">
        <f t="shared" si="97"/>
        <v>0</v>
      </c>
      <c r="D293" s="4">
        <f t="shared" si="98"/>
        <v>0</v>
      </c>
      <c r="E293" s="4">
        <f t="shared" si="99"/>
        <v>0</v>
      </c>
      <c r="F293" s="4">
        <f t="shared" si="100"/>
        <v>0</v>
      </c>
      <c r="G293" s="4">
        <f t="shared" si="101"/>
        <v>1</v>
      </c>
      <c r="I293" s="8" t="s">
        <v>988</v>
      </c>
      <c r="J293" s="9">
        <f t="shared" si="102"/>
        <v>0</v>
      </c>
      <c r="K293" s="9">
        <f t="shared" si="119"/>
        <v>0</v>
      </c>
      <c r="L293" s="9">
        <f t="shared" si="103"/>
        <v>1</v>
      </c>
      <c r="M293" s="9">
        <f t="shared" si="104"/>
        <v>0</v>
      </c>
      <c r="N293" s="9">
        <f t="shared" si="105"/>
        <v>0</v>
      </c>
      <c r="O293" s="9">
        <f t="shared" si="106"/>
        <v>0</v>
      </c>
      <c r="P293" s="9">
        <f t="shared" si="107"/>
        <v>0</v>
      </c>
      <c r="Q293" s="9">
        <f t="shared" si="108"/>
        <v>0</v>
      </c>
      <c r="R293" s="9">
        <f t="shared" si="109"/>
        <v>0</v>
      </c>
      <c r="S293" s="9">
        <f t="shared" si="110"/>
        <v>0</v>
      </c>
      <c r="T293" s="9">
        <f t="shared" si="111"/>
        <v>0</v>
      </c>
      <c r="U293" s="9">
        <f t="shared" si="112"/>
        <v>0</v>
      </c>
      <c r="V293" s="9">
        <f t="shared" si="113"/>
        <v>0</v>
      </c>
      <c r="W293" s="9">
        <f t="shared" si="114"/>
        <v>0</v>
      </c>
      <c r="X293" s="9">
        <f t="shared" si="115"/>
        <v>0</v>
      </c>
      <c r="Y293" s="9">
        <f t="shared" si="116"/>
        <v>0</v>
      </c>
      <c r="Z293" s="9">
        <f t="shared" si="117"/>
        <v>0</v>
      </c>
      <c r="AA293" s="10">
        <f t="shared" si="118"/>
        <v>0</v>
      </c>
    </row>
    <row r="294" spans="1:27" x14ac:dyDescent="0.3">
      <c r="A294" s="4" t="s">
        <v>1302</v>
      </c>
      <c r="B294" s="4">
        <f t="shared" si="96"/>
        <v>1</v>
      </c>
      <c r="C294" s="4">
        <f t="shared" si="97"/>
        <v>0</v>
      </c>
      <c r="D294" s="4">
        <f t="shared" si="98"/>
        <v>0</v>
      </c>
      <c r="E294" s="4">
        <f t="shared" si="99"/>
        <v>0</v>
      </c>
      <c r="F294" s="4">
        <f t="shared" si="100"/>
        <v>0</v>
      </c>
      <c r="G294" s="4">
        <f t="shared" si="101"/>
        <v>0</v>
      </c>
      <c r="I294" s="11" t="s">
        <v>1108</v>
      </c>
      <c r="J294" s="9">
        <f t="shared" si="102"/>
        <v>0</v>
      </c>
      <c r="K294" s="9">
        <f t="shared" si="119"/>
        <v>0</v>
      </c>
      <c r="L294" s="9">
        <f t="shared" si="103"/>
        <v>0</v>
      </c>
      <c r="M294" s="9">
        <f t="shared" si="104"/>
        <v>0</v>
      </c>
      <c r="N294" s="9">
        <f t="shared" si="105"/>
        <v>0</v>
      </c>
      <c r="O294" s="9">
        <f t="shared" si="106"/>
        <v>0</v>
      </c>
      <c r="P294" s="9">
        <f t="shared" si="107"/>
        <v>0</v>
      </c>
      <c r="Q294" s="9">
        <f t="shared" si="108"/>
        <v>0</v>
      </c>
      <c r="R294" s="9">
        <f t="shared" si="109"/>
        <v>0</v>
      </c>
      <c r="S294" s="9">
        <f t="shared" si="110"/>
        <v>0</v>
      </c>
      <c r="T294" s="9">
        <f t="shared" si="111"/>
        <v>0</v>
      </c>
      <c r="U294" s="9">
        <f t="shared" si="112"/>
        <v>0</v>
      </c>
      <c r="V294" s="9">
        <f t="shared" si="113"/>
        <v>0</v>
      </c>
      <c r="W294" s="9">
        <f t="shared" si="114"/>
        <v>1</v>
      </c>
      <c r="X294" s="9">
        <f t="shared" si="115"/>
        <v>0</v>
      </c>
      <c r="Y294" s="9">
        <f t="shared" si="116"/>
        <v>0</v>
      </c>
      <c r="Z294" s="9">
        <f t="shared" si="117"/>
        <v>0</v>
      </c>
      <c r="AA294" s="10">
        <f t="shared" si="118"/>
        <v>0</v>
      </c>
    </row>
    <row r="295" spans="1:27" x14ac:dyDescent="0.3">
      <c r="A295" s="18" t="s">
        <v>1303</v>
      </c>
      <c r="B295" s="4">
        <f t="shared" si="96"/>
        <v>0</v>
      </c>
      <c r="C295" s="4">
        <f t="shared" si="97"/>
        <v>0</v>
      </c>
      <c r="D295" s="4">
        <f t="shared" si="98"/>
        <v>0</v>
      </c>
      <c r="E295" s="4">
        <f t="shared" si="99"/>
        <v>0</v>
      </c>
      <c r="F295" s="4">
        <f t="shared" si="100"/>
        <v>1</v>
      </c>
      <c r="G295" s="4">
        <f t="shared" si="101"/>
        <v>0</v>
      </c>
      <c r="I295" s="8" t="s">
        <v>982</v>
      </c>
      <c r="J295" s="9">
        <f t="shared" si="102"/>
        <v>0</v>
      </c>
      <c r="K295" s="9">
        <f t="shared" si="119"/>
        <v>1</v>
      </c>
      <c r="L295" s="9">
        <f t="shared" si="103"/>
        <v>0</v>
      </c>
      <c r="M295" s="9">
        <f t="shared" si="104"/>
        <v>0</v>
      </c>
      <c r="N295" s="9">
        <f t="shared" si="105"/>
        <v>0</v>
      </c>
      <c r="O295" s="9">
        <f t="shared" si="106"/>
        <v>0</v>
      </c>
      <c r="P295" s="9">
        <f t="shared" si="107"/>
        <v>0</v>
      </c>
      <c r="Q295" s="9">
        <f t="shared" si="108"/>
        <v>0</v>
      </c>
      <c r="R295" s="9">
        <f t="shared" si="109"/>
        <v>0</v>
      </c>
      <c r="S295" s="9">
        <f t="shared" si="110"/>
        <v>0</v>
      </c>
      <c r="T295" s="9">
        <f t="shared" si="111"/>
        <v>0</v>
      </c>
      <c r="U295" s="9">
        <f t="shared" si="112"/>
        <v>0</v>
      </c>
      <c r="V295" s="9">
        <f t="shared" si="113"/>
        <v>0</v>
      </c>
      <c r="W295" s="9">
        <f t="shared" si="114"/>
        <v>0</v>
      </c>
      <c r="X295" s="9">
        <f t="shared" si="115"/>
        <v>0</v>
      </c>
      <c r="Y295" s="9">
        <f t="shared" si="116"/>
        <v>0</v>
      </c>
      <c r="Z295" s="9">
        <f t="shared" si="117"/>
        <v>0</v>
      </c>
      <c r="AA295" s="10">
        <f t="shared" si="118"/>
        <v>0</v>
      </c>
    </row>
    <row r="296" spans="1:27" x14ac:dyDescent="0.3">
      <c r="A296" s="4" t="s">
        <v>1305</v>
      </c>
      <c r="B296" s="4">
        <f t="shared" si="96"/>
        <v>0</v>
      </c>
      <c r="C296" s="4">
        <f t="shared" si="97"/>
        <v>0</v>
      </c>
      <c r="D296" s="4">
        <f t="shared" si="98"/>
        <v>0</v>
      </c>
      <c r="E296" s="4">
        <f t="shared" si="99"/>
        <v>0</v>
      </c>
      <c r="F296" s="4">
        <f t="shared" si="100"/>
        <v>0</v>
      </c>
      <c r="G296" s="4">
        <f t="shared" si="101"/>
        <v>1</v>
      </c>
      <c r="I296" s="11" t="s">
        <v>990</v>
      </c>
      <c r="J296" s="9">
        <f t="shared" si="102"/>
        <v>0</v>
      </c>
      <c r="K296" s="9">
        <f t="shared" si="119"/>
        <v>0</v>
      </c>
      <c r="L296" s="9">
        <f t="shared" si="103"/>
        <v>0</v>
      </c>
      <c r="M296" s="9">
        <f t="shared" si="104"/>
        <v>0</v>
      </c>
      <c r="N296" s="9">
        <f t="shared" si="105"/>
        <v>1</v>
      </c>
      <c r="O296" s="9">
        <f t="shared" si="106"/>
        <v>0</v>
      </c>
      <c r="P296" s="9">
        <f t="shared" si="107"/>
        <v>0</v>
      </c>
      <c r="Q296" s="9">
        <f t="shared" si="108"/>
        <v>0</v>
      </c>
      <c r="R296" s="9">
        <f t="shared" si="109"/>
        <v>0</v>
      </c>
      <c r="S296" s="9">
        <f t="shared" si="110"/>
        <v>0</v>
      </c>
      <c r="T296" s="9">
        <f t="shared" si="111"/>
        <v>0</v>
      </c>
      <c r="U296" s="9">
        <f t="shared" si="112"/>
        <v>0</v>
      </c>
      <c r="V296" s="9">
        <f t="shared" si="113"/>
        <v>0</v>
      </c>
      <c r="W296" s="9">
        <f t="shared" si="114"/>
        <v>0</v>
      </c>
      <c r="X296" s="9">
        <f t="shared" si="115"/>
        <v>0</v>
      </c>
      <c r="Y296" s="9">
        <f t="shared" si="116"/>
        <v>0</v>
      </c>
      <c r="Z296" s="9">
        <f t="shared" si="117"/>
        <v>0</v>
      </c>
      <c r="AA296" s="10">
        <f t="shared" si="118"/>
        <v>0</v>
      </c>
    </row>
    <row r="297" spans="1:27" x14ac:dyDescent="0.3">
      <c r="A297" s="18" t="s">
        <v>1302</v>
      </c>
      <c r="B297" s="4">
        <f t="shared" si="96"/>
        <v>1</v>
      </c>
      <c r="C297" s="4">
        <f t="shared" si="97"/>
        <v>0</v>
      </c>
      <c r="D297" s="4">
        <f t="shared" si="98"/>
        <v>0</v>
      </c>
      <c r="E297" s="4">
        <f t="shared" si="99"/>
        <v>0</v>
      </c>
      <c r="F297" s="4">
        <f t="shared" si="100"/>
        <v>0</v>
      </c>
      <c r="G297" s="4">
        <f t="shared" si="101"/>
        <v>0</v>
      </c>
      <c r="I297" s="8" t="s">
        <v>977</v>
      </c>
      <c r="J297" s="9">
        <f t="shared" si="102"/>
        <v>1</v>
      </c>
      <c r="K297" s="9">
        <f t="shared" si="119"/>
        <v>0</v>
      </c>
      <c r="L297" s="9">
        <f t="shared" si="103"/>
        <v>0</v>
      </c>
      <c r="M297" s="9">
        <f t="shared" si="104"/>
        <v>0</v>
      </c>
      <c r="N297" s="9">
        <f t="shared" si="105"/>
        <v>0</v>
      </c>
      <c r="O297" s="9">
        <f t="shared" si="106"/>
        <v>0</v>
      </c>
      <c r="P297" s="9">
        <f t="shared" si="107"/>
        <v>0</v>
      </c>
      <c r="Q297" s="9">
        <f t="shared" si="108"/>
        <v>0</v>
      </c>
      <c r="R297" s="9">
        <f t="shared" si="109"/>
        <v>0</v>
      </c>
      <c r="S297" s="9">
        <f t="shared" si="110"/>
        <v>0</v>
      </c>
      <c r="T297" s="9">
        <f t="shared" si="111"/>
        <v>0</v>
      </c>
      <c r="U297" s="9">
        <f t="shared" si="112"/>
        <v>0</v>
      </c>
      <c r="V297" s="9">
        <f t="shared" si="113"/>
        <v>0</v>
      </c>
      <c r="W297" s="9">
        <f t="shared" si="114"/>
        <v>0</v>
      </c>
      <c r="X297" s="9">
        <f t="shared" si="115"/>
        <v>0</v>
      </c>
      <c r="Y297" s="9">
        <f t="shared" si="116"/>
        <v>0</v>
      </c>
      <c r="Z297" s="9">
        <f t="shared" si="117"/>
        <v>0</v>
      </c>
      <c r="AA297" s="10">
        <f t="shared" si="118"/>
        <v>0</v>
      </c>
    </row>
    <row r="298" spans="1:27" x14ac:dyDescent="0.3">
      <c r="A298" s="4" t="s">
        <v>1294</v>
      </c>
      <c r="B298" s="4">
        <f t="shared" si="96"/>
        <v>0</v>
      </c>
      <c r="C298" s="4">
        <f t="shared" si="97"/>
        <v>0</v>
      </c>
      <c r="D298" s="4">
        <f t="shared" si="98"/>
        <v>0</v>
      </c>
      <c r="E298" s="4">
        <f t="shared" si="99"/>
        <v>0</v>
      </c>
      <c r="F298" s="4">
        <f t="shared" si="100"/>
        <v>0</v>
      </c>
      <c r="G298" s="4">
        <f t="shared" si="101"/>
        <v>0</v>
      </c>
      <c r="I298" s="11" t="s">
        <v>988</v>
      </c>
      <c r="J298" s="9">
        <f t="shared" si="102"/>
        <v>0</v>
      </c>
      <c r="K298" s="9">
        <f t="shared" si="119"/>
        <v>0</v>
      </c>
      <c r="L298" s="9">
        <f t="shared" si="103"/>
        <v>1</v>
      </c>
      <c r="M298" s="9">
        <f t="shared" si="104"/>
        <v>0</v>
      </c>
      <c r="N298" s="9">
        <f t="shared" si="105"/>
        <v>0</v>
      </c>
      <c r="O298" s="9">
        <f t="shared" si="106"/>
        <v>0</v>
      </c>
      <c r="P298" s="9">
        <f t="shared" si="107"/>
        <v>0</v>
      </c>
      <c r="Q298" s="9">
        <f t="shared" si="108"/>
        <v>0</v>
      </c>
      <c r="R298" s="9">
        <f t="shared" si="109"/>
        <v>0</v>
      </c>
      <c r="S298" s="9">
        <f t="shared" si="110"/>
        <v>0</v>
      </c>
      <c r="T298" s="9">
        <f t="shared" si="111"/>
        <v>0</v>
      </c>
      <c r="U298" s="9">
        <f t="shared" si="112"/>
        <v>0</v>
      </c>
      <c r="V298" s="9">
        <f t="shared" si="113"/>
        <v>0</v>
      </c>
      <c r="W298" s="9">
        <f t="shared" si="114"/>
        <v>0</v>
      </c>
      <c r="X298" s="9">
        <f t="shared" si="115"/>
        <v>0</v>
      </c>
      <c r="Y298" s="9">
        <f t="shared" si="116"/>
        <v>0</v>
      </c>
      <c r="Z298" s="9">
        <f t="shared" si="117"/>
        <v>0</v>
      </c>
      <c r="AA298" s="10">
        <f t="shared" si="118"/>
        <v>0</v>
      </c>
    </row>
    <row r="299" spans="1:27" x14ac:dyDescent="0.3">
      <c r="A299" s="18" t="s">
        <v>1294</v>
      </c>
      <c r="B299" s="4">
        <f t="shared" si="96"/>
        <v>0</v>
      </c>
      <c r="C299" s="4">
        <f t="shared" si="97"/>
        <v>0</v>
      </c>
      <c r="D299" s="4">
        <f t="shared" si="98"/>
        <v>0</v>
      </c>
      <c r="E299" s="4">
        <f t="shared" si="99"/>
        <v>0</v>
      </c>
      <c r="F299" s="4">
        <f t="shared" si="100"/>
        <v>0</v>
      </c>
      <c r="G299" s="4">
        <f t="shared" si="101"/>
        <v>0</v>
      </c>
      <c r="I299" s="8" t="s">
        <v>988</v>
      </c>
      <c r="J299" s="9">
        <f t="shared" si="102"/>
        <v>0</v>
      </c>
      <c r="K299" s="9">
        <f t="shared" si="119"/>
        <v>0</v>
      </c>
      <c r="L299" s="9">
        <f t="shared" si="103"/>
        <v>1</v>
      </c>
      <c r="M299" s="9">
        <f t="shared" si="104"/>
        <v>0</v>
      </c>
      <c r="N299" s="9">
        <f t="shared" si="105"/>
        <v>0</v>
      </c>
      <c r="O299" s="9">
        <f t="shared" si="106"/>
        <v>0</v>
      </c>
      <c r="P299" s="9">
        <f t="shared" si="107"/>
        <v>0</v>
      </c>
      <c r="Q299" s="9">
        <f t="shared" si="108"/>
        <v>0</v>
      </c>
      <c r="R299" s="9">
        <f t="shared" si="109"/>
        <v>0</v>
      </c>
      <c r="S299" s="9">
        <f t="shared" si="110"/>
        <v>0</v>
      </c>
      <c r="T299" s="9">
        <f t="shared" si="111"/>
        <v>0</v>
      </c>
      <c r="U299" s="9">
        <f t="shared" si="112"/>
        <v>0</v>
      </c>
      <c r="V299" s="9">
        <f t="shared" si="113"/>
        <v>0</v>
      </c>
      <c r="W299" s="9">
        <f t="shared" si="114"/>
        <v>0</v>
      </c>
      <c r="X299" s="9">
        <f t="shared" si="115"/>
        <v>0</v>
      </c>
      <c r="Y299" s="9">
        <f t="shared" si="116"/>
        <v>0</v>
      </c>
      <c r="Z299" s="9">
        <f t="shared" si="117"/>
        <v>0</v>
      </c>
      <c r="AA299" s="10">
        <f t="shared" si="118"/>
        <v>0</v>
      </c>
    </row>
    <row r="300" spans="1:27" x14ac:dyDescent="0.3">
      <c r="A300" s="4" t="s">
        <v>1303</v>
      </c>
      <c r="B300" s="4">
        <f t="shared" si="96"/>
        <v>0</v>
      </c>
      <c r="C300" s="4">
        <f t="shared" si="97"/>
        <v>0</v>
      </c>
      <c r="D300" s="4">
        <f t="shared" si="98"/>
        <v>0</v>
      </c>
      <c r="E300" s="4">
        <f t="shared" si="99"/>
        <v>0</v>
      </c>
      <c r="F300" s="4">
        <f t="shared" si="100"/>
        <v>1</v>
      </c>
      <c r="G300" s="4">
        <f t="shared" si="101"/>
        <v>0</v>
      </c>
      <c r="I300" s="11" t="s">
        <v>994</v>
      </c>
      <c r="J300" s="9">
        <f t="shared" si="102"/>
        <v>0</v>
      </c>
      <c r="K300" s="9">
        <f t="shared" si="119"/>
        <v>0</v>
      </c>
      <c r="L300" s="9">
        <f t="shared" si="103"/>
        <v>0</v>
      </c>
      <c r="M300" s="9">
        <f t="shared" si="104"/>
        <v>0</v>
      </c>
      <c r="N300" s="9">
        <f t="shared" si="105"/>
        <v>0</v>
      </c>
      <c r="O300" s="9">
        <f t="shared" si="106"/>
        <v>0</v>
      </c>
      <c r="P300" s="9">
        <f t="shared" si="107"/>
        <v>1</v>
      </c>
      <c r="Q300" s="9">
        <f t="shared" si="108"/>
        <v>0</v>
      </c>
      <c r="R300" s="9">
        <f t="shared" si="109"/>
        <v>0</v>
      </c>
      <c r="S300" s="9">
        <f t="shared" si="110"/>
        <v>0</v>
      </c>
      <c r="T300" s="9">
        <f t="shared" si="111"/>
        <v>0</v>
      </c>
      <c r="U300" s="9">
        <f t="shared" si="112"/>
        <v>0</v>
      </c>
      <c r="V300" s="9">
        <f t="shared" si="113"/>
        <v>0</v>
      </c>
      <c r="W300" s="9">
        <f t="shared" si="114"/>
        <v>0</v>
      </c>
      <c r="X300" s="9">
        <f t="shared" si="115"/>
        <v>0</v>
      </c>
      <c r="Y300" s="9">
        <f t="shared" si="116"/>
        <v>0</v>
      </c>
      <c r="Z300" s="9">
        <f t="shared" si="117"/>
        <v>0</v>
      </c>
      <c r="AA300" s="10">
        <f t="shared" si="118"/>
        <v>0</v>
      </c>
    </row>
    <row r="301" spans="1:27" x14ac:dyDescent="0.3">
      <c r="A301" s="18" t="s">
        <v>1302</v>
      </c>
      <c r="B301" s="4">
        <f t="shared" si="96"/>
        <v>1</v>
      </c>
      <c r="C301" s="4">
        <f t="shared" si="97"/>
        <v>0</v>
      </c>
      <c r="D301" s="4">
        <f t="shared" si="98"/>
        <v>0</v>
      </c>
      <c r="E301" s="4">
        <f t="shared" si="99"/>
        <v>0</v>
      </c>
      <c r="F301" s="4">
        <f t="shared" si="100"/>
        <v>0</v>
      </c>
      <c r="G301" s="4">
        <f t="shared" si="101"/>
        <v>0</v>
      </c>
      <c r="I301" s="8" t="s">
        <v>1044</v>
      </c>
      <c r="J301" s="9">
        <f t="shared" si="102"/>
        <v>0</v>
      </c>
      <c r="K301" s="9">
        <f t="shared" si="119"/>
        <v>0</v>
      </c>
      <c r="L301" s="9">
        <f t="shared" si="103"/>
        <v>0</v>
      </c>
      <c r="M301" s="9">
        <f t="shared" si="104"/>
        <v>0</v>
      </c>
      <c r="N301" s="9">
        <f t="shared" si="105"/>
        <v>0</v>
      </c>
      <c r="O301" s="9">
        <f t="shared" si="106"/>
        <v>0</v>
      </c>
      <c r="P301" s="9">
        <f t="shared" si="107"/>
        <v>0</v>
      </c>
      <c r="Q301" s="9">
        <f t="shared" si="108"/>
        <v>0</v>
      </c>
      <c r="R301" s="9">
        <f t="shared" si="109"/>
        <v>0</v>
      </c>
      <c r="S301" s="9">
        <f t="shared" si="110"/>
        <v>0</v>
      </c>
      <c r="T301" s="9">
        <f t="shared" si="111"/>
        <v>0</v>
      </c>
      <c r="U301" s="9">
        <f t="shared" si="112"/>
        <v>1</v>
      </c>
      <c r="V301" s="9">
        <f t="shared" si="113"/>
        <v>0</v>
      </c>
      <c r="W301" s="9">
        <f t="shared" si="114"/>
        <v>0</v>
      </c>
      <c r="X301" s="9">
        <f t="shared" si="115"/>
        <v>0</v>
      </c>
      <c r="Y301" s="9">
        <f t="shared" si="116"/>
        <v>0</v>
      </c>
      <c r="Z301" s="9">
        <f t="shared" si="117"/>
        <v>0</v>
      </c>
      <c r="AA301" s="10">
        <f t="shared" si="118"/>
        <v>0</v>
      </c>
    </row>
    <row r="302" spans="1:27" x14ac:dyDescent="0.3">
      <c r="A302" s="4" t="s">
        <v>1302</v>
      </c>
      <c r="B302" s="4">
        <f t="shared" si="96"/>
        <v>1</v>
      </c>
      <c r="C302" s="4">
        <f t="shared" si="97"/>
        <v>0</v>
      </c>
      <c r="D302" s="4">
        <f t="shared" si="98"/>
        <v>0</v>
      </c>
      <c r="E302" s="4">
        <f t="shared" si="99"/>
        <v>0</v>
      </c>
      <c r="F302" s="4">
        <f t="shared" si="100"/>
        <v>0</v>
      </c>
      <c r="G302" s="4">
        <f t="shared" si="101"/>
        <v>0</v>
      </c>
      <c r="I302" s="11" t="s">
        <v>994</v>
      </c>
      <c r="J302" s="9">
        <f t="shared" si="102"/>
        <v>0</v>
      </c>
      <c r="K302" s="9">
        <f t="shared" si="119"/>
        <v>0</v>
      </c>
      <c r="L302" s="9">
        <f t="shared" si="103"/>
        <v>0</v>
      </c>
      <c r="M302" s="9">
        <f t="shared" si="104"/>
        <v>0</v>
      </c>
      <c r="N302" s="9">
        <f t="shared" si="105"/>
        <v>0</v>
      </c>
      <c r="O302" s="9">
        <f t="shared" si="106"/>
        <v>0</v>
      </c>
      <c r="P302" s="9">
        <f t="shared" si="107"/>
        <v>1</v>
      </c>
      <c r="Q302" s="9">
        <f t="shared" si="108"/>
        <v>0</v>
      </c>
      <c r="R302" s="9">
        <f t="shared" si="109"/>
        <v>0</v>
      </c>
      <c r="S302" s="9">
        <f t="shared" si="110"/>
        <v>0</v>
      </c>
      <c r="T302" s="9">
        <f t="shared" si="111"/>
        <v>0</v>
      </c>
      <c r="U302" s="9">
        <f t="shared" si="112"/>
        <v>0</v>
      </c>
      <c r="V302" s="9">
        <f t="shared" si="113"/>
        <v>0</v>
      </c>
      <c r="W302" s="9">
        <f t="shared" si="114"/>
        <v>0</v>
      </c>
      <c r="X302" s="9">
        <f t="shared" si="115"/>
        <v>0</v>
      </c>
      <c r="Y302" s="9">
        <f t="shared" si="116"/>
        <v>0</v>
      </c>
      <c r="Z302" s="9">
        <f t="shared" si="117"/>
        <v>0</v>
      </c>
      <c r="AA302" s="10">
        <f t="shared" si="118"/>
        <v>0</v>
      </c>
    </row>
    <row r="303" spans="1:27" x14ac:dyDescent="0.3">
      <c r="A303" s="18" t="s">
        <v>1303</v>
      </c>
      <c r="B303" s="4">
        <f t="shared" si="96"/>
        <v>0</v>
      </c>
      <c r="C303" s="4">
        <f t="shared" si="97"/>
        <v>0</v>
      </c>
      <c r="D303" s="4">
        <f t="shared" si="98"/>
        <v>0</v>
      </c>
      <c r="E303" s="4">
        <f t="shared" si="99"/>
        <v>0</v>
      </c>
      <c r="F303" s="4">
        <f t="shared" si="100"/>
        <v>1</v>
      </c>
      <c r="G303" s="4">
        <f t="shared" si="101"/>
        <v>0</v>
      </c>
      <c r="I303" s="8" t="s">
        <v>994</v>
      </c>
      <c r="J303" s="9">
        <f t="shared" si="102"/>
        <v>0</v>
      </c>
      <c r="K303" s="9">
        <f t="shared" si="119"/>
        <v>0</v>
      </c>
      <c r="L303" s="9">
        <f t="shared" si="103"/>
        <v>0</v>
      </c>
      <c r="M303" s="9">
        <f t="shared" si="104"/>
        <v>0</v>
      </c>
      <c r="N303" s="9">
        <f t="shared" si="105"/>
        <v>0</v>
      </c>
      <c r="O303" s="9">
        <f t="shared" si="106"/>
        <v>0</v>
      </c>
      <c r="P303" s="9">
        <f t="shared" si="107"/>
        <v>1</v>
      </c>
      <c r="Q303" s="9">
        <f t="shared" si="108"/>
        <v>0</v>
      </c>
      <c r="R303" s="9">
        <f t="shared" si="109"/>
        <v>0</v>
      </c>
      <c r="S303" s="9">
        <f t="shared" si="110"/>
        <v>0</v>
      </c>
      <c r="T303" s="9">
        <f t="shared" si="111"/>
        <v>0</v>
      </c>
      <c r="U303" s="9">
        <f t="shared" si="112"/>
        <v>0</v>
      </c>
      <c r="V303" s="9">
        <f t="shared" si="113"/>
        <v>0</v>
      </c>
      <c r="W303" s="9">
        <f t="shared" si="114"/>
        <v>0</v>
      </c>
      <c r="X303" s="9">
        <f t="shared" si="115"/>
        <v>0</v>
      </c>
      <c r="Y303" s="9">
        <f t="shared" si="116"/>
        <v>0</v>
      </c>
      <c r="Z303" s="9">
        <f t="shared" si="117"/>
        <v>0</v>
      </c>
      <c r="AA303" s="10">
        <f t="shared" si="118"/>
        <v>0</v>
      </c>
    </row>
    <row r="304" spans="1:27" x14ac:dyDescent="0.3">
      <c r="A304" s="4" t="s">
        <v>1303</v>
      </c>
      <c r="B304" s="4">
        <f t="shared" si="96"/>
        <v>0</v>
      </c>
      <c r="C304" s="4">
        <f t="shared" si="97"/>
        <v>0</v>
      </c>
      <c r="D304" s="4">
        <f t="shared" si="98"/>
        <v>0</v>
      </c>
      <c r="E304" s="4">
        <f t="shared" si="99"/>
        <v>0</v>
      </c>
      <c r="F304" s="4">
        <f t="shared" si="100"/>
        <v>1</v>
      </c>
      <c r="G304" s="4">
        <f t="shared" si="101"/>
        <v>0</v>
      </c>
      <c r="I304" s="11" t="s">
        <v>977</v>
      </c>
      <c r="J304" s="9">
        <f t="shared" si="102"/>
        <v>1</v>
      </c>
      <c r="K304" s="9">
        <f t="shared" si="119"/>
        <v>0</v>
      </c>
      <c r="L304" s="9">
        <f t="shared" si="103"/>
        <v>0</v>
      </c>
      <c r="M304" s="9">
        <f t="shared" si="104"/>
        <v>0</v>
      </c>
      <c r="N304" s="9">
        <f t="shared" si="105"/>
        <v>0</v>
      </c>
      <c r="O304" s="9">
        <f t="shared" si="106"/>
        <v>0</v>
      </c>
      <c r="P304" s="9">
        <f t="shared" si="107"/>
        <v>0</v>
      </c>
      <c r="Q304" s="9">
        <f t="shared" si="108"/>
        <v>0</v>
      </c>
      <c r="R304" s="9">
        <f t="shared" si="109"/>
        <v>0</v>
      </c>
      <c r="S304" s="9">
        <f t="shared" si="110"/>
        <v>0</v>
      </c>
      <c r="T304" s="9">
        <f t="shared" si="111"/>
        <v>0</v>
      </c>
      <c r="U304" s="9">
        <f t="shared" si="112"/>
        <v>0</v>
      </c>
      <c r="V304" s="9">
        <f t="shared" si="113"/>
        <v>0</v>
      </c>
      <c r="W304" s="9">
        <f t="shared" si="114"/>
        <v>0</v>
      </c>
      <c r="X304" s="9">
        <f t="shared" si="115"/>
        <v>0</v>
      </c>
      <c r="Y304" s="9">
        <f t="shared" si="116"/>
        <v>0</v>
      </c>
      <c r="Z304" s="9">
        <f t="shared" si="117"/>
        <v>0</v>
      </c>
      <c r="AA304" s="10">
        <f t="shared" si="118"/>
        <v>0</v>
      </c>
    </row>
    <row r="305" spans="1:27" x14ac:dyDescent="0.3">
      <c r="A305" s="18" t="s">
        <v>1303</v>
      </c>
      <c r="B305" s="4">
        <f t="shared" si="96"/>
        <v>0</v>
      </c>
      <c r="C305" s="4">
        <f t="shared" si="97"/>
        <v>0</v>
      </c>
      <c r="D305" s="4">
        <f t="shared" si="98"/>
        <v>0</v>
      </c>
      <c r="E305" s="4">
        <f t="shared" si="99"/>
        <v>0</v>
      </c>
      <c r="F305" s="4">
        <f t="shared" si="100"/>
        <v>1</v>
      </c>
      <c r="G305" s="4">
        <f t="shared" si="101"/>
        <v>0</v>
      </c>
      <c r="I305" s="8" t="s">
        <v>977</v>
      </c>
      <c r="J305" s="9">
        <f t="shared" si="102"/>
        <v>1</v>
      </c>
      <c r="K305" s="9">
        <f t="shared" si="119"/>
        <v>0</v>
      </c>
      <c r="L305" s="9">
        <f t="shared" si="103"/>
        <v>0</v>
      </c>
      <c r="M305" s="9">
        <f t="shared" si="104"/>
        <v>0</v>
      </c>
      <c r="N305" s="9">
        <f t="shared" si="105"/>
        <v>0</v>
      </c>
      <c r="O305" s="9">
        <f t="shared" si="106"/>
        <v>0</v>
      </c>
      <c r="P305" s="9">
        <f t="shared" si="107"/>
        <v>0</v>
      </c>
      <c r="Q305" s="9">
        <f t="shared" si="108"/>
        <v>0</v>
      </c>
      <c r="R305" s="9">
        <f t="shared" si="109"/>
        <v>0</v>
      </c>
      <c r="S305" s="9">
        <f t="shared" si="110"/>
        <v>0</v>
      </c>
      <c r="T305" s="9">
        <f t="shared" si="111"/>
        <v>0</v>
      </c>
      <c r="U305" s="9">
        <f t="shared" si="112"/>
        <v>0</v>
      </c>
      <c r="V305" s="9">
        <f t="shared" si="113"/>
        <v>0</v>
      </c>
      <c r="W305" s="9">
        <f t="shared" si="114"/>
        <v>0</v>
      </c>
      <c r="X305" s="9">
        <f t="shared" si="115"/>
        <v>0</v>
      </c>
      <c r="Y305" s="9">
        <f t="shared" si="116"/>
        <v>0</v>
      </c>
      <c r="Z305" s="9">
        <f t="shared" si="117"/>
        <v>0</v>
      </c>
      <c r="AA305" s="10">
        <f t="shared" si="118"/>
        <v>0</v>
      </c>
    </row>
    <row r="306" spans="1:27" x14ac:dyDescent="0.3">
      <c r="A306" s="4" t="s">
        <v>1302</v>
      </c>
      <c r="B306" s="4">
        <f t="shared" si="96"/>
        <v>1</v>
      </c>
      <c r="C306" s="4">
        <f t="shared" si="97"/>
        <v>0</v>
      </c>
      <c r="D306" s="4">
        <f t="shared" si="98"/>
        <v>0</v>
      </c>
      <c r="E306" s="4">
        <f t="shared" si="99"/>
        <v>0</v>
      </c>
      <c r="F306" s="4">
        <f t="shared" si="100"/>
        <v>0</v>
      </c>
      <c r="G306" s="4">
        <f t="shared" si="101"/>
        <v>0</v>
      </c>
      <c r="I306" s="11" t="s">
        <v>994</v>
      </c>
      <c r="J306" s="9">
        <f t="shared" si="102"/>
        <v>0</v>
      </c>
      <c r="K306" s="9">
        <f t="shared" si="119"/>
        <v>0</v>
      </c>
      <c r="L306" s="9">
        <f t="shared" si="103"/>
        <v>0</v>
      </c>
      <c r="M306" s="9">
        <f t="shared" si="104"/>
        <v>0</v>
      </c>
      <c r="N306" s="9">
        <f t="shared" si="105"/>
        <v>0</v>
      </c>
      <c r="O306" s="9">
        <f t="shared" si="106"/>
        <v>0</v>
      </c>
      <c r="P306" s="9">
        <f t="shared" si="107"/>
        <v>1</v>
      </c>
      <c r="Q306" s="9">
        <f t="shared" si="108"/>
        <v>0</v>
      </c>
      <c r="R306" s="9">
        <f t="shared" si="109"/>
        <v>0</v>
      </c>
      <c r="S306" s="9">
        <f t="shared" si="110"/>
        <v>0</v>
      </c>
      <c r="T306" s="9">
        <f t="shared" si="111"/>
        <v>0</v>
      </c>
      <c r="U306" s="9">
        <f t="shared" si="112"/>
        <v>0</v>
      </c>
      <c r="V306" s="9">
        <f t="shared" si="113"/>
        <v>0</v>
      </c>
      <c r="W306" s="9">
        <f t="shared" si="114"/>
        <v>0</v>
      </c>
      <c r="X306" s="9">
        <f t="shared" si="115"/>
        <v>0</v>
      </c>
      <c r="Y306" s="9">
        <f t="shared" si="116"/>
        <v>0</v>
      </c>
      <c r="Z306" s="9">
        <f t="shared" si="117"/>
        <v>0</v>
      </c>
      <c r="AA306" s="10">
        <f t="shared" si="118"/>
        <v>0</v>
      </c>
    </row>
    <row r="307" spans="1:27" x14ac:dyDescent="0.3">
      <c r="A307" s="18" t="s">
        <v>1302</v>
      </c>
      <c r="B307" s="4">
        <f t="shared" si="96"/>
        <v>1</v>
      </c>
      <c r="C307" s="4">
        <f t="shared" si="97"/>
        <v>0</v>
      </c>
      <c r="D307" s="4">
        <f t="shared" si="98"/>
        <v>0</v>
      </c>
      <c r="E307" s="4">
        <f t="shared" si="99"/>
        <v>0</v>
      </c>
      <c r="F307" s="4">
        <f t="shared" si="100"/>
        <v>0</v>
      </c>
      <c r="G307" s="4">
        <f t="shared" si="101"/>
        <v>0</v>
      </c>
      <c r="I307" s="8" t="s">
        <v>982</v>
      </c>
      <c r="J307" s="9">
        <f t="shared" si="102"/>
        <v>0</v>
      </c>
      <c r="K307" s="9">
        <f t="shared" si="119"/>
        <v>1</v>
      </c>
      <c r="L307" s="9">
        <f t="shared" si="103"/>
        <v>0</v>
      </c>
      <c r="M307" s="9">
        <f t="shared" si="104"/>
        <v>0</v>
      </c>
      <c r="N307" s="9">
        <f t="shared" si="105"/>
        <v>0</v>
      </c>
      <c r="O307" s="9">
        <f t="shared" si="106"/>
        <v>0</v>
      </c>
      <c r="P307" s="9">
        <f t="shared" si="107"/>
        <v>0</v>
      </c>
      <c r="Q307" s="9">
        <f t="shared" si="108"/>
        <v>0</v>
      </c>
      <c r="R307" s="9">
        <f t="shared" si="109"/>
        <v>0</v>
      </c>
      <c r="S307" s="9">
        <f t="shared" si="110"/>
        <v>0</v>
      </c>
      <c r="T307" s="9">
        <f t="shared" si="111"/>
        <v>0</v>
      </c>
      <c r="U307" s="9">
        <f t="shared" si="112"/>
        <v>0</v>
      </c>
      <c r="V307" s="9">
        <f t="shared" si="113"/>
        <v>0</v>
      </c>
      <c r="W307" s="9">
        <f t="shared" si="114"/>
        <v>0</v>
      </c>
      <c r="X307" s="9">
        <f t="shared" si="115"/>
        <v>0</v>
      </c>
      <c r="Y307" s="9">
        <f t="shared" si="116"/>
        <v>0</v>
      </c>
      <c r="Z307" s="9">
        <f t="shared" si="117"/>
        <v>0</v>
      </c>
      <c r="AA307" s="10">
        <f t="shared" si="118"/>
        <v>0</v>
      </c>
    </row>
    <row r="308" spans="1:27" x14ac:dyDescent="0.3">
      <c r="A308" s="4" t="s">
        <v>1303</v>
      </c>
      <c r="B308" s="4">
        <f t="shared" si="96"/>
        <v>0</v>
      </c>
      <c r="C308" s="4">
        <f t="shared" si="97"/>
        <v>0</v>
      </c>
      <c r="D308" s="4">
        <f t="shared" si="98"/>
        <v>0</v>
      </c>
      <c r="E308" s="4">
        <f t="shared" si="99"/>
        <v>0</v>
      </c>
      <c r="F308" s="4">
        <f t="shared" si="100"/>
        <v>1</v>
      </c>
      <c r="G308" s="4">
        <f t="shared" si="101"/>
        <v>0</v>
      </c>
      <c r="I308" s="11" t="s">
        <v>1294</v>
      </c>
      <c r="J308" s="9">
        <f t="shared" si="102"/>
        <v>0</v>
      </c>
      <c r="K308" s="9">
        <f t="shared" si="119"/>
        <v>0</v>
      </c>
      <c r="L308" s="9">
        <f t="shared" si="103"/>
        <v>0</v>
      </c>
      <c r="M308" s="9">
        <f t="shared" si="104"/>
        <v>0</v>
      </c>
      <c r="N308" s="9">
        <f t="shared" si="105"/>
        <v>0</v>
      </c>
      <c r="O308" s="9">
        <f t="shared" si="106"/>
        <v>0</v>
      </c>
      <c r="P308" s="9">
        <f t="shared" si="107"/>
        <v>0</v>
      </c>
      <c r="Q308" s="9">
        <f t="shared" si="108"/>
        <v>0</v>
      </c>
      <c r="R308" s="9">
        <f t="shared" si="109"/>
        <v>0</v>
      </c>
      <c r="S308" s="9">
        <f t="shared" si="110"/>
        <v>0</v>
      </c>
      <c r="T308" s="9">
        <f t="shared" si="111"/>
        <v>0</v>
      </c>
      <c r="U308" s="9">
        <f t="shared" si="112"/>
        <v>0</v>
      </c>
      <c r="V308" s="9">
        <f t="shared" si="113"/>
        <v>0</v>
      </c>
      <c r="W308" s="9">
        <f t="shared" si="114"/>
        <v>0</v>
      </c>
      <c r="X308" s="9">
        <f t="shared" si="115"/>
        <v>0</v>
      </c>
      <c r="Y308" s="9">
        <f t="shared" si="116"/>
        <v>0</v>
      </c>
      <c r="Z308" s="9">
        <f t="shared" si="117"/>
        <v>0</v>
      </c>
      <c r="AA308" s="10">
        <f t="shared" si="118"/>
        <v>0</v>
      </c>
    </row>
    <row r="309" spans="1:27" x14ac:dyDescent="0.3">
      <c r="A309" s="18" t="s">
        <v>1303</v>
      </c>
      <c r="B309" s="4">
        <f t="shared" si="96"/>
        <v>0</v>
      </c>
      <c r="C309" s="4">
        <f t="shared" si="97"/>
        <v>0</v>
      </c>
      <c r="D309" s="4">
        <f t="shared" si="98"/>
        <v>0</v>
      </c>
      <c r="E309" s="4">
        <f t="shared" si="99"/>
        <v>0</v>
      </c>
      <c r="F309" s="4">
        <f t="shared" si="100"/>
        <v>1</v>
      </c>
      <c r="G309" s="4">
        <f t="shared" si="101"/>
        <v>0</v>
      </c>
      <c r="I309" s="8" t="s">
        <v>996</v>
      </c>
      <c r="J309" s="9">
        <f t="shared" si="102"/>
        <v>0</v>
      </c>
      <c r="K309" s="9">
        <f t="shared" si="119"/>
        <v>0</v>
      </c>
      <c r="L309" s="9">
        <f t="shared" si="103"/>
        <v>0</v>
      </c>
      <c r="M309" s="9">
        <f t="shared" si="104"/>
        <v>0</v>
      </c>
      <c r="N309" s="9">
        <f t="shared" si="105"/>
        <v>0</v>
      </c>
      <c r="O309" s="9">
        <f t="shared" si="106"/>
        <v>0</v>
      </c>
      <c r="P309" s="9">
        <f t="shared" si="107"/>
        <v>0</v>
      </c>
      <c r="Q309" s="9">
        <f t="shared" si="108"/>
        <v>1</v>
      </c>
      <c r="R309" s="9">
        <f t="shared" si="109"/>
        <v>0</v>
      </c>
      <c r="S309" s="9">
        <f t="shared" si="110"/>
        <v>0</v>
      </c>
      <c r="T309" s="9">
        <f t="shared" si="111"/>
        <v>0</v>
      </c>
      <c r="U309" s="9">
        <f t="shared" si="112"/>
        <v>0</v>
      </c>
      <c r="V309" s="9">
        <f t="shared" si="113"/>
        <v>0</v>
      </c>
      <c r="W309" s="9">
        <f t="shared" si="114"/>
        <v>0</v>
      </c>
      <c r="X309" s="9">
        <f t="shared" si="115"/>
        <v>0</v>
      </c>
      <c r="Y309" s="9">
        <f t="shared" si="116"/>
        <v>0</v>
      </c>
      <c r="Z309" s="9">
        <f t="shared" si="117"/>
        <v>0</v>
      </c>
      <c r="AA309" s="10">
        <f t="shared" si="118"/>
        <v>0</v>
      </c>
    </row>
    <row r="310" spans="1:27" x14ac:dyDescent="0.3">
      <c r="A310" s="4" t="s">
        <v>1305</v>
      </c>
      <c r="B310" s="4">
        <f t="shared" si="96"/>
        <v>0</v>
      </c>
      <c r="C310" s="4">
        <f t="shared" si="97"/>
        <v>0</v>
      </c>
      <c r="D310" s="4">
        <f t="shared" si="98"/>
        <v>0</v>
      </c>
      <c r="E310" s="4">
        <f t="shared" si="99"/>
        <v>0</v>
      </c>
      <c r="F310" s="4">
        <f t="shared" si="100"/>
        <v>0</v>
      </c>
      <c r="G310" s="4">
        <f t="shared" si="101"/>
        <v>1</v>
      </c>
      <c r="I310" s="11" t="s">
        <v>977</v>
      </c>
      <c r="J310" s="9">
        <f t="shared" si="102"/>
        <v>1</v>
      </c>
      <c r="K310" s="9">
        <f t="shared" si="119"/>
        <v>0</v>
      </c>
      <c r="L310" s="9">
        <f t="shared" si="103"/>
        <v>0</v>
      </c>
      <c r="M310" s="9">
        <f t="shared" si="104"/>
        <v>0</v>
      </c>
      <c r="N310" s="9">
        <f t="shared" si="105"/>
        <v>0</v>
      </c>
      <c r="O310" s="9">
        <f t="shared" si="106"/>
        <v>0</v>
      </c>
      <c r="P310" s="9">
        <f t="shared" si="107"/>
        <v>0</v>
      </c>
      <c r="Q310" s="9">
        <f t="shared" si="108"/>
        <v>0</v>
      </c>
      <c r="R310" s="9">
        <f t="shared" si="109"/>
        <v>0</v>
      </c>
      <c r="S310" s="9">
        <f t="shared" si="110"/>
        <v>0</v>
      </c>
      <c r="T310" s="9">
        <f t="shared" si="111"/>
        <v>0</v>
      </c>
      <c r="U310" s="9">
        <f t="shared" si="112"/>
        <v>0</v>
      </c>
      <c r="V310" s="9">
        <f t="shared" si="113"/>
        <v>0</v>
      </c>
      <c r="W310" s="9">
        <f t="shared" si="114"/>
        <v>0</v>
      </c>
      <c r="X310" s="9">
        <f t="shared" si="115"/>
        <v>0</v>
      </c>
      <c r="Y310" s="9">
        <f t="shared" si="116"/>
        <v>0</v>
      </c>
      <c r="Z310" s="9">
        <f t="shared" si="117"/>
        <v>0</v>
      </c>
      <c r="AA310" s="10">
        <f t="shared" si="118"/>
        <v>0</v>
      </c>
    </row>
    <row r="311" spans="1:27" x14ac:dyDescent="0.3">
      <c r="A311" s="18" t="s">
        <v>1303</v>
      </c>
      <c r="B311" s="4">
        <f t="shared" si="96"/>
        <v>0</v>
      </c>
      <c r="C311" s="4">
        <f t="shared" si="97"/>
        <v>0</v>
      </c>
      <c r="D311" s="4">
        <f t="shared" si="98"/>
        <v>0</v>
      </c>
      <c r="E311" s="4">
        <f t="shared" si="99"/>
        <v>0</v>
      </c>
      <c r="F311" s="4">
        <f t="shared" si="100"/>
        <v>1</v>
      </c>
      <c r="G311" s="4">
        <f t="shared" si="101"/>
        <v>0</v>
      </c>
      <c r="I311" s="8" t="s">
        <v>996</v>
      </c>
      <c r="J311" s="9">
        <f t="shared" si="102"/>
        <v>0</v>
      </c>
      <c r="K311" s="9">
        <f t="shared" si="119"/>
        <v>0</v>
      </c>
      <c r="L311" s="9">
        <f t="shared" si="103"/>
        <v>0</v>
      </c>
      <c r="M311" s="9">
        <f t="shared" si="104"/>
        <v>0</v>
      </c>
      <c r="N311" s="9">
        <f t="shared" si="105"/>
        <v>0</v>
      </c>
      <c r="O311" s="9">
        <f t="shared" si="106"/>
        <v>0</v>
      </c>
      <c r="P311" s="9">
        <f t="shared" si="107"/>
        <v>0</v>
      </c>
      <c r="Q311" s="9">
        <f t="shared" si="108"/>
        <v>1</v>
      </c>
      <c r="R311" s="9">
        <f t="shared" si="109"/>
        <v>0</v>
      </c>
      <c r="S311" s="9">
        <f t="shared" si="110"/>
        <v>0</v>
      </c>
      <c r="T311" s="9">
        <f t="shared" si="111"/>
        <v>0</v>
      </c>
      <c r="U311" s="9">
        <f t="shared" si="112"/>
        <v>0</v>
      </c>
      <c r="V311" s="9">
        <f t="shared" si="113"/>
        <v>0</v>
      </c>
      <c r="W311" s="9">
        <f t="shared" si="114"/>
        <v>0</v>
      </c>
      <c r="X311" s="9">
        <f t="shared" si="115"/>
        <v>0</v>
      </c>
      <c r="Y311" s="9">
        <f t="shared" si="116"/>
        <v>0</v>
      </c>
      <c r="Z311" s="9">
        <f t="shared" si="117"/>
        <v>0</v>
      </c>
      <c r="AA311" s="10">
        <f t="shared" si="118"/>
        <v>0</v>
      </c>
    </row>
    <row r="312" spans="1:27" x14ac:dyDescent="0.3">
      <c r="A312" s="4" t="s">
        <v>1304</v>
      </c>
      <c r="B312" s="4">
        <f t="shared" si="96"/>
        <v>0</v>
      </c>
      <c r="C312" s="4">
        <f t="shared" si="97"/>
        <v>1</v>
      </c>
      <c r="D312" s="4">
        <f t="shared" si="98"/>
        <v>0</v>
      </c>
      <c r="E312" s="4">
        <f t="shared" si="99"/>
        <v>0</v>
      </c>
      <c r="F312" s="4">
        <f t="shared" si="100"/>
        <v>0</v>
      </c>
      <c r="G312" s="4">
        <f t="shared" si="101"/>
        <v>0</v>
      </c>
      <c r="I312" s="11" t="s">
        <v>994</v>
      </c>
      <c r="J312" s="9">
        <f t="shared" si="102"/>
        <v>0</v>
      </c>
      <c r="K312" s="9">
        <f t="shared" si="119"/>
        <v>0</v>
      </c>
      <c r="L312" s="9">
        <f t="shared" si="103"/>
        <v>0</v>
      </c>
      <c r="M312" s="9">
        <f t="shared" si="104"/>
        <v>0</v>
      </c>
      <c r="N312" s="9">
        <f t="shared" si="105"/>
        <v>0</v>
      </c>
      <c r="O312" s="9">
        <f t="shared" si="106"/>
        <v>0</v>
      </c>
      <c r="P312" s="9">
        <f t="shared" si="107"/>
        <v>1</v>
      </c>
      <c r="Q312" s="9">
        <f t="shared" si="108"/>
        <v>0</v>
      </c>
      <c r="R312" s="9">
        <f t="shared" si="109"/>
        <v>0</v>
      </c>
      <c r="S312" s="9">
        <f t="shared" si="110"/>
        <v>0</v>
      </c>
      <c r="T312" s="9">
        <f t="shared" si="111"/>
        <v>0</v>
      </c>
      <c r="U312" s="9">
        <f t="shared" si="112"/>
        <v>0</v>
      </c>
      <c r="V312" s="9">
        <f t="shared" si="113"/>
        <v>0</v>
      </c>
      <c r="W312" s="9">
        <f t="shared" si="114"/>
        <v>0</v>
      </c>
      <c r="X312" s="9">
        <f t="shared" si="115"/>
        <v>0</v>
      </c>
      <c r="Y312" s="9">
        <f t="shared" si="116"/>
        <v>0</v>
      </c>
      <c r="Z312" s="9">
        <f t="shared" si="117"/>
        <v>0</v>
      </c>
      <c r="AA312" s="10">
        <f t="shared" si="118"/>
        <v>0</v>
      </c>
    </row>
    <row r="313" spans="1:27" x14ac:dyDescent="0.3">
      <c r="A313" s="18" t="s">
        <v>1303</v>
      </c>
      <c r="B313" s="4">
        <f t="shared" si="96"/>
        <v>0</v>
      </c>
      <c r="C313" s="4">
        <f t="shared" si="97"/>
        <v>0</v>
      </c>
      <c r="D313" s="4">
        <f t="shared" si="98"/>
        <v>0</v>
      </c>
      <c r="E313" s="4">
        <f t="shared" si="99"/>
        <v>0</v>
      </c>
      <c r="F313" s="4">
        <f t="shared" si="100"/>
        <v>1</v>
      </c>
      <c r="G313" s="4">
        <f t="shared" si="101"/>
        <v>0</v>
      </c>
      <c r="I313" s="8" t="s">
        <v>988</v>
      </c>
      <c r="J313" s="9">
        <f t="shared" si="102"/>
        <v>0</v>
      </c>
      <c r="K313" s="9">
        <f t="shared" si="119"/>
        <v>0</v>
      </c>
      <c r="L313" s="9">
        <f t="shared" si="103"/>
        <v>1</v>
      </c>
      <c r="M313" s="9">
        <f t="shared" si="104"/>
        <v>0</v>
      </c>
      <c r="N313" s="9">
        <f t="shared" si="105"/>
        <v>0</v>
      </c>
      <c r="O313" s="9">
        <f t="shared" si="106"/>
        <v>0</v>
      </c>
      <c r="P313" s="9">
        <f t="shared" si="107"/>
        <v>0</v>
      </c>
      <c r="Q313" s="9">
        <f t="shared" si="108"/>
        <v>0</v>
      </c>
      <c r="R313" s="9">
        <f t="shared" si="109"/>
        <v>0</v>
      </c>
      <c r="S313" s="9">
        <f t="shared" si="110"/>
        <v>0</v>
      </c>
      <c r="T313" s="9">
        <f t="shared" si="111"/>
        <v>0</v>
      </c>
      <c r="U313" s="9">
        <f t="shared" si="112"/>
        <v>0</v>
      </c>
      <c r="V313" s="9">
        <f t="shared" si="113"/>
        <v>0</v>
      </c>
      <c r="W313" s="9">
        <f t="shared" si="114"/>
        <v>0</v>
      </c>
      <c r="X313" s="9">
        <f t="shared" si="115"/>
        <v>0</v>
      </c>
      <c r="Y313" s="9">
        <f t="shared" si="116"/>
        <v>0</v>
      </c>
      <c r="Z313" s="9">
        <f t="shared" si="117"/>
        <v>0</v>
      </c>
      <c r="AA313" s="10">
        <f t="shared" si="118"/>
        <v>0</v>
      </c>
    </row>
    <row r="314" spans="1:27" x14ac:dyDescent="0.3">
      <c r="A314" s="4" t="s">
        <v>1303</v>
      </c>
      <c r="B314" s="4">
        <f t="shared" si="96"/>
        <v>0</v>
      </c>
      <c r="C314" s="4">
        <f t="shared" si="97"/>
        <v>0</v>
      </c>
      <c r="D314" s="4">
        <f t="shared" si="98"/>
        <v>0</v>
      </c>
      <c r="E314" s="4">
        <f t="shared" si="99"/>
        <v>0</v>
      </c>
      <c r="F314" s="4">
        <f t="shared" si="100"/>
        <v>1</v>
      </c>
      <c r="G314" s="4">
        <f t="shared" si="101"/>
        <v>0</v>
      </c>
      <c r="I314" s="11" t="s">
        <v>1294</v>
      </c>
      <c r="J314" s="9">
        <f t="shared" si="102"/>
        <v>0</v>
      </c>
      <c r="K314" s="9">
        <f t="shared" si="119"/>
        <v>0</v>
      </c>
      <c r="L314" s="9">
        <f t="shared" si="103"/>
        <v>0</v>
      </c>
      <c r="M314" s="9">
        <f t="shared" si="104"/>
        <v>0</v>
      </c>
      <c r="N314" s="9">
        <f t="shared" si="105"/>
        <v>0</v>
      </c>
      <c r="O314" s="9">
        <f t="shared" si="106"/>
        <v>0</v>
      </c>
      <c r="P314" s="9">
        <f t="shared" si="107"/>
        <v>0</v>
      </c>
      <c r="Q314" s="9">
        <f t="shared" si="108"/>
        <v>0</v>
      </c>
      <c r="R314" s="9">
        <f t="shared" si="109"/>
        <v>0</v>
      </c>
      <c r="S314" s="9">
        <f t="shared" si="110"/>
        <v>0</v>
      </c>
      <c r="T314" s="9">
        <f t="shared" si="111"/>
        <v>0</v>
      </c>
      <c r="U314" s="9">
        <f t="shared" si="112"/>
        <v>0</v>
      </c>
      <c r="V314" s="9">
        <f t="shared" si="113"/>
        <v>0</v>
      </c>
      <c r="W314" s="9">
        <f t="shared" si="114"/>
        <v>0</v>
      </c>
      <c r="X314" s="9">
        <f t="shared" si="115"/>
        <v>0</v>
      </c>
      <c r="Y314" s="9">
        <f t="shared" si="116"/>
        <v>0</v>
      </c>
      <c r="Z314" s="9">
        <f t="shared" si="117"/>
        <v>0</v>
      </c>
      <c r="AA314" s="10">
        <f t="shared" si="118"/>
        <v>0</v>
      </c>
    </row>
    <row r="315" spans="1:27" x14ac:dyDescent="0.3">
      <c r="A315" s="18" t="s">
        <v>1303</v>
      </c>
      <c r="B315" s="4">
        <f t="shared" si="96"/>
        <v>0</v>
      </c>
      <c r="C315" s="4">
        <f t="shared" si="97"/>
        <v>0</v>
      </c>
      <c r="D315" s="4">
        <f t="shared" si="98"/>
        <v>0</v>
      </c>
      <c r="E315" s="4">
        <f t="shared" si="99"/>
        <v>0</v>
      </c>
      <c r="F315" s="4">
        <f t="shared" si="100"/>
        <v>1</v>
      </c>
      <c r="G315" s="4">
        <f t="shared" si="101"/>
        <v>0</v>
      </c>
      <c r="I315" s="8" t="s">
        <v>977</v>
      </c>
      <c r="J315" s="9">
        <f t="shared" si="102"/>
        <v>1</v>
      </c>
      <c r="K315" s="9">
        <f t="shared" si="119"/>
        <v>0</v>
      </c>
      <c r="L315" s="9">
        <f t="shared" si="103"/>
        <v>0</v>
      </c>
      <c r="M315" s="9">
        <f t="shared" si="104"/>
        <v>0</v>
      </c>
      <c r="N315" s="9">
        <f t="shared" si="105"/>
        <v>0</v>
      </c>
      <c r="O315" s="9">
        <f t="shared" si="106"/>
        <v>0</v>
      </c>
      <c r="P315" s="9">
        <f t="shared" si="107"/>
        <v>0</v>
      </c>
      <c r="Q315" s="9">
        <f t="shared" si="108"/>
        <v>0</v>
      </c>
      <c r="R315" s="9">
        <f t="shared" si="109"/>
        <v>0</v>
      </c>
      <c r="S315" s="9">
        <f t="shared" si="110"/>
        <v>0</v>
      </c>
      <c r="T315" s="9">
        <f t="shared" si="111"/>
        <v>0</v>
      </c>
      <c r="U315" s="9">
        <f t="shared" si="112"/>
        <v>0</v>
      </c>
      <c r="V315" s="9">
        <f t="shared" si="113"/>
        <v>0</v>
      </c>
      <c r="W315" s="9">
        <f t="shared" si="114"/>
        <v>0</v>
      </c>
      <c r="X315" s="9">
        <f t="shared" si="115"/>
        <v>0</v>
      </c>
      <c r="Y315" s="9">
        <f t="shared" si="116"/>
        <v>0</v>
      </c>
      <c r="Z315" s="9">
        <f t="shared" si="117"/>
        <v>0</v>
      </c>
      <c r="AA315" s="10">
        <f t="shared" si="118"/>
        <v>0</v>
      </c>
    </row>
    <row r="316" spans="1:27" x14ac:dyDescent="0.3">
      <c r="A316" s="4" t="s">
        <v>1302</v>
      </c>
      <c r="B316" s="4">
        <f t="shared" si="96"/>
        <v>1</v>
      </c>
      <c r="C316" s="4">
        <f t="shared" si="97"/>
        <v>0</v>
      </c>
      <c r="D316" s="4">
        <f t="shared" si="98"/>
        <v>0</v>
      </c>
      <c r="E316" s="4">
        <f t="shared" si="99"/>
        <v>0</v>
      </c>
      <c r="F316" s="4">
        <f t="shared" si="100"/>
        <v>0</v>
      </c>
      <c r="G316" s="4">
        <f t="shared" si="101"/>
        <v>0</v>
      </c>
      <c r="I316" s="11" t="s">
        <v>988</v>
      </c>
      <c r="J316" s="9">
        <f t="shared" si="102"/>
        <v>0</v>
      </c>
      <c r="K316" s="9">
        <f t="shared" si="119"/>
        <v>0</v>
      </c>
      <c r="L316" s="9">
        <f t="shared" si="103"/>
        <v>1</v>
      </c>
      <c r="M316" s="9">
        <f t="shared" si="104"/>
        <v>0</v>
      </c>
      <c r="N316" s="9">
        <f t="shared" si="105"/>
        <v>0</v>
      </c>
      <c r="O316" s="9">
        <f t="shared" si="106"/>
        <v>0</v>
      </c>
      <c r="P316" s="9">
        <f t="shared" si="107"/>
        <v>0</v>
      </c>
      <c r="Q316" s="9">
        <f t="shared" si="108"/>
        <v>0</v>
      </c>
      <c r="R316" s="9">
        <f t="shared" si="109"/>
        <v>0</v>
      </c>
      <c r="S316" s="9">
        <f t="shared" si="110"/>
        <v>0</v>
      </c>
      <c r="T316" s="9">
        <f t="shared" si="111"/>
        <v>0</v>
      </c>
      <c r="U316" s="9">
        <f t="shared" si="112"/>
        <v>0</v>
      </c>
      <c r="V316" s="9">
        <f t="shared" si="113"/>
        <v>0</v>
      </c>
      <c r="W316" s="9">
        <f t="shared" si="114"/>
        <v>0</v>
      </c>
      <c r="X316" s="9">
        <f t="shared" si="115"/>
        <v>0</v>
      </c>
      <c r="Y316" s="9">
        <f t="shared" si="116"/>
        <v>0</v>
      </c>
      <c r="Z316" s="9">
        <f t="shared" si="117"/>
        <v>0</v>
      </c>
      <c r="AA316" s="10">
        <f t="shared" si="118"/>
        <v>0</v>
      </c>
    </row>
    <row r="317" spans="1:27" x14ac:dyDescent="0.3">
      <c r="A317" s="18" t="s">
        <v>1303</v>
      </c>
      <c r="B317" s="4">
        <f t="shared" si="96"/>
        <v>0</v>
      </c>
      <c r="C317" s="4">
        <f t="shared" si="97"/>
        <v>0</v>
      </c>
      <c r="D317" s="4">
        <f t="shared" si="98"/>
        <v>0</v>
      </c>
      <c r="E317" s="4">
        <f t="shared" si="99"/>
        <v>0</v>
      </c>
      <c r="F317" s="4">
        <f t="shared" si="100"/>
        <v>1</v>
      </c>
      <c r="G317" s="4">
        <f t="shared" si="101"/>
        <v>0</v>
      </c>
      <c r="I317" s="8" t="s">
        <v>1044</v>
      </c>
      <c r="J317" s="9">
        <f t="shared" si="102"/>
        <v>0</v>
      </c>
      <c r="K317" s="9">
        <f t="shared" si="119"/>
        <v>0</v>
      </c>
      <c r="L317" s="9">
        <f t="shared" si="103"/>
        <v>0</v>
      </c>
      <c r="M317" s="9">
        <f t="shared" si="104"/>
        <v>0</v>
      </c>
      <c r="N317" s="9">
        <f t="shared" si="105"/>
        <v>0</v>
      </c>
      <c r="O317" s="9">
        <f t="shared" si="106"/>
        <v>0</v>
      </c>
      <c r="P317" s="9">
        <f t="shared" si="107"/>
        <v>0</v>
      </c>
      <c r="Q317" s="9">
        <f t="shared" si="108"/>
        <v>0</v>
      </c>
      <c r="R317" s="9">
        <f t="shared" si="109"/>
        <v>0</v>
      </c>
      <c r="S317" s="9">
        <f t="shared" si="110"/>
        <v>0</v>
      </c>
      <c r="T317" s="9">
        <f t="shared" si="111"/>
        <v>0</v>
      </c>
      <c r="U317" s="9">
        <f t="shared" si="112"/>
        <v>1</v>
      </c>
      <c r="V317" s="9">
        <f t="shared" si="113"/>
        <v>0</v>
      </c>
      <c r="W317" s="9">
        <f t="shared" si="114"/>
        <v>0</v>
      </c>
      <c r="X317" s="9">
        <f t="shared" si="115"/>
        <v>0</v>
      </c>
      <c r="Y317" s="9">
        <f t="shared" si="116"/>
        <v>0</v>
      </c>
      <c r="Z317" s="9">
        <f t="shared" si="117"/>
        <v>0</v>
      </c>
      <c r="AA317" s="10">
        <f t="shared" si="118"/>
        <v>0</v>
      </c>
    </row>
    <row r="318" spans="1:27" x14ac:dyDescent="0.3">
      <c r="A318" s="4" t="s">
        <v>1303</v>
      </c>
      <c r="B318" s="4">
        <f t="shared" si="96"/>
        <v>0</v>
      </c>
      <c r="C318" s="4">
        <f t="shared" si="97"/>
        <v>0</v>
      </c>
      <c r="D318" s="4">
        <f t="shared" si="98"/>
        <v>0</v>
      </c>
      <c r="E318" s="4">
        <f t="shared" si="99"/>
        <v>0</v>
      </c>
      <c r="F318" s="4">
        <f t="shared" si="100"/>
        <v>1</v>
      </c>
      <c r="G318" s="4">
        <f t="shared" si="101"/>
        <v>0</v>
      </c>
      <c r="I318" s="11" t="s">
        <v>994</v>
      </c>
      <c r="J318" s="9">
        <f t="shared" si="102"/>
        <v>0</v>
      </c>
      <c r="K318" s="9">
        <f t="shared" si="119"/>
        <v>0</v>
      </c>
      <c r="L318" s="9">
        <f t="shared" si="103"/>
        <v>0</v>
      </c>
      <c r="M318" s="9">
        <f t="shared" si="104"/>
        <v>0</v>
      </c>
      <c r="N318" s="9">
        <f t="shared" si="105"/>
        <v>0</v>
      </c>
      <c r="O318" s="9">
        <f t="shared" si="106"/>
        <v>0</v>
      </c>
      <c r="P318" s="9">
        <f t="shared" si="107"/>
        <v>1</v>
      </c>
      <c r="Q318" s="9">
        <f t="shared" si="108"/>
        <v>0</v>
      </c>
      <c r="R318" s="9">
        <f t="shared" si="109"/>
        <v>0</v>
      </c>
      <c r="S318" s="9">
        <f t="shared" si="110"/>
        <v>0</v>
      </c>
      <c r="T318" s="9">
        <f t="shared" si="111"/>
        <v>0</v>
      </c>
      <c r="U318" s="9">
        <f t="shared" si="112"/>
        <v>0</v>
      </c>
      <c r="V318" s="9">
        <f t="shared" si="113"/>
        <v>0</v>
      </c>
      <c r="W318" s="9">
        <f t="shared" si="114"/>
        <v>0</v>
      </c>
      <c r="X318" s="9">
        <f t="shared" si="115"/>
        <v>0</v>
      </c>
      <c r="Y318" s="9">
        <f t="shared" si="116"/>
        <v>0</v>
      </c>
      <c r="Z318" s="9">
        <f t="shared" si="117"/>
        <v>0</v>
      </c>
      <c r="AA318" s="10">
        <f t="shared" si="118"/>
        <v>0</v>
      </c>
    </row>
    <row r="319" spans="1:27" x14ac:dyDescent="0.3">
      <c r="A319" s="18" t="s">
        <v>1303</v>
      </c>
      <c r="B319" s="4">
        <f t="shared" si="96"/>
        <v>0</v>
      </c>
      <c r="C319" s="4">
        <f t="shared" si="97"/>
        <v>0</v>
      </c>
      <c r="D319" s="4">
        <f t="shared" si="98"/>
        <v>0</v>
      </c>
      <c r="E319" s="4">
        <f t="shared" si="99"/>
        <v>0</v>
      </c>
      <c r="F319" s="4">
        <f t="shared" si="100"/>
        <v>1</v>
      </c>
      <c r="G319" s="4">
        <f t="shared" si="101"/>
        <v>0</v>
      </c>
      <c r="I319" s="8" t="s">
        <v>982</v>
      </c>
      <c r="J319" s="9">
        <f t="shared" si="102"/>
        <v>0</v>
      </c>
      <c r="K319" s="9">
        <f t="shared" si="119"/>
        <v>1</v>
      </c>
      <c r="L319" s="9">
        <f t="shared" si="103"/>
        <v>0</v>
      </c>
      <c r="M319" s="9">
        <f t="shared" si="104"/>
        <v>0</v>
      </c>
      <c r="N319" s="9">
        <f t="shared" si="105"/>
        <v>0</v>
      </c>
      <c r="O319" s="9">
        <f t="shared" si="106"/>
        <v>0</v>
      </c>
      <c r="P319" s="9">
        <f t="shared" si="107"/>
        <v>0</v>
      </c>
      <c r="Q319" s="9">
        <f t="shared" si="108"/>
        <v>0</v>
      </c>
      <c r="R319" s="9">
        <f t="shared" si="109"/>
        <v>0</v>
      </c>
      <c r="S319" s="9">
        <f t="shared" si="110"/>
        <v>0</v>
      </c>
      <c r="T319" s="9">
        <f t="shared" si="111"/>
        <v>0</v>
      </c>
      <c r="U319" s="9">
        <f t="shared" si="112"/>
        <v>0</v>
      </c>
      <c r="V319" s="9">
        <f t="shared" si="113"/>
        <v>0</v>
      </c>
      <c r="W319" s="9">
        <f t="shared" si="114"/>
        <v>0</v>
      </c>
      <c r="X319" s="9">
        <f t="shared" si="115"/>
        <v>0</v>
      </c>
      <c r="Y319" s="9">
        <f t="shared" si="116"/>
        <v>0</v>
      </c>
      <c r="Z319" s="9">
        <f t="shared" si="117"/>
        <v>0</v>
      </c>
      <c r="AA319" s="10">
        <f t="shared" si="118"/>
        <v>0</v>
      </c>
    </row>
    <row r="320" spans="1:27" x14ac:dyDescent="0.3">
      <c r="A320" s="4" t="s">
        <v>1305</v>
      </c>
      <c r="B320" s="4">
        <f t="shared" si="96"/>
        <v>0</v>
      </c>
      <c r="C320" s="4">
        <f t="shared" si="97"/>
        <v>0</v>
      </c>
      <c r="D320" s="4">
        <f t="shared" si="98"/>
        <v>0</v>
      </c>
      <c r="E320" s="4">
        <f t="shared" si="99"/>
        <v>0</v>
      </c>
      <c r="F320" s="4">
        <f t="shared" si="100"/>
        <v>0</v>
      </c>
      <c r="G320" s="4">
        <f t="shared" si="101"/>
        <v>1</v>
      </c>
      <c r="I320" s="11" t="s">
        <v>988</v>
      </c>
      <c r="J320" s="9">
        <f t="shared" si="102"/>
        <v>0</v>
      </c>
      <c r="K320" s="9">
        <f t="shared" si="119"/>
        <v>0</v>
      </c>
      <c r="L320" s="9">
        <f t="shared" si="103"/>
        <v>1</v>
      </c>
      <c r="M320" s="9">
        <f t="shared" si="104"/>
        <v>0</v>
      </c>
      <c r="N320" s="9">
        <f t="shared" si="105"/>
        <v>0</v>
      </c>
      <c r="O320" s="9">
        <f t="shared" si="106"/>
        <v>0</v>
      </c>
      <c r="P320" s="9">
        <f t="shared" si="107"/>
        <v>0</v>
      </c>
      <c r="Q320" s="9">
        <f t="shared" si="108"/>
        <v>0</v>
      </c>
      <c r="R320" s="9">
        <f t="shared" si="109"/>
        <v>0</v>
      </c>
      <c r="S320" s="9">
        <f t="shared" si="110"/>
        <v>0</v>
      </c>
      <c r="T320" s="9">
        <f t="shared" si="111"/>
        <v>0</v>
      </c>
      <c r="U320" s="9">
        <f t="shared" si="112"/>
        <v>0</v>
      </c>
      <c r="V320" s="9">
        <f t="shared" si="113"/>
        <v>0</v>
      </c>
      <c r="W320" s="9">
        <f t="shared" si="114"/>
        <v>0</v>
      </c>
      <c r="X320" s="9">
        <f t="shared" si="115"/>
        <v>0</v>
      </c>
      <c r="Y320" s="9">
        <f t="shared" si="116"/>
        <v>0</v>
      </c>
      <c r="Z320" s="9">
        <f t="shared" si="117"/>
        <v>0</v>
      </c>
      <c r="AA320" s="10">
        <f t="shared" si="118"/>
        <v>0</v>
      </c>
    </row>
    <row r="321" spans="1:27" x14ac:dyDescent="0.3">
      <c r="A321" s="18" t="s">
        <v>1294</v>
      </c>
      <c r="B321" s="4">
        <f t="shared" si="96"/>
        <v>0</v>
      </c>
      <c r="C321" s="4">
        <f t="shared" si="97"/>
        <v>0</v>
      </c>
      <c r="D321" s="4">
        <f t="shared" si="98"/>
        <v>0</v>
      </c>
      <c r="E321" s="4">
        <f t="shared" si="99"/>
        <v>0</v>
      </c>
      <c r="F321" s="4">
        <f t="shared" si="100"/>
        <v>0</v>
      </c>
      <c r="G321" s="4">
        <f t="shared" si="101"/>
        <v>0</v>
      </c>
      <c r="I321" s="8" t="s">
        <v>994</v>
      </c>
      <c r="J321" s="9">
        <f t="shared" si="102"/>
        <v>0</v>
      </c>
      <c r="K321" s="9">
        <f t="shared" si="119"/>
        <v>0</v>
      </c>
      <c r="L321" s="9">
        <f t="shared" si="103"/>
        <v>0</v>
      </c>
      <c r="M321" s="9">
        <f t="shared" si="104"/>
        <v>0</v>
      </c>
      <c r="N321" s="9">
        <f t="shared" si="105"/>
        <v>0</v>
      </c>
      <c r="O321" s="9">
        <f t="shared" si="106"/>
        <v>0</v>
      </c>
      <c r="P321" s="9">
        <f t="shared" si="107"/>
        <v>1</v>
      </c>
      <c r="Q321" s="9">
        <f t="shared" si="108"/>
        <v>0</v>
      </c>
      <c r="R321" s="9">
        <f t="shared" si="109"/>
        <v>0</v>
      </c>
      <c r="S321" s="9">
        <f t="shared" si="110"/>
        <v>0</v>
      </c>
      <c r="T321" s="9">
        <f t="shared" si="111"/>
        <v>0</v>
      </c>
      <c r="U321" s="9">
        <f t="shared" si="112"/>
        <v>0</v>
      </c>
      <c r="V321" s="9">
        <f t="shared" si="113"/>
        <v>0</v>
      </c>
      <c r="W321" s="9">
        <f t="shared" si="114"/>
        <v>0</v>
      </c>
      <c r="X321" s="9">
        <f t="shared" si="115"/>
        <v>0</v>
      </c>
      <c r="Y321" s="9">
        <f t="shared" si="116"/>
        <v>0</v>
      </c>
      <c r="Z321" s="9">
        <f t="shared" si="117"/>
        <v>0</v>
      </c>
      <c r="AA321" s="10">
        <f t="shared" si="118"/>
        <v>0</v>
      </c>
    </row>
    <row r="322" spans="1:27" x14ac:dyDescent="0.3">
      <c r="A322" s="4" t="s">
        <v>1294</v>
      </c>
      <c r="B322" s="4">
        <f t="shared" si="96"/>
        <v>0</v>
      </c>
      <c r="C322" s="4">
        <f t="shared" si="97"/>
        <v>0</v>
      </c>
      <c r="D322" s="4">
        <f t="shared" si="98"/>
        <v>0</v>
      </c>
      <c r="E322" s="4">
        <f t="shared" si="99"/>
        <v>0</v>
      </c>
      <c r="F322" s="4">
        <f t="shared" si="100"/>
        <v>0</v>
      </c>
      <c r="G322" s="4">
        <f t="shared" si="101"/>
        <v>0</v>
      </c>
      <c r="I322" s="11" t="s">
        <v>977</v>
      </c>
      <c r="J322" s="9">
        <f t="shared" si="102"/>
        <v>1</v>
      </c>
      <c r="K322" s="9">
        <f t="shared" si="119"/>
        <v>0</v>
      </c>
      <c r="L322" s="9">
        <f t="shared" si="103"/>
        <v>0</v>
      </c>
      <c r="M322" s="9">
        <f t="shared" si="104"/>
        <v>0</v>
      </c>
      <c r="N322" s="9">
        <f t="shared" si="105"/>
        <v>0</v>
      </c>
      <c r="O322" s="9">
        <f t="shared" si="106"/>
        <v>0</v>
      </c>
      <c r="P322" s="9">
        <f t="shared" si="107"/>
        <v>0</v>
      </c>
      <c r="Q322" s="9">
        <f t="shared" si="108"/>
        <v>0</v>
      </c>
      <c r="R322" s="9">
        <f t="shared" si="109"/>
        <v>0</v>
      </c>
      <c r="S322" s="9">
        <f t="shared" si="110"/>
        <v>0</v>
      </c>
      <c r="T322" s="9">
        <f t="shared" si="111"/>
        <v>0</v>
      </c>
      <c r="U322" s="9">
        <f t="shared" si="112"/>
        <v>0</v>
      </c>
      <c r="V322" s="9">
        <f t="shared" si="113"/>
        <v>0</v>
      </c>
      <c r="W322" s="9">
        <f t="shared" si="114"/>
        <v>0</v>
      </c>
      <c r="X322" s="9">
        <f t="shared" si="115"/>
        <v>0</v>
      </c>
      <c r="Y322" s="9">
        <f t="shared" si="116"/>
        <v>0</v>
      </c>
      <c r="Z322" s="9">
        <f t="shared" si="117"/>
        <v>0</v>
      </c>
      <c r="AA322" s="10">
        <f t="shared" si="118"/>
        <v>0</v>
      </c>
    </row>
    <row r="323" spans="1:27" x14ac:dyDescent="0.3">
      <c r="A323" s="18" t="s">
        <v>1303</v>
      </c>
      <c r="B323" s="4">
        <f t="shared" si="96"/>
        <v>0</v>
      </c>
      <c r="C323" s="4">
        <f t="shared" si="97"/>
        <v>0</v>
      </c>
      <c r="D323" s="4">
        <f t="shared" si="98"/>
        <v>0</v>
      </c>
      <c r="E323" s="4">
        <f t="shared" si="99"/>
        <v>0</v>
      </c>
      <c r="F323" s="4">
        <f t="shared" si="100"/>
        <v>1</v>
      </c>
      <c r="G323" s="4">
        <f t="shared" si="101"/>
        <v>0</v>
      </c>
      <c r="I323" s="8" t="s">
        <v>994</v>
      </c>
      <c r="J323" s="9">
        <f t="shared" si="102"/>
        <v>0</v>
      </c>
      <c r="K323" s="9">
        <f t="shared" si="119"/>
        <v>0</v>
      </c>
      <c r="L323" s="9">
        <f t="shared" si="103"/>
        <v>0</v>
      </c>
      <c r="M323" s="9">
        <f t="shared" si="104"/>
        <v>0</v>
      </c>
      <c r="N323" s="9">
        <f t="shared" si="105"/>
        <v>0</v>
      </c>
      <c r="O323" s="9">
        <f t="shared" si="106"/>
        <v>0</v>
      </c>
      <c r="P323" s="9">
        <f t="shared" si="107"/>
        <v>1</v>
      </c>
      <c r="Q323" s="9">
        <f t="shared" si="108"/>
        <v>0</v>
      </c>
      <c r="R323" s="9">
        <f t="shared" si="109"/>
        <v>0</v>
      </c>
      <c r="S323" s="9">
        <f t="shared" si="110"/>
        <v>0</v>
      </c>
      <c r="T323" s="9">
        <f t="shared" si="111"/>
        <v>0</v>
      </c>
      <c r="U323" s="9">
        <f t="shared" si="112"/>
        <v>0</v>
      </c>
      <c r="V323" s="9">
        <f t="shared" si="113"/>
        <v>0</v>
      </c>
      <c r="W323" s="9">
        <f t="shared" si="114"/>
        <v>0</v>
      </c>
      <c r="X323" s="9">
        <f t="shared" si="115"/>
        <v>0</v>
      </c>
      <c r="Y323" s="9">
        <f t="shared" si="116"/>
        <v>0</v>
      </c>
      <c r="Z323" s="9">
        <f t="shared" si="117"/>
        <v>0</v>
      </c>
      <c r="AA323" s="10">
        <f t="shared" si="118"/>
        <v>0</v>
      </c>
    </row>
    <row r="324" spans="1:27" x14ac:dyDescent="0.3">
      <c r="A324" s="4" t="s">
        <v>1303</v>
      </c>
      <c r="B324" s="4">
        <f t="shared" ref="B324:B387" si="120">IF($A324="Asia",1,0)</f>
        <v>0</v>
      </c>
      <c r="C324" s="4">
        <f t="shared" ref="C324:C387" si="121">IF(A324="Europe",1,0)</f>
        <v>0</v>
      </c>
      <c r="D324" s="4">
        <f t="shared" ref="D324:D387" si="122">IF(A324="Africa",1,0)</f>
        <v>0</v>
      </c>
      <c r="E324" s="4">
        <f t="shared" ref="E324:E387" si="123">IF($A324="Australia",1,0)</f>
        <v>0</v>
      </c>
      <c r="F324" s="4">
        <f t="shared" ref="F324:F387" si="124">IF($A324="North America",1,0)</f>
        <v>1</v>
      </c>
      <c r="G324" s="4">
        <f t="shared" ref="G324:G387" si="125">IF($A324="South America",1,0)</f>
        <v>0</v>
      </c>
      <c r="I324" s="11" t="s">
        <v>1088</v>
      </c>
      <c r="J324" s="9">
        <f t="shared" ref="J324:J387" si="126">IF(I324="Music",1,0)</f>
        <v>0</v>
      </c>
      <c r="K324" s="9">
        <f t="shared" si="119"/>
        <v>0</v>
      </c>
      <c r="L324" s="9">
        <f t="shared" ref="L324:L387" si="127">IF(I324="Entertainment",1,0)</f>
        <v>0</v>
      </c>
      <c r="M324" s="9">
        <f t="shared" ref="M324:M387" si="128">IF(I324="Nonprofits &amp; Activism",1,0)</f>
        <v>0</v>
      </c>
      <c r="N324" s="9">
        <f t="shared" ref="N324:N387" si="129">IF(I324="Education",1,0)</f>
        <v>0</v>
      </c>
      <c r="O324" s="9">
        <f t="shared" ref="O324:O387" si="130">IF(I324="Shows",1,0)</f>
        <v>0</v>
      </c>
      <c r="P324" s="9">
        <f t="shared" ref="P324:P387" si="131">IF(I324="People &amp; Blogs",1,0)</f>
        <v>0</v>
      </c>
      <c r="Q324" s="9">
        <f t="shared" ref="Q324:Q387" si="132">IF(I324="Gaming",1,0)</f>
        <v>0</v>
      </c>
      <c r="R324" s="9">
        <f t="shared" ref="R324:R387" si="133">IF(I324="Sports",1,0)</f>
        <v>0</v>
      </c>
      <c r="S324" s="9">
        <f t="shared" ref="S324:S387" si="134">IF(I324="Howto &amp; Style",1,0)</f>
        <v>0</v>
      </c>
      <c r="T324" s="9">
        <f t="shared" ref="T324:T387" si="135">IF(I324="News &amp; Politics",1,0)</f>
        <v>0</v>
      </c>
      <c r="U324" s="9">
        <f t="shared" ref="U324:U387" si="136">IF(I324="Comedy",1,0)</f>
        <v>0</v>
      </c>
      <c r="V324" s="9">
        <f t="shared" ref="V324:V387" si="137">IF(I324="Trailers",1,0)</f>
        <v>0</v>
      </c>
      <c r="W324" s="9">
        <f t="shared" ref="W324:W387" si="138">IF(I324="Movies",1,0)</f>
        <v>0</v>
      </c>
      <c r="X324" s="9">
        <f t="shared" ref="X324:X387" si="139">IF(I324="Autos &amp; Vehicles",1,0)</f>
        <v>0</v>
      </c>
      <c r="Y324" s="9">
        <f t="shared" ref="Y324:Y387" si="140">IF(I324="Pets &amp; Animals",1,0)</f>
        <v>0</v>
      </c>
      <c r="Z324" s="9">
        <f t="shared" ref="Z324:Z387" si="141">IF(I324="Science &amp; Technology",1,0)</f>
        <v>1</v>
      </c>
      <c r="AA324" s="10">
        <f t="shared" ref="AA324:AA387" si="142">IF(I324="Travel &amp; Events",1,0)</f>
        <v>0</v>
      </c>
    </row>
    <row r="325" spans="1:27" x14ac:dyDescent="0.3">
      <c r="A325" s="18" t="s">
        <v>1304</v>
      </c>
      <c r="B325" s="4">
        <f t="shared" si="120"/>
        <v>0</v>
      </c>
      <c r="C325" s="4">
        <f t="shared" si="121"/>
        <v>1</v>
      </c>
      <c r="D325" s="4">
        <f t="shared" si="122"/>
        <v>0</v>
      </c>
      <c r="E325" s="4">
        <f t="shared" si="123"/>
        <v>0</v>
      </c>
      <c r="F325" s="4">
        <f t="shared" si="124"/>
        <v>0</v>
      </c>
      <c r="G325" s="4">
        <f t="shared" si="125"/>
        <v>0</v>
      </c>
      <c r="I325" s="8" t="s">
        <v>977</v>
      </c>
      <c r="J325" s="9">
        <f t="shared" si="126"/>
        <v>1</v>
      </c>
      <c r="K325" s="9">
        <f t="shared" ref="K325:K388" si="143">IF(I325="Film &amp; Animation",1,0)</f>
        <v>0</v>
      </c>
      <c r="L325" s="9">
        <f t="shared" si="127"/>
        <v>0</v>
      </c>
      <c r="M325" s="9">
        <f t="shared" si="128"/>
        <v>0</v>
      </c>
      <c r="N325" s="9">
        <f t="shared" si="129"/>
        <v>0</v>
      </c>
      <c r="O325" s="9">
        <f t="shared" si="130"/>
        <v>0</v>
      </c>
      <c r="P325" s="9">
        <f t="shared" si="131"/>
        <v>0</v>
      </c>
      <c r="Q325" s="9">
        <f t="shared" si="132"/>
        <v>0</v>
      </c>
      <c r="R325" s="9">
        <f t="shared" si="133"/>
        <v>0</v>
      </c>
      <c r="S325" s="9">
        <f t="shared" si="134"/>
        <v>0</v>
      </c>
      <c r="T325" s="9">
        <f t="shared" si="135"/>
        <v>0</v>
      </c>
      <c r="U325" s="9">
        <f t="shared" si="136"/>
        <v>0</v>
      </c>
      <c r="V325" s="9">
        <f t="shared" si="137"/>
        <v>0</v>
      </c>
      <c r="W325" s="9">
        <f t="shared" si="138"/>
        <v>0</v>
      </c>
      <c r="X325" s="9">
        <f t="shared" si="139"/>
        <v>0</v>
      </c>
      <c r="Y325" s="9">
        <f t="shared" si="140"/>
        <v>0</v>
      </c>
      <c r="Z325" s="9">
        <f t="shared" si="141"/>
        <v>0</v>
      </c>
      <c r="AA325" s="10">
        <f t="shared" si="142"/>
        <v>0</v>
      </c>
    </row>
    <row r="326" spans="1:27" x14ac:dyDescent="0.3">
      <c r="A326" s="4" t="s">
        <v>1304</v>
      </c>
      <c r="B326" s="4">
        <f t="shared" si="120"/>
        <v>0</v>
      </c>
      <c r="C326" s="4">
        <f t="shared" si="121"/>
        <v>1</v>
      </c>
      <c r="D326" s="4">
        <f t="shared" si="122"/>
        <v>0</v>
      </c>
      <c r="E326" s="4">
        <f t="shared" si="123"/>
        <v>0</v>
      </c>
      <c r="F326" s="4">
        <f t="shared" si="124"/>
        <v>0</v>
      </c>
      <c r="G326" s="4">
        <f t="shared" si="125"/>
        <v>0</v>
      </c>
      <c r="I326" s="11" t="s">
        <v>977</v>
      </c>
      <c r="J326" s="9">
        <f t="shared" si="126"/>
        <v>1</v>
      </c>
      <c r="K326" s="9">
        <f t="shared" si="143"/>
        <v>0</v>
      </c>
      <c r="L326" s="9">
        <f t="shared" si="127"/>
        <v>0</v>
      </c>
      <c r="M326" s="9">
        <f t="shared" si="128"/>
        <v>0</v>
      </c>
      <c r="N326" s="9">
        <f t="shared" si="129"/>
        <v>0</v>
      </c>
      <c r="O326" s="9">
        <f t="shared" si="130"/>
        <v>0</v>
      </c>
      <c r="P326" s="9">
        <f t="shared" si="131"/>
        <v>0</v>
      </c>
      <c r="Q326" s="9">
        <f t="shared" si="132"/>
        <v>0</v>
      </c>
      <c r="R326" s="9">
        <f t="shared" si="133"/>
        <v>0</v>
      </c>
      <c r="S326" s="9">
        <f t="shared" si="134"/>
        <v>0</v>
      </c>
      <c r="T326" s="9">
        <f t="shared" si="135"/>
        <v>0</v>
      </c>
      <c r="U326" s="9">
        <f t="shared" si="136"/>
        <v>0</v>
      </c>
      <c r="V326" s="9">
        <f t="shared" si="137"/>
        <v>0</v>
      </c>
      <c r="W326" s="9">
        <f t="shared" si="138"/>
        <v>0</v>
      </c>
      <c r="X326" s="9">
        <f t="shared" si="139"/>
        <v>0</v>
      </c>
      <c r="Y326" s="9">
        <f t="shared" si="140"/>
        <v>0</v>
      </c>
      <c r="Z326" s="9">
        <f t="shared" si="141"/>
        <v>0</v>
      </c>
      <c r="AA326" s="10">
        <f t="shared" si="142"/>
        <v>0</v>
      </c>
    </row>
    <row r="327" spans="1:27" x14ac:dyDescent="0.3">
      <c r="A327" s="18" t="s">
        <v>1294</v>
      </c>
      <c r="B327" s="4">
        <f t="shared" si="120"/>
        <v>0</v>
      </c>
      <c r="C327" s="4">
        <f t="shared" si="121"/>
        <v>0</v>
      </c>
      <c r="D327" s="4">
        <f t="shared" si="122"/>
        <v>0</v>
      </c>
      <c r="E327" s="4">
        <f t="shared" si="123"/>
        <v>0</v>
      </c>
      <c r="F327" s="4">
        <f t="shared" si="124"/>
        <v>0</v>
      </c>
      <c r="G327" s="4">
        <f t="shared" si="125"/>
        <v>0</v>
      </c>
      <c r="I327" s="8" t="s">
        <v>994</v>
      </c>
      <c r="J327" s="9">
        <f t="shared" si="126"/>
        <v>0</v>
      </c>
      <c r="K327" s="9">
        <f t="shared" si="143"/>
        <v>0</v>
      </c>
      <c r="L327" s="9">
        <f t="shared" si="127"/>
        <v>0</v>
      </c>
      <c r="M327" s="9">
        <f t="shared" si="128"/>
        <v>0</v>
      </c>
      <c r="N327" s="9">
        <f t="shared" si="129"/>
        <v>0</v>
      </c>
      <c r="O327" s="9">
        <f t="shared" si="130"/>
        <v>0</v>
      </c>
      <c r="P327" s="9">
        <f t="shared" si="131"/>
        <v>1</v>
      </c>
      <c r="Q327" s="9">
        <f t="shared" si="132"/>
        <v>0</v>
      </c>
      <c r="R327" s="9">
        <f t="shared" si="133"/>
        <v>0</v>
      </c>
      <c r="S327" s="9">
        <f t="shared" si="134"/>
        <v>0</v>
      </c>
      <c r="T327" s="9">
        <f t="shared" si="135"/>
        <v>0</v>
      </c>
      <c r="U327" s="9">
        <f t="shared" si="136"/>
        <v>0</v>
      </c>
      <c r="V327" s="9">
        <f t="shared" si="137"/>
        <v>0</v>
      </c>
      <c r="W327" s="9">
        <f t="shared" si="138"/>
        <v>0</v>
      </c>
      <c r="X327" s="9">
        <f t="shared" si="139"/>
        <v>0</v>
      </c>
      <c r="Y327" s="9">
        <f t="shared" si="140"/>
        <v>0</v>
      </c>
      <c r="Z327" s="9">
        <f t="shared" si="141"/>
        <v>0</v>
      </c>
      <c r="AA327" s="10">
        <f t="shared" si="142"/>
        <v>0</v>
      </c>
    </row>
    <row r="328" spans="1:27" x14ac:dyDescent="0.3">
      <c r="A328" s="4" t="s">
        <v>1302</v>
      </c>
      <c r="B328" s="4">
        <f t="shared" si="120"/>
        <v>1</v>
      </c>
      <c r="C328" s="4">
        <f t="shared" si="121"/>
        <v>0</v>
      </c>
      <c r="D328" s="4">
        <f t="shared" si="122"/>
        <v>0</v>
      </c>
      <c r="E328" s="4">
        <f t="shared" si="123"/>
        <v>0</v>
      </c>
      <c r="F328" s="4">
        <f t="shared" si="124"/>
        <v>0</v>
      </c>
      <c r="G328" s="4">
        <f t="shared" si="125"/>
        <v>0</v>
      </c>
      <c r="I328" s="11" t="s">
        <v>1294</v>
      </c>
      <c r="J328" s="9">
        <f t="shared" si="126"/>
        <v>0</v>
      </c>
      <c r="K328" s="9">
        <f t="shared" si="143"/>
        <v>0</v>
      </c>
      <c r="L328" s="9">
        <f t="shared" si="127"/>
        <v>0</v>
      </c>
      <c r="M328" s="9">
        <f t="shared" si="128"/>
        <v>0</v>
      </c>
      <c r="N328" s="9">
        <f t="shared" si="129"/>
        <v>0</v>
      </c>
      <c r="O328" s="9">
        <f t="shared" si="130"/>
        <v>0</v>
      </c>
      <c r="P328" s="9">
        <f t="shared" si="131"/>
        <v>0</v>
      </c>
      <c r="Q328" s="9">
        <f t="shared" si="132"/>
        <v>0</v>
      </c>
      <c r="R328" s="9">
        <f t="shared" si="133"/>
        <v>0</v>
      </c>
      <c r="S328" s="9">
        <f t="shared" si="134"/>
        <v>0</v>
      </c>
      <c r="T328" s="9">
        <f t="shared" si="135"/>
        <v>0</v>
      </c>
      <c r="U328" s="9">
        <f t="shared" si="136"/>
        <v>0</v>
      </c>
      <c r="V328" s="9">
        <f t="shared" si="137"/>
        <v>0</v>
      </c>
      <c r="W328" s="9">
        <f t="shared" si="138"/>
        <v>0</v>
      </c>
      <c r="X328" s="9">
        <f t="shared" si="139"/>
        <v>0</v>
      </c>
      <c r="Y328" s="9">
        <f t="shared" si="140"/>
        <v>0</v>
      </c>
      <c r="Z328" s="9">
        <f t="shared" si="141"/>
        <v>0</v>
      </c>
      <c r="AA328" s="10">
        <f t="shared" si="142"/>
        <v>0</v>
      </c>
    </row>
    <row r="329" spans="1:27" x14ac:dyDescent="0.3">
      <c r="A329" s="18" t="s">
        <v>1302</v>
      </c>
      <c r="B329" s="4">
        <f t="shared" si="120"/>
        <v>1</v>
      </c>
      <c r="C329" s="4">
        <f t="shared" si="121"/>
        <v>0</v>
      </c>
      <c r="D329" s="4">
        <f t="shared" si="122"/>
        <v>0</v>
      </c>
      <c r="E329" s="4">
        <f t="shared" si="123"/>
        <v>0</v>
      </c>
      <c r="F329" s="4">
        <f t="shared" si="124"/>
        <v>0</v>
      </c>
      <c r="G329" s="4">
        <f t="shared" si="125"/>
        <v>0</v>
      </c>
      <c r="I329" s="8" t="s">
        <v>1011</v>
      </c>
      <c r="J329" s="9">
        <f t="shared" si="126"/>
        <v>0</v>
      </c>
      <c r="K329" s="9">
        <f t="shared" si="143"/>
        <v>0</v>
      </c>
      <c r="L329" s="9">
        <f t="shared" si="127"/>
        <v>0</v>
      </c>
      <c r="M329" s="9">
        <f t="shared" si="128"/>
        <v>0</v>
      </c>
      <c r="N329" s="9">
        <f t="shared" si="129"/>
        <v>0</v>
      </c>
      <c r="O329" s="9">
        <f t="shared" si="130"/>
        <v>0</v>
      </c>
      <c r="P329" s="9">
        <f t="shared" si="131"/>
        <v>0</v>
      </c>
      <c r="Q329" s="9">
        <f t="shared" si="132"/>
        <v>0</v>
      </c>
      <c r="R329" s="9">
        <f t="shared" si="133"/>
        <v>0</v>
      </c>
      <c r="S329" s="9">
        <f t="shared" si="134"/>
        <v>1</v>
      </c>
      <c r="T329" s="9">
        <f t="shared" si="135"/>
        <v>0</v>
      </c>
      <c r="U329" s="9">
        <f t="shared" si="136"/>
        <v>0</v>
      </c>
      <c r="V329" s="9">
        <f t="shared" si="137"/>
        <v>0</v>
      </c>
      <c r="W329" s="9">
        <f t="shared" si="138"/>
        <v>0</v>
      </c>
      <c r="X329" s="9">
        <f t="shared" si="139"/>
        <v>0</v>
      </c>
      <c r="Y329" s="9">
        <f t="shared" si="140"/>
        <v>0</v>
      </c>
      <c r="Z329" s="9">
        <f t="shared" si="141"/>
        <v>0</v>
      </c>
      <c r="AA329" s="10">
        <f t="shared" si="142"/>
        <v>0</v>
      </c>
    </row>
    <row r="330" spans="1:27" x14ac:dyDescent="0.3">
      <c r="A330" s="4" t="s">
        <v>1303</v>
      </c>
      <c r="B330" s="4">
        <f t="shared" si="120"/>
        <v>0</v>
      </c>
      <c r="C330" s="4">
        <f t="shared" si="121"/>
        <v>0</v>
      </c>
      <c r="D330" s="4">
        <f t="shared" si="122"/>
        <v>0</v>
      </c>
      <c r="E330" s="4">
        <f t="shared" si="123"/>
        <v>0</v>
      </c>
      <c r="F330" s="4">
        <f t="shared" si="124"/>
        <v>1</v>
      </c>
      <c r="G330" s="4">
        <f t="shared" si="125"/>
        <v>0</v>
      </c>
      <c r="I330" s="11" t="s">
        <v>988</v>
      </c>
      <c r="J330" s="9">
        <f t="shared" si="126"/>
        <v>0</v>
      </c>
      <c r="K330" s="9">
        <f t="shared" si="143"/>
        <v>0</v>
      </c>
      <c r="L330" s="9">
        <f t="shared" si="127"/>
        <v>1</v>
      </c>
      <c r="M330" s="9">
        <f t="shared" si="128"/>
        <v>0</v>
      </c>
      <c r="N330" s="9">
        <f t="shared" si="129"/>
        <v>0</v>
      </c>
      <c r="O330" s="9">
        <f t="shared" si="130"/>
        <v>0</v>
      </c>
      <c r="P330" s="9">
        <f t="shared" si="131"/>
        <v>0</v>
      </c>
      <c r="Q330" s="9">
        <f t="shared" si="132"/>
        <v>0</v>
      </c>
      <c r="R330" s="9">
        <f t="shared" si="133"/>
        <v>0</v>
      </c>
      <c r="S330" s="9">
        <f t="shared" si="134"/>
        <v>0</v>
      </c>
      <c r="T330" s="9">
        <f t="shared" si="135"/>
        <v>0</v>
      </c>
      <c r="U330" s="9">
        <f t="shared" si="136"/>
        <v>0</v>
      </c>
      <c r="V330" s="9">
        <f t="shared" si="137"/>
        <v>0</v>
      </c>
      <c r="W330" s="9">
        <f t="shared" si="138"/>
        <v>0</v>
      </c>
      <c r="X330" s="9">
        <f t="shared" si="139"/>
        <v>0</v>
      </c>
      <c r="Y330" s="9">
        <f t="shared" si="140"/>
        <v>0</v>
      </c>
      <c r="Z330" s="9">
        <f t="shared" si="141"/>
        <v>0</v>
      </c>
      <c r="AA330" s="10">
        <f t="shared" si="142"/>
        <v>0</v>
      </c>
    </row>
    <row r="331" spans="1:27" x14ac:dyDescent="0.3">
      <c r="A331" s="18" t="s">
        <v>1305</v>
      </c>
      <c r="B331" s="4">
        <f t="shared" si="120"/>
        <v>0</v>
      </c>
      <c r="C331" s="4">
        <f t="shared" si="121"/>
        <v>0</v>
      </c>
      <c r="D331" s="4">
        <f t="shared" si="122"/>
        <v>0</v>
      </c>
      <c r="E331" s="4">
        <f t="shared" si="123"/>
        <v>0</v>
      </c>
      <c r="F331" s="4">
        <f t="shared" si="124"/>
        <v>0</v>
      </c>
      <c r="G331" s="4">
        <f t="shared" si="125"/>
        <v>1</v>
      </c>
      <c r="I331" s="8" t="s">
        <v>1139</v>
      </c>
      <c r="J331" s="9">
        <f t="shared" si="126"/>
        <v>0</v>
      </c>
      <c r="K331" s="9">
        <f t="shared" si="143"/>
        <v>0</v>
      </c>
      <c r="L331" s="9">
        <f t="shared" si="127"/>
        <v>0</v>
      </c>
      <c r="M331" s="9">
        <f t="shared" si="128"/>
        <v>0</v>
      </c>
      <c r="N331" s="9">
        <f t="shared" si="129"/>
        <v>0</v>
      </c>
      <c r="O331" s="9">
        <f t="shared" si="130"/>
        <v>0</v>
      </c>
      <c r="P331" s="9">
        <f t="shared" si="131"/>
        <v>0</v>
      </c>
      <c r="Q331" s="9">
        <f t="shared" si="132"/>
        <v>0</v>
      </c>
      <c r="R331" s="9">
        <f t="shared" si="133"/>
        <v>0</v>
      </c>
      <c r="S331" s="9">
        <f t="shared" si="134"/>
        <v>0</v>
      </c>
      <c r="T331" s="9">
        <f t="shared" si="135"/>
        <v>0</v>
      </c>
      <c r="U331" s="9">
        <f t="shared" si="136"/>
        <v>0</v>
      </c>
      <c r="V331" s="9">
        <f t="shared" si="137"/>
        <v>0</v>
      </c>
      <c r="W331" s="9">
        <f t="shared" si="138"/>
        <v>0</v>
      </c>
      <c r="X331" s="9">
        <f t="shared" si="139"/>
        <v>1</v>
      </c>
      <c r="Y331" s="9">
        <f t="shared" si="140"/>
        <v>0</v>
      </c>
      <c r="Z331" s="9">
        <f t="shared" si="141"/>
        <v>0</v>
      </c>
      <c r="AA331" s="10">
        <f t="shared" si="142"/>
        <v>0</v>
      </c>
    </row>
    <row r="332" spans="1:27" x14ac:dyDescent="0.3">
      <c r="A332" s="4" t="s">
        <v>1294</v>
      </c>
      <c r="B332" s="4">
        <f t="shared" si="120"/>
        <v>0</v>
      </c>
      <c r="C332" s="4">
        <f t="shared" si="121"/>
        <v>0</v>
      </c>
      <c r="D332" s="4">
        <f t="shared" si="122"/>
        <v>0</v>
      </c>
      <c r="E332" s="4">
        <f t="shared" si="123"/>
        <v>0</v>
      </c>
      <c r="F332" s="4">
        <f t="shared" si="124"/>
        <v>0</v>
      </c>
      <c r="G332" s="4">
        <f t="shared" si="125"/>
        <v>0</v>
      </c>
      <c r="I332" s="11" t="s">
        <v>994</v>
      </c>
      <c r="J332" s="9">
        <f t="shared" si="126"/>
        <v>0</v>
      </c>
      <c r="K332" s="9">
        <f t="shared" si="143"/>
        <v>0</v>
      </c>
      <c r="L332" s="9">
        <f t="shared" si="127"/>
        <v>0</v>
      </c>
      <c r="M332" s="9">
        <f t="shared" si="128"/>
        <v>0</v>
      </c>
      <c r="N332" s="9">
        <f t="shared" si="129"/>
        <v>0</v>
      </c>
      <c r="O332" s="9">
        <f t="shared" si="130"/>
        <v>0</v>
      </c>
      <c r="P332" s="9">
        <f t="shared" si="131"/>
        <v>1</v>
      </c>
      <c r="Q332" s="9">
        <f t="shared" si="132"/>
        <v>0</v>
      </c>
      <c r="R332" s="9">
        <f t="shared" si="133"/>
        <v>0</v>
      </c>
      <c r="S332" s="9">
        <f t="shared" si="134"/>
        <v>0</v>
      </c>
      <c r="T332" s="9">
        <f t="shared" si="135"/>
        <v>0</v>
      </c>
      <c r="U332" s="9">
        <f t="shared" si="136"/>
        <v>0</v>
      </c>
      <c r="V332" s="9">
        <f t="shared" si="137"/>
        <v>0</v>
      </c>
      <c r="W332" s="9">
        <f t="shared" si="138"/>
        <v>0</v>
      </c>
      <c r="X332" s="9">
        <f t="shared" si="139"/>
        <v>0</v>
      </c>
      <c r="Y332" s="9">
        <f t="shared" si="140"/>
        <v>0</v>
      </c>
      <c r="Z332" s="9">
        <f t="shared" si="141"/>
        <v>0</v>
      </c>
      <c r="AA332" s="10">
        <f t="shared" si="142"/>
        <v>0</v>
      </c>
    </row>
    <row r="333" spans="1:27" x14ac:dyDescent="0.3">
      <c r="A333" s="18" t="s">
        <v>1303</v>
      </c>
      <c r="B333" s="4">
        <f t="shared" si="120"/>
        <v>0</v>
      </c>
      <c r="C333" s="4">
        <f t="shared" si="121"/>
        <v>0</v>
      </c>
      <c r="D333" s="4">
        <f t="shared" si="122"/>
        <v>0</v>
      </c>
      <c r="E333" s="4">
        <f t="shared" si="123"/>
        <v>0</v>
      </c>
      <c r="F333" s="4">
        <f t="shared" si="124"/>
        <v>1</v>
      </c>
      <c r="G333" s="4">
        <f t="shared" si="125"/>
        <v>0</v>
      </c>
      <c r="I333" s="8" t="s">
        <v>994</v>
      </c>
      <c r="J333" s="9">
        <f t="shared" si="126"/>
        <v>0</v>
      </c>
      <c r="K333" s="9">
        <f t="shared" si="143"/>
        <v>0</v>
      </c>
      <c r="L333" s="9">
        <f t="shared" si="127"/>
        <v>0</v>
      </c>
      <c r="M333" s="9">
        <f t="shared" si="128"/>
        <v>0</v>
      </c>
      <c r="N333" s="9">
        <f t="shared" si="129"/>
        <v>0</v>
      </c>
      <c r="O333" s="9">
        <f t="shared" si="130"/>
        <v>0</v>
      </c>
      <c r="P333" s="9">
        <f t="shared" si="131"/>
        <v>1</v>
      </c>
      <c r="Q333" s="9">
        <f t="shared" si="132"/>
        <v>0</v>
      </c>
      <c r="R333" s="9">
        <f t="shared" si="133"/>
        <v>0</v>
      </c>
      <c r="S333" s="9">
        <f t="shared" si="134"/>
        <v>0</v>
      </c>
      <c r="T333" s="9">
        <f t="shared" si="135"/>
        <v>0</v>
      </c>
      <c r="U333" s="9">
        <f t="shared" si="136"/>
        <v>0</v>
      </c>
      <c r="V333" s="9">
        <f t="shared" si="137"/>
        <v>0</v>
      </c>
      <c r="W333" s="9">
        <f t="shared" si="138"/>
        <v>0</v>
      </c>
      <c r="X333" s="9">
        <f t="shared" si="139"/>
        <v>0</v>
      </c>
      <c r="Y333" s="9">
        <f t="shared" si="140"/>
        <v>0</v>
      </c>
      <c r="Z333" s="9">
        <f t="shared" si="141"/>
        <v>0</v>
      </c>
      <c r="AA333" s="10">
        <f t="shared" si="142"/>
        <v>0</v>
      </c>
    </row>
    <row r="334" spans="1:27" x14ac:dyDescent="0.3">
      <c r="A334" s="4" t="s">
        <v>1305</v>
      </c>
      <c r="B334" s="4">
        <f t="shared" si="120"/>
        <v>0</v>
      </c>
      <c r="C334" s="4">
        <f t="shared" si="121"/>
        <v>0</v>
      </c>
      <c r="D334" s="4">
        <f t="shared" si="122"/>
        <v>0</v>
      </c>
      <c r="E334" s="4">
        <f t="shared" si="123"/>
        <v>0</v>
      </c>
      <c r="F334" s="4">
        <f t="shared" si="124"/>
        <v>0</v>
      </c>
      <c r="G334" s="4">
        <f t="shared" si="125"/>
        <v>1</v>
      </c>
      <c r="I334" s="11" t="s">
        <v>1026</v>
      </c>
      <c r="J334" s="9">
        <f t="shared" si="126"/>
        <v>0</v>
      </c>
      <c r="K334" s="9">
        <f t="shared" si="143"/>
        <v>0</v>
      </c>
      <c r="L334" s="9">
        <f t="shared" si="127"/>
        <v>0</v>
      </c>
      <c r="M334" s="9">
        <f t="shared" si="128"/>
        <v>0</v>
      </c>
      <c r="N334" s="9">
        <f t="shared" si="129"/>
        <v>0</v>
      </c>
      <c r="O334" s="9">
        <f t="shared" si="130"/>
        <v>0</v>
      </c>
      <c r="P334" s="9">
        <f t="shared" si="131"/>
        <v>0</v>
      </c>
      <c r="Q334" s="9">
        <f t="shared" si="132"/>
        <v>0</v>
      </c>
      <c r="R334" s="9">
        <f t="shared" si="133"/>
        <v>0</v>
      </c>
      <c r="S334" s="9">
        <f t="shared" si="134"/>
        <v>0</v>
      </c>
      <c r="T334" s="9">
        <f t="shared" si="135"/>
        <v>1</v>
      </c>
      <c r="U334" s="9">
        <f t="shared" si="136"/>
        <v>0</v>
      </c>
      <c r="V334" s="9">
        <f t="shared" si="137"/>
        <v>0</v>
      </c>
      <c r="W334" s="9">
        <f t="shared" si="138"/>
        <v>0</v>
      </c>
      <c r="X334" s="9">
        <f t="shared" si="139"/>
        <v>0</v>
      </c>
      <c r="Y334" s="9">
        <f t="shared" si="140"/>
        <v>0</v>
      </c>
      <c r="Z334" s="9">
        <f t="shared" si="141"/>
        <v>0</v>
      </c>
      <c r="AA334" s="10">
        <f t="shared" si="142"/>
        <v>0</v>
      </c>
    </row>
    <row r="335" spans="1:27" x14ac:dyDescent="0.3">
      <c r="A335" s="18" t="s">
        <v>1305</v>
      </c>
      <c r="B335" s="4">
        <f t="shared" si="120"/>
        <v>0</v>
      </c>
      <c r="C335" s="4">
        <f t="shared" si="121"/>
        <v>0</v>
      </c>
      <c r="D335" s="4">
        <f t="shared" si="122"/>
        <v>0</v>
      </c>
      <c r="E335" s="4">
        <f t="shared" si="123"/>
        <v>0</v>
      </c>
      <c r="F335" s="4">
        <f t="shared" si="124"/>
        <v>0</v>
      </c>
      <c r="G335" s="4">
        <f t="shared" si="125"/>
        <v>1</v>
      </c>
      <c r="I335" s="8" t="s">
        <v>996</v>
      </c>
      <c r="J335" s="9">
        <f t="shared" si="126"/>
        <v>0</v>
      </c>
      <c r="K335" s="9">
        <f t="shared" si="143"/>
        <v>0</v>
      </c>
      <c r="L335" s="9">
        <f t="shared" si="127"/>
        <v>0</v>
      </c>
      <c r="M335" s="9">
        <f t="shared" si="128"/>
        <v>0</v>
      </c>
      <c r="N335" s="9">
        <f t="shared" si="129"/>
        <v>0</v>
      </c>
      <c r="O335" s="9">
        <f t="shared" si="130"/>
        <v>0</v>
      </c>
      <c r="P335" s="9">
        <f t="shared" si="131"/>
        <v>0</v>
      </c>
      <c r="Q335" s="9">
        <f t="shared" si="132"/>
        <v>1</v>
      </c>
      <c r="R335" s="9">
        <f t="shared" si="133"/>
        <v>0</v>
      </c>
      <c r="S335" s="9">
        <f t="shared" si="134"/>
        <v>0</v>
      </c>
      <c r="T335" s="9">
        <f t="shared" si="135"/>
        <v>0</v>
      </c>
      <c r="U335" s="9">
        <f t="shared" si="136"/>
        <v>0</v>
      </c>
      <c r="V335" s="9">
        <f t="shared" si="137"/>
        <v>0</v>
      </c>
      <c r="W335" s="9">
        <f t="shared" si="138"/>
        <v>0</v>
      </c>
      <c r="X335" s="9">
        <f t="shared" si="139"/>
        <v>0</v>
      </c>
      <c r="Y335" s="9">
        <f t="shared" si="140"/>
        <v>0</v>
      </c>
      <c r="Z335" s="9">
        <f t="shared" si="141"/>
        <v>0</v>
      </c>
      <c r="AA335" s="10">
        <f t="shared" si="142"/>
        <v>0</v>
      </c>
    </row>
    <row r="336" spans="1:27" x14ac:dyDescent="0.3">
      <c r="A336" s="4" t="s">
        <v>1302</v>
      </c>
      <c r="B336" s="4">
        <f t="shared" si="120"/>
        <v>1</v>
      </c>
      <c r="C336" s="4">
        <f t="shared" si="121"/>
        <v>0</v>
      </c>
      <c r="D336" s="4">
        <f t="shared" si="122"/>
        <v>0</v>
      </c>
      <c r="E336" s="4">
        <f t="shared" si="123"/>
        <v>0</v>
      </c>
      <c r="F336" s="4">
        <f t="shared" si="124"/>
        <v>0</v>
      </c>
      <c r="G336" s="4">
        <f t="shared" si="125"/>
        <v>0</v>
      </c>
      <c r="I336" s="11" t="s">
        <v>977</v>
      </c>
      <c r="J336" s="9">
        <f t="shared" si="126"/>
        <v>1</v>
      </c>
      <c r="K336" s="9">
        <f t="shared" si="143"/>
        <v>0</v>
      </c>
      <c r="L336" s="9">
        <f t="shared" si="127"/>
        <v>0</v>
      </c>
      <c r="M336" s="9">
        <f t="shared" si="128"/>
        <v>0</v>
      </c>
      <c r="N336" s="9">
        <f t="shared" si="129"/>
        <v>0</v>
      </c>
      <c r="O336" s="9">
        <f t="shared" si="130"/>
        <v>0</v>
      </c>
      <c r="P336" s="9">
        <f t="shared" si="131"/>
        <v>0</v>
      </c>
      <c r="Q336" s="9">
        <f t="shared" si="132"/>
        <v>0</v>
      </c>
      <c r="R336" s="9">
        <f t="shared" si="133"/>
        <v>0</v>
      </c>
      <c r="S336" s="9">
        <f t="shared" si="134"/>
        <v>0</v>
      </c>
      <c r="T336" s="9">
        <f t="shared" si="135"/>
        <v>0</v>
      </c>
      <c r="U336" s="9">
        <f t="shared" si="136"/>
        <v>0</v>
      </c>
      <c r="V336" s="9">
        <f t="shared" si="137"/>
        <v>0</v>
      </c>
      <c r="W336" s="9">
        <f t="shared" si="138"/>
        <v>0</v>
      </c>
      <c r="X336" s="9">
        <f t="shared" si="139"/>
        <v>0</v>
      </c>
      <c r="Y336" s="9">
        <f t="shared" si="140"/>
        <v>0</v>
      </c>
      <c r="Z336" s="9">
        <f t="shared" si="141"/>
        <v>0</v>
      </c>
      <c r="AA336" s="10">
        <f t="shared" si="142"/>
        <v>0</v>
      </c>
    </row>
    <row r="337" spans="1:27" x14ac:dyDescent="0.3">
      <c r="A337" s="18" t="s">
        <v>1304</v>
      </c>
      <c r="B337" s="4">
        <f t="shared" si="120"/>
        <v>0</v>
      </c>
      <c r="C337" s="4">
        <f t="shared" si="121"/>
        <v>1</v>
      </c>
      <c r="D337" s="4">
        <f t="shared" si="122"/>
        <v>0</v>
      </c>
      <c r="E337" s="4">
        <f t="shared" si="123"/>
        <v>0</v>
      </c>
      <c r="F337" s="4">
        <f t="shared" si="124"/>
        <v>0</v>
      </c>
      <c r="G337" s="4">
        <f t="shared" si="125"/>
        <v>0</v>
      </c>
      <c r="I337" s="8" t="s">
        <v>1044</v>
      </c>
      <c r="J337" s="9">
        <f t="shared" si="126"/>
        <v>0</v>
      </c>
      <c r="K337" s="9">
        <f t="shared" si="143"/>
        <v>0</v>
      </c>
      <c r="L337" s="9">
        <f t="shared" si="127"/>
        <v>0</v>
      </c>
      <c r="M337" s="9">
        <f t="shared" si="128"/>
        <v>0</v>
      </c>
      <c r="N337" s="9">
        <f t="shared" si="129"/>
        <v>0</v>
      </c>
      <c r="O337" s="9">
        <f t="shared" si="130"/>
        <v>0</v>
      </c>
      <c r="P337" s="9">
        <f t="shared" si="131"/>
        <v>0</v>
      </c>
      <c r="Q337" s="9">
        <f t="shared" si="132"/>
        <v>0</v>
      </c>
      <c r="R337" s="9">
        <f t="shared" si="133"/>
        <v>0</v>
      </c>
      <c r="S337" s="9">
        <f t="shared" si="134"/>
        <v>0</v>
      </c>
      <c r="T337" s="9">
        <f t="shared" si="135"/>
        <v>0</v>
      </c>
      <c r="U337" s="9">
        <f t="shared" si="136"/>
        <v>1</v>
      </c>
      <c r="V337" s="9">
        <f t="shared" si="137"/>
        <v>0</v>
      </c>
      <c r="W337" s="9">
        <f t="shared" si="138"/>
        <v>0</v>
      </c>
      <c r="X337" s="9">
        <f t="shared" si="139"/>
        <v>0</v>
      </c>
      <c r="Y337" s="9">
        <f t="shared" si="140"/>
        <v>0</v>
      </c>
      <c r="Z337" s="9">
        <f t="shared" si="141"/>
        <v>0</v>
      </c>
      <c r="AA337" s="10">
        <f t="shared" si="142"/>
        <v>0</v>
      </c>
    </row>
    <row r="338" spans="1:27" x14ac:dyDescent="0.3">
      <c r="A338" s="4" t="s">
        <v>1302</v>
      </c>
      <c r="B338" s="4">
        <f t="shared" si="120"/>
        <v>1</v>
      </c>
      <c r="C338" s="4">
        <f t="shared" si="121"/>
        <v>0</v>
      </c>
      <c r="D338" s="4">
        <f t="shared" si="122"/>
        <v>0</v>
      </c>
      <c r="E338" s="4">
        <f t="shared" si="123"/>
        <v>0</v>
      </c>
      <c r="F338" s="4">
        <f t="shared" si="124"/>
        <v>0</v>
      </c>
      <c r="G338" s="4">
        <f t="shared" si="125"/>
        <v>0</v>
      </c>
      <c r="I338" s="11" t="s">
        <v>988</v>
      </c>
      <c r="J338" s="9">
        <f t="shared" si="126"/>
        <v>0</v>
      </c>
      <c r="K338" s="9">
        <f t="shared" si="143"/>
        <v>0</v>
      </c>
      <c r="L338" s="9">
        <f t="shared" si="127"/>
        <v>1</v>
      </c>
      <c r="M338" s="9">
        <f t="shared" si="128"/>
        <v>0</v>
      </c>
      <c r="N338" s="9">
        <f t="shared" si="129"/>
        <v>0</v>
      </c>
      <c r="O338" s="9">
        <f t="shared" si="130"/>
        <v>0</v>
      </c>
      <c r="P338" s="9">
        <f t="shared" si="131"/>
        <v>0</v>
      </c>
      <c r="Q338" s="9">
        <f t="shared" si="132"/>
        <v>0</v>
      </c>
      <c r="R338" s="9">
        <f t="shared" si="133"/>
        <v>0</v>
      </c>
      <c r="S338" s="9">
        <f t="shared" si="134"/>
        <v>0</v>
      </c>
      <c r="T338" s="9">
        <f t="shared" si="135"/>
        <v>0</v>
      </c>
      <c r="U338" s="9">
        <f t="shared" si="136"/>
        <v>0</v>
      </c>
      <c r="V338" s="9">
        <f t="shared" si="137"/>
        <v>0</v>
      </c>
      <c r="W338" s="9">
        <f t="shared" si="138"/>
        <v>0</v>
      </c>
      <c r="X338" s="9">
        <f t="shared" si="139"/>
        <v>0</v>
      </c>
      <c r="Y338" s="9">
        <f t="shared" si="140"/>
        <v>0</v>
      </c>
      <c r="Z338" s="9">
        <f t="shared" si="141"/>
        <v>0</v>
      </c>
      <c r="AA338" s="10">
        <f t="shared" si="142"/>
        <v>0</v>
      </c>
    </row>
    <row r="339" spans="1:27" x14ac:dyDescent="0.3">
      <c r="A339" s="18" t="s">
        <v>1302</v>
      </c>
      <c r="B339" s="4">
        <f t="shared" si="120"/>
        <v>1</v>
      </c>
      <c r="C339" s="4">
        <f t="shared" si="121"/>
        <v>0</v>
      </c>
      <c r="D339" s="4">
        <f t="shared" si="122"/>
        <v>0</v>
      </c>
      <c r="E339" s="4">
        <f t="shared" si="123"/>
        <v>0</v>
      </c>
      <c r="F339" s="4">
        <f t="shared" si="124"/>
        <v>0</v>
      </c>
      <c r="G339" s="4">
        <f t="shared" si="125"/>
        <v>0</v>
      </c>
      <c r="I339" s="8" t="s">
        <v>988</v>
      </c>
      <c r="J339" s="9">
        <f t="shared" si="126"/>
        <v>0</v>
      </c>
      <c r="K339" s="9">
        <f t="shared" si="143"/>
        <v>0</v>
      </c>
      <c r="L339" s="9">
        <f t="shared" si="127"/>
        <v>1</v>
      </c>
      <c r="M339" s="9">
        <f t="shared" si="128"/>
        <v>0</v>
      </c>
      <c r="N339" s="9">
        <f t="shared" si="129"/>
        <v>0</v>
      </c>
      <c r="O339" s="9">
        <f t="shared" si="130"/>
        <v>0</v>
      </c>
      <c r="P339" s="9">
        <f t="shared" si="131"/>
        <v>0</v>
      </c>
      <c r="Q339" s="9">
        <f t="shared" si="132"/>
        <v>0</v>
      </c>
      <c r="R339" s="9">
        <f t="shared" si="133"/>
        <v>0</v>
      </c>
      <c r="S339" s="9">
        <f t="shared" si="134"/>
        <v>0</v>
      </c>
      <c r="T339" s="9">
        <f t="shared" si="135"/>
        <v>0</v>
      </c>
      <c r="U339" s="9">
        <f t="shared" si="136"/>
        <v>0</v>
      </c>
      <c r="V339" s="9">
        <f t="shared" si="137"/>
        <v>0</v>
      </c>
      <c r="W339" s="9">
        <f t="shared" si="138"/>
        <v>0</v>
      </c>
      <c r="X339" s="9">
        <f t="shared" si="139"/>
        <v>0</v>
      </c>
      <c r="Y339" s="9">
        <f t="shared" si="140"/>
        <v>0</v>
      </c>
      <c r="Z339" s="9">
        <f t="shared" si="141"/>
        <v>0</v>
      </c>
      <c r="AA339" s="10">
        <f t="shared" si="142"/>
        <v>0</v>
      </c>
    </row>
    <row r="340" spans="1:27" x14ac:dyDescent="0.3">
      <c r="A340" s="4" t="s">
        <v>1302</v>
      </c>
      <c r="B340" s="4">
        <f t="shared" si="120"/>
        <v>1</v>
      </c>
      <c r="C340" s="4">
        <f t="shared" si="121"/>
        <v>0</v>
      </c>
      <c r="D340" s="4">
        <f t="shared" si="122"/>
        <v>0</v>
      </c>
      <c r="E340" s="4">
        <f t="shared" si="123"/>
        <v>0</v>
      </c>
      <c r="F340" s="4">
        <f t="shared" si="124"/>
        <v>0</v>
      </c>
      <c r="G340" s="4">
        <f t="shared" si="125"/>
        <v>0</v>
      </c>
      <c r="I340" s="11" t="s">
        <v>994</v>
      </c>
      <c r="J340" s="9">
        <f t="shared" si="126"/>
        <v>0</v>
      </c>
      <c r="K340" s="9">
        <f t="shared" si="143"/>
        <v>0</v>
      </c>
      <c r="L340" s="9">
        <f t="shared" si="127"/>
        <v>0</v>
      </c>
      <c r="M340" s="9">
        <f t="shared" si="128"/>
        <v>0</v>
      </c>
      <c r="N340" s="9">
        <f t="shared" si="129"/>
        <v>0</v>
      </c>
      <c r="O340" s="9">
        <f t="shared" si="130"/>
        <v>0</v>
      </c>
      <c r="P340" s="9">
        <f t="shared" si="131"/>
        <v>1</v>
      </c>
      <c r="Q340" s="9">
        <f t="shared" si="132"/>
        <v>0</v>
      </c>
      <c r="R340" s="9">
        <f t="shared" si="133"/>
        <v>0</v>
      </c>
      <c r="S340" s="9">
        <f t="shared" si="134"/>
        <v>0</v>
      </c>
      <c r="T340" s="9">
        <f t="shared" si="135"/>
        <v>0</v>
      </c>
      <c r="U340" s="9">
        <f t="shared" si="136"/>
        <v>0</v>
      </c>
      <c r="V340" s="9">
        <f t="shared" si="137"/>
        <v>0</v>
      </c>
      <c r="W340" s="9">
        <f t="shared" si="138"/>
        <v>0</v>
      </c>
      <c r="X340" s="9">
        <f t="shared" si="139"/>
        <v>0</v>
      </c>
      <c r="Y340" s="9">
        <f t="shared" si="140"/>
        <v>0</v>
      </c>
      <c r="Z340" s="9">
        <f t="shared" si="141"/>
        <v>0</v>
      </c>
      <c r="AA340" s="10">
        <f t="shared" si="142"/>
        <v>0</v>
      </c>
    </row>
    <row r="341" spans="1:27" x14ac:dyDescent="0.3">
      <c r="A341" s="18" t="s">
        <v>1303</v>
      </c>
      <c r="B341" s="4">
        <f t="shared" si="120"/>
        <v>0</v>
      </c>
      <c r="C341" s="4">
        <f t="shared" si="121"/>
        <v>0</v>
      </c>
      <c r="D341" s="4">
        <f t="shared" si="122"/>
        <v>0</v>
      </c>
      <c r="E341" s="4">
        <f t="shared" si="123"/>
        <v>0</v>
      </c>
      <c r="F341" s="4">
        <f t="shared" si="124"/>
        <v>1</v>
      </c>
      <c r="G341" s="4">
        <f t="shared" si="125"/>
        <v>0</v>
      </c>
      <c r="I341" s="8" t="s">
        <v>994</v>
      </c>
      <c r="J341" s="9">
        <f t="shared" si="126"/>
        <v>0</v>
      </c>
      <c r="K341" s="9">
        <f t="shared" si="143"/>
        <v>0</v>
      </c>
      <c r="L341" s="9">
        <f t="shared" si="127"/>
        <v>0</v>
      </c>
      <c r="M341" s="9">
        <f t="shared" si="128"/>
        <v>0</v>
      </c>
      <c r="N341" s="9">
        <f t="shared" si="129"/>
        <v>0</v>
      </c>
      <c r="O341" s="9">
        <f t="shared" si="130"/>
        <v>0</v>
      </c>
      <c r="P341" s="9">
        <f t="shared" si="131"/>
        <v>1</v>
      </c>
      <c r="Q341" s="9">
        <f t="shared" si="132"/>
        <v>0</v>
      </c>
      <c r="R341" s="9">
        <f t="shared" si="133"/>
        <v>0</v>
      </c>
      <c r="S341" s="9">
        <f t="shared" si="134"/>
        <v>0</v>
      </c>
      <c r="T341" s="9">
        <f t="shared" si="135"/>
        <v>0</v>
      </c>
      <c r="U341" s="9">
        <f t="shared" si="136"/>
        <v>0</v>
      </c>
      <c r="V341" s="9">
        <f t="shared" si="137"/>
        <v>0</v>
      </c>
      <c r="W341" s="9">
        <f t="shared" si="138"/>
        <v>0</v>
      </c>
      <c r="X341" s="9">
        <f t="shared" si="139"/>
        <v>0</v>
      </c>
      <c r="Y341" s="9">
        <f t="shared" si="140"/>
        <v>0</v>
      </c>
      <c r="Z341" s="9">
        <f t="shared" si="141"/>
        <v>0</v>
      </c>
      <c r="AA341" s="10">
        <f t="shared" si="142"/>
        <v>0</v>
      </c>
    </row>
    <row r="342" spans="1:27" x14ac:dyDescent="0.3">
      <c r="A342" s="4" t="s">
        <v>1303</v>
      </c>
      <c r="B342" s="4">
        <f t="shared" si="120"/>
        <v>0</v>
      </c>
      <c r="C342" s="4">
        <f t="shared" si="121"/>
        <v>0</v>
      </c>
      <c r="D342" s="4">
        <f t="shared" si="122"/>
        <v>0</v>
      </c>
      <c r="E342" s="4">
        <f t="shared" si="123"/>
        <v>0</v>
      </c>
      <c r="F342" s="4">
        <f t="shared" si="124"/>
        <v>1</v>
      </c>
      <c r="G342" s="4">
        <f t="shared" si="125"/>
        <v>0</v>
      </c>
      <c r="I342" s="11" t="s">
        <v>988</v>
      </c>
      <c r="J342" s="9">
        <f t="shared" si="126"/>
        <v>0</v>
      </c>
      <c r="K342" s="9">
        <f t="shared" si="143"/>
        <v>0</v>
      </c>
      <c r="L342" s="9">
        <f t="shared" si="127"/>
        <v>1</v>
      </c>
      <c r="M342" s="9">
        <f t="shared" si="128"/>
        <v>0</v>
      </c>
      <c r="N342" s="9">
        <f t="shared" si="129"/>
        <v>0</v>
      </c>
      <c r="O342" s="9">
        <f t="shared" si="130"/>
        <v>0</v>
      </c>
      <c r="P342" s="9">
        <f t="shared" si="131"/>
        <v>0</v>
      </c>
      <c r="Q342" s="9">
        <f t="shared" si="132"/>
        <v>0</v>
      </c>
      <c r="R342" s="9">
        <f t="shared" si="133"/>
        <v>0</v>
      </c>
      <c r="S342" s="9">
        <f t="shared" si="134"/>
        <v>0</v>
      </c>
      <c r="T342" s="9">
        <f t="shared" si="135"/>
        <v>0</v>
      </c>
      <c r="U342" s="9">
        <f t="shared" si="136"/>
        <v>0</v>
      </c>
      <c r="V342" s="9">
        <f t="shared" si="137"/>
        <v>0</v>
      </c>
      <c r="W342" s="9">
        <f t="shared" si="138"/>
        <v>0</v>
      </c>
      <c r="X342" s="9">
        <f t="shared" si="139"/>
        <v>0</v>
      </c>
      <c r="Y342" s="9">
        <f t="shared" si="140"/>
        <v>0</v>
      </c>
      <c r="Z342" s="9">
        <f t="shared" si="141"/>
        <v>0</v>
      </c>
      <c r="AA342" s="10">
        <f t="shared" si="142"/>
        <v>0</v>
      </c>
    </row>
    <row r="343" spans="1:27" x14ac:dyDescent="0.3">
      <c r="A343" s="18" t="s">
        <v>1303</v>
      </c>
      <c r="B343" s="4">
        <f t="shared" si="120"/>
        <v>0</v>
      </c>
      <c r="C343" s="4">
        <f t="shared" si="121"/>
        <v>0</v>
      </c>
      <c r="D343" s="4">
        <f t="shared" si="122"/>
        <v>0</v>
      </c>
      <c r="E343" s="4">
        <f t="shared" si="123"/>
        <v>0</v>
      </c>
      <c r="F343" s="4">
        <f t="shared" si="124"/>
        <v>1</v>
      </c>
      <c r="G343" s="4">
        <f t="shared" si="125"/>
        <v>0</v>
      </c>
      <c r="I343" s="8" t="s">
        <v>977</v>
      </c>
      <c r="J343" s="9">
        <f t="shared" si="126"/>
        <v>1</v>
      </c>
      <c r="K343" s="9">
        <f t="shared" si="143"/>
        <v>0</v>
      </c>
      <c r="L343" s="9">
        <f t="shared" si="127"/>
        <v>0</v>
      </c>
      <c r="M343" s="9">
        <f t="shared" si="128"/>
        <v>0</v>
      </c>
      <c r="N343" s="9">
        <f t="shared" si="129"/>
        <v>0</v>
      </c>
      <c r="O343" s="9">
        <f t="shared" si="130"/>
        <v>0</v>
      </c>
      <c r="P343" s="9">
        <f t="shared" si="131"/>
        <v>0</v>
      </c>
      <c r="Q343" s="9">
        <f t="shared" si="132"/>
        <v>0</v>
      </c>
      <c r="R343" s="9">
        <f t="shared" si="133"/>
        <v>0</v>
      </c>
      <c r="S343" s="9">
        <f t="shared" si="134"/>
        <v>0</v>
      </c>
      <c r="T343" s="9">
        <f t="shared" si="135"/>
        <v>0</v>
      </c>
      <c r="U343" s="9">
        <f t="shared" si="136"/>
        <v>0</v>
      </c>
      <c r="V343" s="9">
        <f t="shared" si="137"/>
        <v>0</v>
      </c>
      <c r="W343" s="9">
        <f t="shared" si="138"/>
        <v>0</v>
      </c>
      <c r="X343" s="9">
        <f t="shared" si="139"/>
        <v>0</v>
      </c>
      <c r="Y343" s="9">
        <f t="shared" si="140"/>
        <v>0</v>
      </c>
      <c r="Z343" s="9">
        <f t="shared" si="141"/>
        <v>0</v>
      </c>
      <c r="AA343" s="10">
        <f t="shared" si="142"/>
        <v>0</v>
      </c>
    </row>
    <row r="344" spans="1:27" x14ac:dyDescent="0.3">
      <c r="A344" s="4" t="s">
        <v>1294</v>
      </c>
      <c r="B344" s="4">
        <f t="shared" si="120"/>
        <v>0</v>
      </c>
      <c r="C344" s="4">
        <f t="shared" si="121"/>
        <v>0</v>
      </c>
      <c r="D344" s="4">
        <f t="shared" si="122"/>
        <v>0</v>
      </c>
      <c r="E344" s="4">
        <f t="shared" si="123"/>
        <v>0</v>
      </c>
      <c r="F344" s="4">
        <f t="shared" si="124"/>
        <v>0</v>
      </c>
      <c r="G344" s="4">
        <f t="shared" si="125"/>
        <v>0</v>
      </c>
      <c r="I344" s="11" t="s">
        <v>990</v>
      </c>
      <c r="J344" s="9">
        <f t="shared" si="126"/>
        <v>0</v>
      </c>
      <c r="K344" s="9">
        <f t="shared" si="143"/>
        <v>0</v>
      </c>
      <c r="L344" s="9">
        <f t="shared" si="127"/>
        <v>0</v>
      </c>
      <c r="M344" s="9">
        <f t="shared" si="128"/>
        <v>0</v>
      </c>
      <c r="N344" s="9">
        <f t="shared" si="129"/>
        <v>1</v>
      </c>
      <c r="O344" s="9">
        <f t="shared" si="130"/>
        <v>0</v>
      </c>
      <c r="P344" s="9">
        <f t="shared" si="131"/>
        <v>0</v>
      </c>
      <c r="Q344" s="9">
        <f t="shared" si="132"/>
        <v>0</v>
      </c>
      <c r="R344" s="9">
        <f t="shared" si="133"/>
        <v>0</v>
      </c>
      <c r="S344" s="9">
        <f t="shared" si="134"/>
        <v>0</v>
      </c>
      <c r="T344" s="9">
        <f t="shared" si="135"/>
        <v>0</v>
      </c>
      <c r="U344" s="9">
        <f t="shared" si="136"/>
        <v>0</v>
      </c>
      <c r="V344" s="9">
        <f t="shared" si="137"/>
        <v>0</v>
      </c>
      <c r="W344" s="9">
        <f t="shared" si="138"/>
        <v>0</v>
      </c>
      <c r="X344" s="9">
        <f t="shared" si="139"/>
        <v>0</v>
      </c>
      <c r="Y344" s="9">
        <f t="shared" si="140"/>
        <v>0</v>
      </c>
      <c r="Z344" s="9">
        <f t="shared" si="141"/>
        <v>0</v>
      </c>
      <c r="AA344" s="10">
        <f t="shared" si="142"/>
        <v>0</v>
      </c>
    </row>
    <row r="345" spans="1:27" x14ac:dyDescent="0.3">
      <c r="A345" s="18" t="s">
        <v>1302</v>
      </c>
      <c r="B345" s="4">
        <f t="shared" si="120"/>
        <v>1</v>
      </c>
      <c r="C345" s="4">
        <f t="shared" si="121"/>
        <v>0</v>
      </c>
      <c r="D345" s="4">
        <f t="shared" si="122"/>
        <v>0</v>
      </c>
      <c r="E345" s="4">
        <f t="shared" si="123"/>
        <v>0</v>
      </c>
      <c r="F345" s="4">
        <f t="shared" si="124"/>
        <v>0</v>
      </c>
      <c r="G345" s="4">
        <f t="shared" si="125"/>
        <v>0</v>
      </c>
      <c r="I345" s="8" t="s">
        <v>988</v>
      </c>
      <c r="J345" s="9">
        <f t="shared" si="126"/>
        <v>0</v>
      </c>
      <c r="K345" s="9">
        <f t="shared" si="143"/>
        <v>0</v>
      </c>
      <c r="L345" s="9">
        <f t="shared" si="127"/>
        <v>1</v>
      </c>
      <c r="M345" s="9">
        <f t="shared" si="128"/>
        <v>0</v>
      </c>
      <c r="N345" s="9">
        <f t="shared" si="129"/>
        <v>0</v>
      </c>
      <c r="O345" s="9">
        <f t="shared" si="130"/>
        <v>0</v>
      </c>
      <c r="P345" s="9">
        <f t="shared" si="131"/>
        <v>0</v>
      </c>
      <c r="Q345" s="9">
        <f t="shared" si="132"/>
        <v>0</v>
      </c>
      <c r="R345" s="9">
        <f t="shared" si="133"/>
        <v>0</v>
      </c>
      <c r="S345" s="9">
        <f t="shared" si="134"/>
        <v>0</v>
      </c>
      <c r="T345" s="9">
        <f t="shared" si="135"/>
        <v>0</v>
      </c>
      <c r="U345" s="9">
        <f t="shared" si="136"/>
        <v>0</v>
      </c>
      <c r="V345" s="9">
        <f t="shared" si="137"/>
        <v>0</v>
      </c>
      <c r="W345" s="9">
        <f t="shared" si="138"/>
        <v>0</v>
      </c>
      <c r="X345" s="9">
        <f t="shared" si="139"/>
        <v>0</v>
      </c>
      <c r="Y345" s="9">
        <f t="shared" si="140"/>
        <v>0</v>
      </c>
      <c r="Z345" s="9">
        <f t="shared" si="141"/>
        <v>0</v>
      </c>
      <c r="AA345" s="10">
        <f t="shared" si="142"/>
        <v>0</v>
      </c>
    </row>
    <row r="346" spans="1:27" x14ac:dyDescent="0.3">
      <c r="A346" s="4" t="s">
        <v>1303</v>
      </c>
      <c r="B346" s="4">
        <f t="shared" si="120"/>
        <v>0</v>
      </c>
      <c r="C346" s="4">
        <f t="shared" si="121"/>
        <v>0</v>
      </c>
      <c r="D346" s="4">
        <f t="shared" si="122"/>
        <v>0</v>
      </c>
      <c r="E346" s="4">
        <f t="shared" si="123"/>
        <v>0</v>
      </c>
      <c r="F346" s="4">
        <f t="shared" si="124"/>
        <v>1</v>
      </c>
      <c r="G346" s="4">
        <f t="shared" si="125"/>
        <v>0</v>
      </c>
      <c r="I346" s="11" t="s">
        <v>1011</v>
      </c>
      <c r="J346" s="9">
        <f t="shared" si="126"/>
        <v>0</v>
      </c>
      <c r="K346" s="9">
        <f t="shared" si="143"/>
        <v>0</v>
      </c>
      <c r="L346" s="9">
        <f t="shared" si="127"/>
        <v>0</v>
      </c>
      <c r="M346" s="9">
        <f t="shared" si="128"/>
        <v>0</v>
      </c>
      <c r="N346" s="9">
        <f t="shared" si="129"/>
        <v>0</v>
      </c>
      <c r="O346" s="9">
        <f t="shared" si="130"/>
        <v>0</v>
      </c>
      <c r="P346" s="9">
        <f t="shared" si="131"/>
        <v>0</v>
      </c>
      <c r="Q346" s="9">
        <f t="shared" si="132"/>
        <v>0</v>
      </c>
      <c r="R346" s="9">
        <f t="shared" si="133"/>
        <v>0</v>
      </c>
      <c r="S346" s="9">
        <f t="shared" si="134"/>
        <v>1</v>
      </c>
      <c r="T346" s="9">
        <f t="shared" si="135"/>
        <v>0</v>
      </c>
      <c r="U346" s="9">
        <f t="shared" si="136"/>
        <v>0</v>
      </c>
      <c r="V346" s="9">
        <f t="shared" si="137"/>
        <v>0</v>
      </c>
      <c r="W346" s="9">
        <f t="shared" si="138"/>
        <v>0</v>
      </c>
      <c r="X346" s="9">
        <f t="shared" si="139"/>
        <v>0</v>
      </c>
      <c r="Y346" s="9">
        <f t="shared" si="140"/>
        <v>0</v>
      </c>
      <c r="Z346" s="9">
        <f t="shared" si="141"/>
        <v>0</v>
      </c>
      <c r="AA346" s="10">
        <f t="shared" si="142"/>
        <v>0</v>
      </c>
    </row>
    <row r="347" spans="1:27" x14ac:dyDescent="0.3">
      <c r="A347" s="18" t="s">
        <v>1302</v>
      </c>
      <c r="B347" s="4">
        <f t="shared" si="120"/>
        <v>1</v>
      </c>
      <c r="C347" s="4">
        <f t="shared" si="121"/>
        <v>0</v>
      </c>
      <c r="D347" s="4">
        <f t="shared" si="122"/>
        <v>0</v>
      </c>
      <c r="E347" s="4">
        <f t="shared" si="123"/>
        <v>0</v>
      </c>
      <c r="F347" s="4">
        <f t="shared" si="124"/>
        <v>0</v>
      </c>
      <c r="G347" s="4">
        <f t="shared" si="125"/>
        <v>0</v>
      </c>
      <c r="I347" s="8" t="s">
        <v>994</v>
      </c>
      <c r="J347" s="9">
        <f t="shared" si="126"/>
        <v>0</v>
      </c>
      <c r="K347" s="9">
        <f t="shared" si="143"/>
        <v>0</v>
      </c>
      <c r="L347" s="9">
        <f t="shared" si="127"/>
        <v>0</v>
      </c>
      <c r="M347" s="9">
        <f t="shared" si="128"/>
        <v>0</v>
      </c>
      <c r="N347" s="9">
        <f t="shared" si="129"/>
        <v>0</v>
      </c>
      <c r="O347" s="9">
        <f t="shared" si="130"/>
        <v>0</v>
      </c>
      <c r="P347" s="9">
        <f t="shared" si="131"/>
        <v>1</v>
      </c>
      <c r="Q347" s="9">
        <f t="shared" si="132"/>
        <v>0</v>
      </c>
      <c r="R347" s="9">
        <f t="shared" si="133"/>
        <v>0</v>
      </c>
      <c r="S347" s="9">
        <f t="shared" si="134"/>
        <v>0</v>
      </c>
      <c r="T347" s="9">
        <f t="shared" si="135"/>
        <v>0</v>
      </c>
      <c r="U347" s="9">
        <f t="shared" si="136"/>
        <v>0</v>
      </c>
      <c r="V347" s="9">
        <f t="shared" si="137"/>
        <v>0</v>
      </c>
      <c r="W347" s="9">
        <f t="shared" si="138"/>
        <v>0</v>
      </c>
      <c r="X347" s="9">
        <f t="shared" si="139"/>
        <v>0</v>
      </c>
      <c r="Y347" s="9">
        <f t="shared" si="140"/>
        <v>0</v>
      </c>
      <c r="Z347" s="9">
        <f t="shared" si="141"/>
        <v>0</v>
      </c>
      <c r="AA347" s="10">
        <f t="shared" si="142"/>
        <v>0</v>
      </c>
    </row>
    <row r="348" spans="1:27" x14ac:dyDescent="0.3">
      <c r="A348" s="4" t="s">
        <v>1303</v>
      </c>
      <c r="B348" s="4">
        <f t="shared" si="120"/>
        <v>0</v>
      </c>
      <c r="C348" s="4">
        <f t="shared" si="121"/>
        <v>0</v>
      </c>
      <c r="D348" s="4">
        <f t="shared" si="122"/>
        <v>0</v>
      </c>
      <c r="E348" s="4">
        <f t="shared" si="123"/>
        <v>0</v>
      </c>
      <c r="F348" s="4">
        <f t="shared" si="124"/>
        <v>1</v>
      </c>
      <c r="G348" s="4">
        <f t="shared" si="125"/>
        <v>0</v>
      </c>
      <c r="I348" s="11" t="s">
        <v>1294</v>
      </c>
      <c r="J348" s="9">
        <f t="shared" si="126"/>
        <v>0</v>
      </c>
      <c r="K348" s="9">
        <f t="shared" si="143"/>
        <v>0</v>
      </c>
      <c r="L348" s="9">
        <f t="shared" si="127"/>
        <v>0</v>
      </c>
      <c r="M348" s="9">
        <f t="shared" si="128"/>
        <v>0</v>
      </c>
      <c r="N348" s="9">
        <f t="shared" si="129"/>
        <v>0</v>
      </c>
      <c r="O348" s="9">
        <f t="shared" si="130"/>
        <v>0</v>
      </c>
      <c r="P348" s="9">
        <f t="shared" si="131"/>
        <v>0</v>
      </c>
      <c r="Q348" s="9">
        <f t="shared" si="132"/>
        <v>0</v>
      </c>
      <c r="R348" s="9">
        <f t="shared" si="133"/>
        <v>0</v>
      </c>
      <c r="S348" s="9">
        <f t="shared" si="134"/>
        <v>0</v>
      </c>
      <c r="T348" s="9">
        <f t="shared" si="135"/>
        <v>0</v>
      </c>
      <c r="U348" s="9">
        <f t="shared" si="136"/>
        <v>0</v>
      </c>
      <c r="V348" s="9">
        <f t="shared" si="137"/>
        <v>0</v>
      </c>
      <c r="W348" s="9">
        <f t="shared" si="138"/>
        <v>0</v>
      </c>
      <c r="X348" s="9">
        <f t="shared" si="139"/>
        <v>0</v>
      </c>
      <c r="Y348" s="9">
        <f t="shared" si="140"/>
        <v>0</v>
      </c>
      <c r="Z348" s="9">
        <f t="shared" si="141"/>
        <v>0</v>
      </c>
      <c r="AA348" s="10">
        <f t="shared" si="142"/>
        <v>0</v>
      </c>
    </row>
    <row r="349" spans="1:27" x14ac:dyDescent="0.3">
      <c r="A349" s="18" t="s">
        <v>1303</v>
      </c>
      <c r="B349" s="4">
        <f t="shared" si="120"/>
        <v>0</v>
      </c>
      <c r="C349" s="4">
        <f t="shared" si="121"/>
        <v>0</v>
      </c>
      <c r="D349" s="4">
        <f t="shared" si="122"/>
        <v>0</v>
      </c>
      <c r="E349" s="4">
        <f t="shared" si="123"/>
        <v>0</v>
      </c>
      <c r="F349" s="4">
        <f t="shared" si="124"/>
        <v>1</v>
      </c>
      <c r="G349" s="4">
        <f t="shared" si="125"/>
        <v>0</v>
      </c>
      <c r="I349" s="8" t="s">
        <v>988</v>
      </c>
      <c r="J349" s="9">
        <f t="shared" si="126"/>
        <v>0</v>
      </c>
      <c r="K349" s="9">
        <f t="shared" si="143"/>
        <v>0</v>
      </c>
      <c r="L349" s="9">
        <f t="shared" si="127"/>
        <v>1</v>
      </c>
      <c r="M349" s="9">
        <f t="shared" si="128"/>
        <v>0</v>
      </c>
      <c r="N349" s="9">
        <f t="shared" si="129"/>
        <v>0</v>
      </c>
      <c r="O349" s="9">
        <f t="shared" si="130"/>
        <v>0</v>
      </c>
      <c r="P349" s="9">
        <f t="shared" si="131"/>
        <v>0</v>
      </c>
      <c r="Q349" s="9">
        <f t="shared" si="132"/>
        <v>0</v>
      </c>
      <c r="R349" s="9">
        <f t="shared" si="133"/>
        <v>0</v>
      </c>
      <c r="S349" s="9">
        <f t="shared" si="134"/>
        <v>0</v>
      </c>
      <c r="T349" s="9">
        <f t="shared" si="135"/>
        <v>0</v>
      </c>
      <c r="U349" s="9">
        <f t="shared" si="136"/>
        <v>0</v>
      </c>
      <c r="V349" s="9">
        <f t="shared" si="137"/>
        <v>0</v>
      </c>
      <c r="W349" s="9">
        <f t="shared" si="138"/>
        <v>0</v>
      </c>
      <c r="X349" s="9">
        <f t="shared" si="139"/>
        <v>0</v>
      </c>
      <c r="Y349" s="9">
        <f t="shared" si="140"/>
        <v>0</v>
      </c>
      <c r="Z349" s="9">
        <f t="shared" si="141"/>
        <v>0</v>
      </c>
      <c r="AA349" s="10">
        <f t="shared" si="142"/>
        <v>0</v>
      </c>
    </row>
    <row r="350" spans="1:27" x14ac:dyDescent="0.3">
      <c r="A350" s="4" t="s">
        <v>1303</v>
      </c>
      <c r="B350" s="4">
        <f t="shared" si="120"/>
        <v>0</v>
      </c>
      <c r="C350" s="4">
        <f t="shared" si="121"/>
        <v>0</v>
      </c>
      <c r="D350" s="4">
        <f t="shared" si="122"/>
        <v>0</v>
      </c>
      <c r="E350" s="4">
        <f t="shared" si="123"/>
        <v>0</v>
      </c>
      <c r="F350" s="4">
        <f t="shared" si="124"/>
        <v>1</v>
      </c>
      <c r="G350" s="4">
        <f t="shared" si="125"/>
        <v>0</v>
      </c>
      <c r="I350" s="11" t="s">
        <v>988</v>
      </c>
      <c r="J350" s="9">
        <f t="shared" si="126"/>
        <v>0</v>
      </c>
      <c r="K350" s="9">
        <f t="shared" si="143"/>
        <v>0</v>
      </c>
      <c r="L350" s="9">
        <f t="shared" si="127"/>
        <v>1</v>
      </c>
      <c r="M350" s="9">
        <f t="shared" si="128"/>
        <v>0</v>
      </c>
      <c r="N350" s="9">
        <f t="shared" si="129"/>
        <v>0</v>
      </c>
      <c r="O350" s="9">
        <f t="shared" si="130"/>
        <v>0</v>
      </c>
      <c r="P350" s="9">
        <f t="shared" si="131"/>
        <v>0</v>
      </c>
      <c r="Q350" s="9">
        <f t="shared" si="132"/>
        <v>0</v>
      </c>
      <c r="R350" s="9">
        <f t="shared" si="133"/>
        <v>0</v>
      </c>
      <c r="S350" s="9">
        <f t="shared" si="134"/>
        <v>0</v>
      </c>
      <c r="T350" s="9">
        <f t="shared" si="135"/>
        <v>0</v>
      </c>
      <c r="U350" s="9">
        <f t="shared" si="136"/>
        <v>0</v>
      </c>
      <c r="V350" s="9">
        <f t="shared" si="137"/>
        <v>0</v>
      </c>
      <c r="W350" s="9">
        <f t="shared" si="138"/>
        <v>0</v>
      </c>
      <c r="X350" s="9">
        <f t="shared" si="139"/>
        <v>0</v>
      </c>
      <c r="Y350" s="9">
        <f t="shared" si="140"/>
        <v>0</v>
      </c>
      <c r="Z350" s="9">
        <f t="shared" si="141"/>
        <v>0</v>
      </c>
      <c r="AA350" s="10">
        <f t="shared" si="142"/>
        <v>0</v>
      </c>
    </row>
    <row r="351" spans="1:27" x14ac:dyDescent="0.3">
      <c r="A351" s="18" t="s">
        <v>1305</v>
      </c>
      <c r="B351" s="4">
        <f t="shared" si="120"/>
        <v>0</v>
      </c>
      <c r="C351" s="4">
        <f t="shared" si="121"/>
        <v>0</v>
      </c>
      <c r="D351" s="4">
        <f t="shared" si="122"/>
        <v>0</v>
      </c>
      <c r="E351" s="4">
        <f t="shared" si="123"/>
        <v>0</v>
      </c>
      <c r="F351" s="4">
        <f t="shared" si="124"/>
        <v>0</v>
      </c>
      <c r="G351" s="4">
        <f t="shared" si="125"/>
        <v>1</v>
      </c>
      <c r="I351" s="8" t="s">
        <v>988</v>
      </c>
      <c r="J351" s="9">
        <f t="shared" si="126"/>
        <v>0</v>
      </c>
      <c r="K351" s="9">
        <f t="shared" si="143"/>
        <v>0</v>
      </c>
      <c r="L351" s="9">
        <f t="shared" si="127"/>
        <v>1</v>
      </c>
      <c r="M351" s="9">
        <f t="shared" si="128"/>
        <v>0</v>
      </c>
      <c r="N351" s="9">
        <f t="shared" si="129"/>
        <v>0</v>
      </c>
      <c r="O351" s="9">
        <f t="shared" si="130"/>
        <v>0</v>
      </c>
      <c r="P351" s="9">
        <f t="shared" si="131"/>
        <v>0</v>
      </c>
      <c r="Q351" s="9">
        <f t="shared" si="132"/>
        <v>0</v>
      </c>
      <c r="R351" s="9">
        <f t="shared" si="133"/>
        <v>0</v>
      </c>
      <c r="S351" s="9">
        <f t="shared" si="134"/>
        <v>0</v>
      </c>
      <c r="T351" s="9">
        <f t="shared" si="135"/>
        <v>0</v>
      </c>
      <c r="U351" s="9">
        <f t="shared" si="136"/>
        <v>0</v>
      </c>
      <c r="V351" s="9">
        <f t="shared" si="137"/>
        <v>0</v>
      </c>
      <c r="W351" s="9">
        <f t="shared" si="138"/>
        <v>0</v>
      </c>
      <c r="X351" s="9">
        <f t="shared" si="139"/>
        <v>0</v>
      </c>
      <c r="Y351" s="9">
        <f t="shared" si="140"/>
        <v>0</v>
      </c>
      <c r="Z351" s="9">
        <f t="shared" si="141"/>
        <v>0</v>
      </c>
      <c r="AA351" s="10">
        <f t="shared" si="142"/>
        <v>0</v>
      </c>
    </row>
    <row r="352" spans="1:27" x14ac:dyDescent="0.3">
      <c r="A352" s="4" t="s">
        <v>1294</v>
      </c>
      <c r="B352" s="4">
        <f t="shared" si="120"/>
        <v>0</v>
      </c>
      <c r="C352" s="4">
        <f t="shared" si="121"/>
        <v>0</v>
      </c>
      <c r="D352" s="4">
        <f t="shared" si="122"/>
        <v>0</v>
      </c>
      <c r="E352" s="4">
        <f t="shared" si="123"/>
        <v>0</v>
      </c>
      <c r="F352" s="4">
        <f t="shared" si="124"/>
        <v>0</v>
      </c>
      <c r="G352" s="4">
        <f t="shared" si="125"/>
        <v>0</v>
      </c>
      <c r="I352" s="11" t="s">
        <v>1294</v>
      </c>
      <c r="J352" s="9">
        <f t="shared" si="126"/>
        <v>0</v>
      </c>
      <c r="K352" s="9">
        <f t="shared" si="143"/>
        <v>0</v>
      </c>
      <c r="L352" s="9">
        <f t="shared" si="127"/>
        <v>0</v>
      </c>
      <c r="M352" s="9">
        <f t="shared" si="128"/>
        <v>0</v>
      </c>
      <c r="N352" s="9">
        <f t="shared" si="129"/>
        <v>0</v>
      </c>
      <c r="O352" s="9">
        <f t="shared" si="130"/>
        <v>0</v>
      </c>
      <c r="P352" s="9">
        <f t="shared" si="131"/>
        <v>0</v>
      </c>
      <c r="Q352" s="9">
        <f t="shared" si="132"/>
        <v>0</v>
      </c>
      <c r="R352" s="9">
        <f t="shared" si="133"/>
        <v>0</v>
      </c>
      <c r="S352" s="9">
        <f t="shared" si="134"/>
        <v>0</v>
      </c>
      <c r="T352" s="9">
        <f t="shared" si="135"/>
        <v>0</v>
      </c>
      <c r="U352" s="9">
        <f t="shared" si="136"/>
        <v>0</v>
      </c>
      <c r="V352" s="9">
        <f t="shared" si="137"/>
        <v>0</v>
      </c>
      <c r="W352" s="9">
        <f t="shared" si="138"/>
        <v>0</v>
      </c>
      <c r="X352" s="9">
        <f t="shared" si="139"/>
        <v>0</v>
      </c>
      <c r="Y352" s="9">
        <f t="shared" si="140"/>
        <v>0</v>
      </c>
      <c r="Z352" s="9">
        <f t="shared" si="141"/>
        <v>0</v>
      </c>
      <c r="AA352" s="10">
        <f t="shared" si="142"/>
        <v>0</v>
      </c>
    </row>
    <row r="353" spans="1:27" x14ac:dyDescent="0.3">
      <c r="A353" s="18" t="s">
        <v>1302</v>
      </c>
      <c r="B353" s="4">
        <f t="shared" si="120"/>
        <v>1</v>
      </c>
      <c r="C353" s="4">
        <f t="shared" si="121"/>
        <v>0</v>
      </c>
      <c r="D353" s="4">
        <f t="shared" si="122"/>
        <v>0</v>
      </c>
      <c r="E353" s="4">
        <f t="shared" si="123"/>
        <v>0</v>
      </c>
      <c r="F353" s="4">
        <f t="shared" si="124"/>
        <v>0</v>
      </c>
      <c r="G353" s="4">
        <f t="shared" si="125"/>
        <v>0</v>
      </c>
      <c r="I353" s="8" t="s">
        <v>990</v>
      </c>
      <c r="J353" s="9">
        <f t="shared" si="126"/>
        <v>0</v>
      </c>
      <c r="K353" s="9">
        <f t="shared" si="143"/>
        <v>0</v>
      </c>
      <c r="L353" s="9">
        <f t="shared" si="127"/>
        <v>0</v>
      </c>
      <c r="M353" s="9">
        <f t="shared" si="128"/>
        <v>0</v>
      </c>
      <c r="N353" s="9">
        <f t="shared" si="129"/>
        <v>1</v>
      </c>
      <c r="O353" s="9">
        <f t="shared" si="130"/>
        <v>0</v>
      </c>
      <c r="P353" s="9">
        <f t="shared" si="131"/>
        <v>0</v>
      </c>
      <c r="Q353" s="9">
        <f t="shared" si="132"/>
        <v>0</v>
      </c>
      <c r="R353" s="9">
        <f t="shared" si="133"/>
        <v>0</v>
      </c>
      <c r="S353" s="9">
        <f t="shared" si="134"/>
        <v>0</v>
      </c>
      <c r="T353" s="9">
        <f t="shared" si="135"/>
        <v>0</v>
      </c>
      <c r="U353" s="9">
        <f t="shared" si="136"/>
        <v>0</v>
      </c>
      <c r="V353" s="9">
        <f t="shared" si="137"/>
        <v>0</v>
      </c>
      <c r="W353" s="9">
        <f t="shared" si="138"/>
        <v>0</v>
      </c>
      <c r="X353" s="9">
        <f t="shared" si="139"/>
        <v>0</v>
      </c>
      <c r="Y353" s="9">
        <f t="shared" si="140"/>
        <v>0</v>
      </c>
      <c r="Z353" s="9">
        <f t="shared" si="141"/>
        <v>0</v>
      </c>
      <c r="AA353" s="10">
        <f t="shared" si="142"/>
        <v>0</v>
      </c>
    </row>
    <row r="354" spans="1:27" x14ac:dyDescent="0.3">
      <c r="A354" s="4" t="s">
        <v>1303</v>
      </c>
      <c r="B354" s="4">
        <f t="shared" si="120"/>
        <v>0</v>
      </c>
      <c r="C354" s="4">
        <f t="shared" si="121"/>
        <v>0</v>
      </c>
      <c r="D354" s="4">
        <f t="shared" si="122"/>
        <v>0</v>
      </c>
      <c r="E354" s="4">
        <f t="shared" si="123"/>
        <v>0</v>
      </c>
      <c r="F354" s="4">
        <f t="shared" si="124"/>
        <v>1</v>
      </c>
      <c r="G354" s="4">
        <f t="shared" si="125"/>
        <v>0</v>
      </c>
      <c r="I354" s="11" t="s">
        <v>994</v>
      </c>
      <c r="J354" s="9">
        <f t="shared" si="126"/>
        <v>0</v>
      </c>
      <c r="K354" s="9">
        <f t="shared" si="143"/>
        <v>0</v>
      </c>
      <c r="L354" s="9">
        <f t="shared" si="127"/>
        <v>0</v>
      </c>
      <c r="M354" s="9">
        <f t="shared" si="128"/>
        <v>0</v>
      </c>
      <c r="N354" s="9">
        <f t="shared" si="129"/>
        <v>0</v>
      </c>
      <c r="O354" s="9">
        <f t="shared" si="130"/>
        <v>0</v>
      </c>
      <c r="P354" s="9">
        <f t="shared" si="131"/>
        <v>1</v>
      </c>
      <c r="Q354" s="9">
        <f t="shared" si="132"/>
        <v>0</v>
      </c>
      <c r="R354" s="9">
        <f t="shared" si="133"/>
        <v>0</v>
      </c>
      <c r="S354" s="9">
        <f t="shared" si="134"/>
        <v>0</v>
      </c>
      <c r="T354" s="9">
        <f t="shared" si="135"/>
        <v>0</v>
      </c>
      <c r="U354" s="9">
        <f t="shared" si="136"/>
        <v>0</v>
      </c>
      <c r="V354" s="9">
        <f t="shared" si="137"/>
        <v>0</v>
      </c>
      <c r="W354" s="9">
        <f t="shared" si="138"/>
        <v>0</v>
      </c>
      <c r="X354" s="9">
        <f t="shared" si="139"/>
        <v>0</v>
      </c>
      <c r="Y354" s="9">
        <f t="shared" si="140"/>
        <v>0</v>
      </c>
      <c r="Z354" s="9">
        <f t="shared" si="141"/>
        <v>0</v>
      </c>
      <c r="AA354" s="10">
        <f t="shared" si="142"/>
        <v>0</v>
      </c>
    </row>
    <row r="355" spans="1:27" x14ac:dyDescent="0.3">
      <c r="A355" s="18" t="s">
        <v>1303</v>
      </c>
      <c r="B355" s="4">
        <f t="shared" si="120"/>
        <v>0</v>
      </c>
      <c r="C355" s="4">
        <f t="shared" si="121"/>
        <v>0</v>
      </c>
      <c r="D355" s="4">
        <f t="shared" si="122"/>
        <v>0</v>
      </c>
      <c r="E355" s="4">
        <f t="shared" si="123"/>
        <v>0</v>
      </c>
      <c r="F355" s="4">
        <f t="shared" si="124"/>
        <v>1</v>
      </c>
      <c r="G355" s="4">
        <f t="shared" si="125"/>
        <v>0</v>
      </c>
      <c r="I355" s="8" t="s">
        <v>1128</v>
      </c>
      <c r="J355" s="9">
        <f t="shared" si="126"/>
        <v>0</v>
      </c>
      <c r="K355" s="9">
        <f t="shared" si="143"/>
        <v>0</v>
      </c>
      <c r="L355" s="9">
        <f t="shared" si="127"/>
        <v>0</v>
      </c>
      <c r="M355" s="9">
        <f t="shared" si="128"/>
        <v>0</v>
      </c>
      <c r="N355" s="9">
        <f t="shared" si="129"/>
        <v>0</v>
      </c>
      <c r="O355" s="9">
        <f t="shared" si="130"/>
        <v>0</v>
      </c>
      <c r="P355" s="9">
        <f t="shared" si="131"/>
        <v>0</v>
      </c>
      <c r="Q355" s="9">
        <f t="shared" si="132"/>
        <v>0</v>
      </c>
      <c r="R355" s="9">
        <f t="shared" si="133"/>
        <v>0</v>
      </c>
      <c r="S355" s="9">
        <f t="shared" si="134"/>
        <v>0</v>
      </c>
      <c r="T355" s="9">
        <f t="shared" si="135"/>
        <v>0</v>
      </c>
      <c r="U355" s="9">
        <f t="shared" si="136"/>
        <v>0</v>
      </c>
      <c r="V355" s="9">
        <f t="shared" si="137"/>
        <v>0</v>
      </c>
      <c r="W355" s="9">
        <f t="shared" si="138"/>
        <v>0</v>
      </c>
      <c r="X355" s="9">
        <f t="shared" si="139"/>
        <v>0</v>
      </c>
      <c r="Y355" s="9">
        <f t="shared" si="140"/>
        <v>1</v>
      </c>
      <c r="Z355" s="9">
        <f t="shared" si="141"/>
        <v>0</v>
      </c>
      <c r="AA355" s="10">
        <f t="shared" si="142"/>
        <v>0</v>
      </c>
    </row>
    <row r="356" spans="1:27" x14ac:dyDescent="0.3">
      <c r="A356" s="4" t="s">
        <v>1303</v>
      </c>
      <c r="B356" s="4">
        <f t="shared" si="120"/>
        <v>0</v>
      </c>
      <c r="C356" s="4">
        <f t="shared" si="121"/>
        <v>0</v>
      </c>
      <c r="D356" s="4">
        <f t="shared" si="122"/>
        <v>0</v>
      </c>
      <c r="E356" s="4">
        <f t="shared" si="123"/>
        <v>0</v>
      </c>
      <c r="F356" s="4">
        <f t="shared" si="124"/>
        <v>1</v>
      </c>
      <c r="G356" s="4">
        <f t="shared" si="125"/>
        <v>0</v>
      </c>
      <c r="I356" s="11" t="s">
        <v>977</v>
      </c>
      <c r="J356" s="9">
        <f t="shared" si="126"/>
        <v>1</v>
      </c>
      <c r="K356" s="9">
        <f t="shared" si="143"/>
        <v>0</v>
      </c>
      <c r="L356" s="9">
        <f t="shared" si="127"/>
        <v>0</v>
      </c>
      <c r="M356" s="9">
        <f t="shared" si="128"/>
        <v>0</v>
      </c>
      <c r="N356" s="9">
        <f t="shared" si="129"/>
        <v>0</v>
      </c>
      <c r="O356" s="9">
        <f t="shared" si="130"/>
        <v>0</v>
      </c>
      <c r="P356" s="9">
        <f t="shared" si="131"/>
        <v>0</v>
      </c>
      <c r="Q356" s="9">
        <f t="shared" si="132"/>
        <v>0</v>
      </c>
      <c r="R356" s="9">
        <f t="shared" si="133"/>
        <v>0</v>
      </c>
      <c r="S356" s="9">
        <f t="shared" si="134"/>
        <v>0</v>
      </c>
      <c r="T356" s="9">
        <f t="shared" si="135"/>
        <v>0</v>
      </c>
      <c r="U356" s="9">
        <f t="shared" si="136"/>
        <v>0</v>
      </c>
      <c r="V356" s="9">
        <f t="shared" si="137"/>
        <v>0</v>
      </c>
      <c r="W356" s="9">
        <f t="shared" si="138"/>
        <v>0</v>
      </c>
      <c r="X356" s="9">
        <f t="shared" si="139"/>
        <v>0</v>
      </c>
      <c r="Y356" s="9">
        <f t="shared" si="140"/>
        <v>0</v>
      </c>
      <c r="Z356" s="9">
        <f t="shared" si="141"/>
        <v>0</v>
      </c>
      <c r="AA356" s="10">
        <f t="shared" si="142"/>
        <v>0</v>
      </c>
    </row>
    <row r="357" spans="1:27" x14ac:dyDescent="0.3">
      <c r="A357" s="18" t="s">
        <v>1305</v>
      </c>
      <c r="B357" s="4">
        <f t="shared" si="120"/>
        <v>0</v>
      </c>
      <c r="C357" s="4">
        <f t="shared" si="121"/>
        <v>0</v>
      </c>
      <c r="D357" s="4">
        <f t="shared" si="122"/>
        <v>0</v>
      </c>
      <c r="E357" s="4">
        <f t="shared" si="123"/>
        <v>0</v>
      </c>
      <c r="F357" s="4">
        <f t="shared" si="124"/>
        <v>0</v>
      </c>
      <c r="G357" s="4">
        <f t="shared" si="125"/>
        <v>1</v>
      </c>
      <c r="I357" s="8" t="s">
        <v>988</v>
      </c>
      <c r="J357" s="9">
        <f t="shared" si="126"/>
        <v>0</v>
      </c>
      <c r="K357" s="9">
        <f t="shared" si="143"/>
        <v>0</v>
      </c>
      <c r="L357" s="9">
        <f t="shared" si="127"/>
        <v>1</v>
      </c>
      <c r="M357" s="9">
        <f t="shared" si="128"/>
        <v>0</v>
      </c>
      <c r="N357" s="9">
        <f t="shared" si="129"/>
        <v>0</v>
      </c>
      <c r="O357" s="9">
        <f t="shared" si="130"/>
        <v>0</v>
      </c>
      <c r="P357" s="9">
        <f t="shared" si="131"/>
        <v>0</v>
      </c>
      <c r="Q357" s="9">
        <f t="shared" si="132"/>
        <v>0</v>
      </c>
      <c r="R357" s="9">
        <f t="shared" si="133"/>
        <v>0</v>
      </c>
      <c r="S357" s="9">
        <f t="shared" si="134"/>
        <v>0</v>
      </c>
      <c r="T357" s="9">
        <f t="shared" si="135"/>
        <v>0</v>
      </c>
      <c r="U357" s="9">
        <f t="shared" si="136"/>
        <v>0</v>
      </c>
      <c r="V357" s="9">
        <f t="shared" si="137"/>
        <v>0</v>
      </c>
      <c r="W357" s="9">
        <f t="shared" si="138"/>
        <v>0</v>
      </c>
      <c r="X357" s="9">
        <f t="shared" si="139"/>
        <v>0</v>
      </c>
      <c r="Y357" s="9">
        <f t="shared" si="140"/>
        <v>0</v>
      </c>
      <c r="Z357" s="9">
        <f t="shared" si="141"/>
        <v>0</v>
      </c>
      <c r="AA357" s="10">
        <f t="shared" si="142"/>
        <v>0</v>
      </c>
    </row>
    <row r="358" spans="1:27" x14ac:dyDescent="0.3">
      <c r="A358" s="4" t="s">
        <v>1305</v>
      </c>
      <c r="B358" s="4">
        <f t="shared" si="120"/>
        <v>0</v>
      </c>
      <c r="C358" s="4">
        <f t="shared" si="121"/>
        <v>0</v>
      </c>
      <c r="D358" s="4">
        <f t="shared" si="122"/>
        <v>0</v>
      </c>
      <c r="E358" s="4">
        <f t="shared" si="123"/>
        <v>0</v>
      </c>
      <c r="F358" s="4">
        <f t="shared" si="124"/>
        <v>0</v>
      </c>
      <c r="G358" s="4">
        <f t="shared" si="125"/>
        <v>1</v>
      </c>
      <c r="I358" s="11" t="s">
        <v>1044</v>
      </c>
      <c r="J358" s="9">
        <f t="shared" si="126"/>
        <v>0</v>
      </c>
      <c r="K358" s="9">
        <f t="shared" si="143"/>
        <v>0</v>
      </c>
      <c r="L358" s="9">
        <f t="shared" si="127"/>
        <v>0</v>
      </c>
      <c r="M358" s="9">
        <f t="shared" si="128"/>
        <v>0</v>
      </c>
      <c r="N358" s="9">
        <f t="shared" si="129"/>
        <v>0</v>
      </c>
      <c r="O358" s="9">
        <f t="shared" si="130"/>
        <v>0</v>
      </c>
      <c r="P358" s="9">
        <f t="shared" si="131"/>
        <v>0</v>
      </c>
      <c r="Q358" s="9">
        <f t="shared" si="132"/>
        <v>0</v>
      </c>
      <c r="R358" s="9">
        <f t="shared" si="133"/>
        <v>0</v>
      </c>
      <c r="S358" s="9">
        <f t="shared" si="134"/>
        <v>0</v>
      </c>
      <c r="T358" s="9">
        <f t="shared" si="135"/>
        <v>0</v>
      </c>
      <c r="U358" s="9">
        <f t="shared" si="136"/>
        <v>1</v>
      </c>
      <c r="V358" s="9">
        <f t="shared" si="137"/>
        <v>0</v>
      </c>
      <c r="W358" s="9">
        <f t="shared" si="138"/>
        <v>0</v>
      </c>
      <c r="X358" s="9">
        <f t="shared" si="139"/>
        <v>0</v>
      </c>
      <c r="Y358" s="9">
        <f t="shared" si="140"/>
        <v>0</v>
      </c>
      <c r="Z358" s="9">
        <f t="shared" si="141"/>
        <v>0</v>
      </c>
      <c r="AA358" s="10">
        <f t="shared" si="142"/>
        <v>0</v>
      </c>
    </row>
    <row r="359" spans="1:27" x14ac:dyDescent="0.3">
      <c r="A359" s="18" t="s">
        <v>1304</v>
      </c>
      <c r="B359" s="4">
        <f t="shared" si="120"/>
        <v>0</v>
      </c>
      <c r="C359" s="4">
        <f t="shared" si="121"/>
        <v>1</v>
      </c>
      <c r="D359" s="4">
        <f t="shared" si="122"/>
        <v>0</v>
      </c>
      <c r="E359" s="4">
        <f t="shared" si="123"/>
        <v>0</v>
      </c>
      <c r="F359" s="4">
        <f t="shared" si="124"/>
        <v>0</v>
      </c>
      <c r="G359" s="4">
        <f t="shared" si="125"/>
        <v>0</v>
      </c>
      <c r="I359" s="8" t="s">
        <v>990</v>
      </c>
      <c r="J359" s="9">
        <f t="shared" si="126"/>
        <v>0</v>
      </c>
      <c r="K359" s="9">
        <f t="shared" si="143"/>
        <v>0</v>
      </c>
      <c r="L359" s="9">
        <f t="shared" si="127"/>
        <v>0</v>
      </c>
      <c r="M359" s="9">
        <f t="shared" si="128"/>
        <v>0</v>
      </c>
      <c r="N359" s="9">
        <f t="shared" si="129"/>
        <v>1</v>
      </c>
      <c r="O359" s="9">
        <f t="shared" si="130"/>
        <v>0</v>
      </c>
      <c r="P359" s="9">
        <f t="shared" si="131"/>
        <v>0</v>
      </c>
      <c r="Q359" s="9">
        <f t="shared" si="132"/>
        <v>0</v>
      </c>
      <c r="R359" s="9">
        <f t="shared" si="133"/>
        <v>0</v>
      </c>
      <c r="S359" s="9">
        <f t="shared" si="134"/>
        <v>0</v>
      </c>
      <c r="T359" s="9">
        <f t="shared" si="135"/>
        <v>0</v>
      </c>
      <c r="U359" s="9">
        <f t="shared" si="136"/>
        <v>0</v>
      </c>
      <c r="V359" s="9">
        <f t="shared" si="137"/>
        <v>0</v>
      </c>
      <c r="W359" s="9">
        <f t="shared" si="138"/>
        <v>0</v>
      </c>
      <c r="X359" s="9">
        <f t="shared" si="139"/>
        <v>0</v>
      </c>
      <c r="Y359" s="9">
        <f t="shared" si="140"/>
        <v>0</v>
      </c>
      <c r="Z359" s="9">
        <f t="shared" si="141"/>
        <v>0</v>
      </c>
      <c r="AA359" s="10">
        <f t="shared" si="142"/>
        <v>0</v>
      </c>
    </row>
    <row r="360" spans="1:27" x14ac:dyDescent="0.3">
      <c r="A360" s="4" t="s">
        <v>1294</v>
      </c>
      <c r="B360" s="4">
        <f t="shared" si="120"/>
        <v>0</v>
      </c>
      <c r="C360" s="4">
        <f t="shared" si="121"/>
        <v>0</v>
      </c>
      <c r="D360" s="4">
        <f t="shared" si="122"/>
        <v>0</v>
      </c>
      <c r="E360" s="4">
        <f t="shared" si="123"/>
        <v>0</v>
      </c>
      <c r="F360" s="4">
        <f t="shared" si="124"/>
        <v>0</v>
      </c>
      <c r="G360" s="4">
        <f t="shared" si="125"/>
        <v>0</v>
      </c>
      <c r="I360" s="11" t="s">
        <v>988</v>
      </c>
      <c r="J360" s="9">
        <f t="shared" si="126"/>
        <v>0</v>
      </c>
      <c r="K360" s="9">
        <f t="shared" si="143"/>
        <v>0</v>
      </c>
      <c r="L360" s="9">
        <f t="shared" si="127"/>
        <v>1</v>
      </c>
      <c r="M360" s="9">
        <f t="shared" si="128"/>
        <v>0</v>
      </c>
      <c r="N360" s="9">
        <f t="shared" si="129"/>
        <v>0</v>
      </c>
      <c r="O360" s="9">
        <f t="shared" si="130"/>
        <v>0</v>
      </c>
      <c r="P360" s="9">
        <f t="shared" si="131"/>
        <v>0</v>
      </c>
      <c r="Q360" s="9">
        <f t="shared" si="132"/>
        <v>0</v>
      </c>
      <c r="R360" s="9">
        <f t="shared" si="133"/>
        <v>0</v>
      </c>
      <c r="S360" s="9">
        <f t="shared" si="134"/>
        <v>0</v>
      </c>
      <c r="T360" s="9">
        <f t="shared" si="135"/>
        <v>0</v>
      </c>
      <c r="U360" s="9">
        <f t="shared" si="136"/>
        <v>0</v>
      </c>
      <c r="V360" s="9">
        <f t="shared" si="137"/>
        <v>0</v>
      </c>
      <c r="W360" s="9">
        <f t="shared" si="138"/>
        <v>0</v>
      </c>
      <c r="X360" s="9">
        <f t="shared" si="139"/>
        <v>0</v>
      </c>
      <c r="Y360" s="9">
        <f t="shared" si="140"/>
        <v>0</v>
      </c>
      <c r="Z360" s="9">
        <f t="shared" si="141"/>
        <v>0</v>
      </c>
      <c r="AA360" s="10">
        <f t="shared" si="142"/>
        <v>0</v>
      </c>
    </row>
    <row r="361" spans="1:27" x14ac:dyDescent="0.3">
      <c r="A361" s="18" t="s">
        <v>1303</v>
      </c>
      <c r="B361" s="4">
        <f t="shared" si="120"/>
        <v>0</v>
      </c>
      <c r="C361" s="4">
        <f t="shared" si="121"/>
        <v>0</v>
      </c>
      <c r="D361" s="4">
        <f t="shared" si="122"/>
        <v>0</v>
      </c>
      <c r="E361" s="4">
        <f t="shared" si="123"/>
        <v>0</v>
      </c>
      <c r="F361" s="4">
        <f t="shared" si="124"/>
        <v>1</v>
      </c>
      <c r="G361" s="4">
        <f t="shared" si="125"/>
        <v>0</v>
      </c>
      <c r="I361" s="8" t="s">
        <v>988</v>
      </c>
      <c r="J361" s="9">
        <f t="shared" si="126"/>
        <v>0</v>
      </c>
      <c r="K361" s="9">
        <f t="shared" si="143"/>
        <v>0</v>
      </c>
      <c r="L361" s="9">
        <f t="shared" si="127"/>
        <v>1</v>
      </c>
      <c r="M361" s="9">
        <f t="shared" si="128"/>
        <v>0</v>
      </c>
      <c r="N361" s="9">
        <f t="shared" si="129"/>
        <v>0</v>
      </c>
      <c r="O361" s="9">
        <f t="shared" si="130"/>
        <v>0</v>
      </c>
      <c r="P361" s="9">
        <f t="shared" si="131"/>
        <v>0</v>
      </c>
      <c r="Q361" s="9">
        <f t="shared" si="132"/>
        <v>0</v>
      </c>
      <c r="R361" s="9">
        <f t="shared" si="133"/>
        <v>0</v>
      </c>
      <c r="S361" s="9">
        <f t="shared" si="134"/>
        <v>0</v>
      </c>
      <c r="T361" s="9">
        <f t="shared" si="135"/>
        <v>0</v>
      </c>
      <c r="U361" s="9">
        <f t="shared" si="136"/>
        <v>0</v>
      </c>
      <c r="V361" s="9">
        <f t="shared" si="137"/>
        <v>0</v>
      </c>
      <c r="W361" s="9">
        <f t="shared" si="138"/>
        <v>0</v>
      </c>
      <c r="X361" s="9">
        <f t="shared" si="139"/>
        <v>0</v>
      </c>
      <c r="Y361" s="9">
        <f t="shared" si="140"/>
        <v>0</v>
      </c>
      <c r="Z361" s="9">
        <f t="shared" si="141"/>
        <v>0</v>
      </c>
      <c r="AA361" s="10">
        <f t="shared" si="142"/>
        <v>0</v>
      </c>
    </row>
    <row r="362" spans="1:27" x14ac:dyDescent="0.3">
      <c r="A362" s="4" t="s">
        <v>1303</v>
      </c>
      <c r="B362" s="4">
        <f t="shared" si="120"/>
        <v>0</v>
      </c>
      <c r="C362" s="4">
        <f t="shared" si="121"/>
        <v>0</v>
      </c>
      <c r="D362" s="4">
        <f t="shared" si="122"/>
        <v>0</v>
      </c>
      <c r="E362" s="4">
        <f t="shared" si="123"/>
        <v>0</v>
      </c>
      <c r="F362" s="4">
        <f t="shared" si="124"/>
        <v>1</v>
      </c>
      <c r="G362" s="4">
        <f t="shared" si="125"/>
        <v>0</v>
      </c>
      <c r="I362" s="11" t="s">
        <v>1011</v>
      </c>
      <c r="J362" s="9">
        <f t="shared" si="126"/>
        <v>0</v>
      </c>
      <c r="K362" s="9">
        <f t="shared" si="143"/>
        <v>0</v>
      </c>
      <c r="L362" s="9">
        <f t="shared" si="127"/>
        <v>0</v>
      </c>
      <c r="M362" s="9">
        <f t="shared" si="128"/>
        <v>0</v>
      </c>
      <c r="N362" s="9">
        <f t="shared" si="129"/>
        <v>0</v>
      </c>
      <c r="O362" s="9">
        <f t="shared" si="130"/>
        <v>0</v>
      </c>
      <c r="P362" s="9">
        <f t="shared" si="131"/>
        <v>0</v>
      </c>
      <c r="Q362" s="9">
        <f t="shared" si="132"/>
        <v>0</v>
      </c>
      <c r="R362" s="9">
        <f t="shared" si="133"/>
        <v>0</v>
      </c>
      <c r="S362" s="9">
        <f t="shared" si="134"/>
        <v>1</v>
      </c>
      <c r="T362" s="9">
        <f t="shared" si="135"/>
        <v>0</v>
      </c>
      <c r="U362" s="9">
        <f t="shared" si="136"/>
        <v>0</v>
      </c>
      <c r="V362" s="9">
        <f t="shared" si="137"/>
        <v>0</v>
      </c>
      <c r="W362" s="9">
        <f t="shared" si="138"/>
        <v>0</v>
      </c>
      <c r="X362" s="9">
        <f t="shared" si="139"/>
        <v>0</v>
      </c>
      <c r="Y362" s="9">
        <f t="shared" si="140"/>
        <v>0</v>
      </c>
      <c r="Z362" s="9">
        <f t="shared" si="141"/>
        <v>0</v>
      </c>
      <c r="AA362" s="10">
        <f t="shared" si="142"/>
        <v>0</v>
      </c>
    </row>
    <row r="363" spans="1:27" x14ac:dyDescent="0.3">
      <c r="A363" s="18" t="s">
        <v>1303</v>
      </c>
      <c r="B363" s="4">
        <f t="shared" si="120"/>
        <v>0</v>
      </c>
      <c r="C363" s="4">
        <f t="shared" si="121"/>
        <v>0</v>
      </c>
      <c r="D363" s="4">
        <f t="shared" si="122"/>
        <v>0</v>
      </c>
      <c r="E363" s="4">
        <f t="shared" si="123"/>
        <v>0</v>
      </c>
      <c r="F363" s="4">
        <f t="shared" si="124"/>
        <v>1</v>
      </c>
      <c r="G363" s="4">
        <f t="shared" si="125"/>
        <v>0</v>
      </c>
      <c r="I363" s="8" t="s">
        <v>1004</v>
      </c>
      <c r="J363" s="9">
        <f t="shared" si="126"/>
        <v>0</v>
      </c>
      <c r="K363" s="9">
        <f t="shared" si="143"/>
        <v>0</v>
      </c>
      <c r="L363" s="9">
        <f t="shared" si="127"/>
        <v>0</v>
      </c>
      <c r="M363" s="9">
        <f t="shared" si="128"/>
        <v>0</v>
      </c>
      <c r="N363" s="9">
        <f t="shared" si="129"/>
        <v>0</v>
      </c>
      <c r="O363" s="9">
        <f t="shared" si="130"/>
        <v>0</v>
      </c>
      <c r="P363" s="9">
        <f t="shared" si="131"/>
        <v>0</v>
      </c>
      <c r="Q363" s="9">
        <f t="shared" si="132"/>
        <v>0</v>
      </c>
      <c r="R363" s="9">
        <f t="shared" si="133"/>
        <v>1</v>
      </c>
      <c r="S363" s="9">
        <f t="shared" si="134"/>
        <v>0</v>
      </c>
      <c r="T363" s="9">
        <f t="shared" si="135"/>
        <v>0</v>
      </c>
      <c r="U363" s="9">
        <f t="shared" si="136"/>
        <v>0</v>
      </c>
      <c r="V363" s="9">
        <f t="shared" si="137"/>
        <v>0</v>
      </c>
      <c r="W363" s="9">
        <f t="shared" si="138"/>
        <v>0</v>
      </c>
      <c r="X363" s="9">
        <f t="shared" si="139"/>
        <v>0</v>
      </c>
      <c r="Y363" s="9">
        <f t="shared" si="140"/>
        <v>0</v>
      </c>
      <c r="Z363" s="9">
        <f t="shared" si="141"/>
        <v>0</v>
      </c>
      <c r="AA363" s="10">
        <f t="shared" si="142"/>
        <v>0</v>
      </c>
    </row>
    <row r="364" spans="1:27" x14ac:dyDescent="0.3">
      <c r="A364" s="4" t="s">
        <v>1302</v>
      </c>
      <c r="B364" s="4">
        <f t="shared" si="120"/>
        <v>1</v>
      </c>
      <c r="C364" s="4">
        <f t="shared" si="121"/>
        <v>0</v>
      </c>
      <c r="D364" s="4">
        <f t="shared" si="122"/>
        <v>0</v>
      </c>
      <c r="E364" s="4">
        <f t="shared" si="123"/>
        <v>0</v>
      </c>
      <c r="F364" s="4">
        <f t="shared" si="124"/>
        <v>0</v>
      </c>
      <c r="G364" s="4">
        <f t="shared" si="125"/>
        <v>0</v>
      </c>
      <c r="I364" s="11" t="s">
        <v>994</v>
      </c>
      <c r="J364" s="9">
        <f t="shared" si="126"/>
        <v>0</v>
      </c>
      <c r="K364" s="9">
        <f t="shared" si="143"/>
        <v>0</v>
      </c>
      <c r="L364" s="9">
        <f t="shared" si="127"/>
        <v>0</v>
      </c>
      <c r="M364" s="9">
        <f t="shared" si="128"/>
        <v>0</v>
      </c>
      <c r="N364" s="9">
        <f t="shared" si="129"/>
        <v>0</v>
      </c>
      <c r="O364" s="9">
        <f t="shared" si="130"/>
        <v>0</v>
      </c>
      <c r="P364" s="9">
        <f t="shared" si="131"/>
        <v>1</v>
      </c>
      <c r="Q364" s="9">
        <f t="shared" si="132"/>
        <v>0</v>
      </c>
      <c r="R364" s="9">
        <f t="shared" si="133"/>
        <v>0</v>
      </c>
      <c r="S364" s="9">
        <f t="shared" si="134"/>
        <v>0</v>
      </c>
      <c r="T364" s="9">
        <f t="shared" si="135"/>
        <v>0</v>
      </c>
      <c r="U364" s="9">
        <f t="shared" si="136"/>
        <v>0</v>
      </c>
      <c r="V364" s="9">
        <f t="shared" si="137"/>
        <v>0</v>
      </c>
      <c r="W364" s="9">
        <f t="shared" si="138"/>
        <v>0</v>
      </c>
      <c r="X364" s="9">
        <f t="shared" si="139"/>
        <v>0</v>
      </c>
      <c r="Y364" s="9">
        <f t="shared" si="140"/>
        <v>0</v>
      </c>
      <c r="Z364" s="9">
        <f t="shared" si="141"/>
        <v>0</v>
      </c>
      <c r="AA364" s="10">
        <f t="shared" si="142"/>
        <v>0</v>
      </c>
    </row>
    <row r="365" spans="1:27" x14ac:dyDescent="0.3">
      <c r="A365" s="18" t="s">
        <v>1302</v>
      </c>
      <c r="B365" s="4">
        <f t="shared" si="120"/>
        <v>1</v>
      </c>
      <c r="C365" s="4">
        <f t="shared" si="121"/>
        <v>0</v>
      </c>
      <c r="D365" s="4">
        <f t="shared" si="122"/>
        <v>0</v>
      </c>
      <c r="E365" s="4">
        <f t="shared" si="123"/>
        <v>0</v>
      </c>
      <c r="F365" s="4">
        <f t="shared" si="124"/>
        <v>0</v>
      </c>
      <c r="G365" s="4">
        <f t="shared" si="125"/>
        <v>0</v>
      </c>
      <c r="I365" s="8" t="s">
        <v>988</v>
      </c>
      <c r="J365" s="9">
        <f t="shared" si="126"/>
        <v>0</v>
      </c>
      <c r="K365" s="9">
        <f t="shared" si="143"/>
        <v>0</v>
      </c>
      <c r="L365" s="9">
        <f t="shared" si="127"/>
        <v>1</v>
      </c>
      <c r="M365" s="9">
        <f t="shared" si="128"/>
        <v>0</v>
      </c>
      <c r="N365" s="9">
        <f t="shared" si="129"/>
        <v>0</v>
      </c>
      <c r="O365" s="9">
        <f t="shared" si="130"/>
        <v>0</v>
      </c>
      <c r="P365" s="9">
        <f t="shared" si="131"/>
        <v>0</v>
      </c>
      <c r="Q365" s="9">
        <f t="shared" si="132"/>
        <v>0</v>
      </c>
      <c r="R365" s="9">
        <f t="shared" si="133"/>
        <v>0</v>
      </c>
      <c r="S365" s="9">
        <f t="shared" si="134"/>
        <v>0</v>
      </c>
      <c r="T365" s="9">
        <f t="shared" si="135"/>
        <v>0</v>
      </c>
      <c r="U365" s="9">
        <f t="shared" si="136"/>
        <v>0</v>
      </c>
      <c r="V365" s="9">
        <f t="shared" si="137"/>
        <v>0</v>
      </c>
      <c r="W365" s="9">
        <f t="shared" si="138"/>
        <v>0</v>
      </c>
      <c r="X365" s="9">
        <f t="shared" si="139"/>
        <v>0</v>
      </c>
      <c r="Y365" s="9">
        <f t="shared" si="140"/>
        <v>0</v>
      </c>
      <c r="Z365" s="9">
        <f t="shared" si="141"/>
        <v>0</v>
      </c>
      <c r="AA365" s="10">
        <f t="shared" si="142"/>
        <v>0</v>
      </c>
    </row>
    <row r="366" spans="1:27" x14ac:dyDescent="0.3">
      <c r="A366" s="4" t="s">
        <v>1305</v>
      </c>
      <c r="B366" s="4">
        <f t="shared" si="120"/>
        <v>0</v>
      </c>
      <c r="C366" s="4">
        <f t="shared" si="121"/>
        <v>0</v>
      </c>
      <c r="D366" s="4">
        <f t="shared" si="122"/>
        <v>0</v>
      </c>
      <c r="E366" s="4">
        <f t="shared" si="123"/>
        <v>0</v>
      </c>
      <c r="F366" s="4">
        <f t="shared" si="124"/>
        <v>0</v>
      </c>
      <c r="G366" s="4">
        <f t="shared" si="125"/>
        <v>1</v>
      </c>
      <c r="I366" s="11" t="s">
        <v>1044</v>
      </c>
      <c r="J366" s="9">
        <f t="shared" si="126"/>
        <v>0</v>
      </c>
      <c r="K366" s="9">
        <f t="shared" si="143"/>
        <v>0</v>
      </c>
      <c r="L366" s="9">
        <f t="shared" si="127"/>
        <v>0</v>
      </c>
      <c r="M366" s="9">
        <f t="shared" si="128"/>
        <v>0</v>
      </c>
      <c r="N366" s="9">
        <f t="shared" si="129"/>
        <v>0</v>
      </c>
      <c r="O366" s="9">
        <f t="shared" si="130"/>
        <v>0</v>
      </c>
      <c r="P366" s="9">
        <f t="shared" si="131"/>
        <v>0</v>
      </c>
      <c r="Q366" s="9">
        <f t="shared" si="132"/>
        <v>0</v>
      </c>
      <c r="R366" s="9">
        <f t="shared" si="133"/>
        <v>0</v>
      </c>
      <c r="S366" s="9">
        <f t="shared" si="134"/>
        <v>0</v>
      </c>
      <c r="T366" s="9">
        <f t="shared" si="135"/>
        <v>0</v>
      </c>
      <c r="U366" s="9">
        <f t="shared" si="136"/>
        <v>1</v>
      </c>
      <c r="V366" s="9">
        <f t="shared" si="137"/>
        <v>0</v>
      </c>
      <c r="W366" s="9">
        <f t="shared" si="138"/>
        <v>0</v>
      </c>
      <c r="X366" s="9">
        <f t="shared" si="139"/>
        <v>0</v>
      </c>
      <c r="Y366" s="9">
        <f t="shared" si="140"/>
        <v>0</v>
      </c>
      <c r="Z366" s="9">
        <f t="shared" si="141"/>
        <v>0</v>
      </c>
      <c r="AA366" s="10">
        <f t="shared" si="142"/>
        <v>0</v>
      </c>
    </row>
    <row r="367" spans="1:27" x14ac:dyDescent="0.3">
      <c r="A367" s="18" t="s">
        <v>1304</v>
      </c>
      <c r="B367" s="4">
        <f t="shared" si="120"/>
        <v>0</v>
      </c>
      <c r="C367" s="4">
        <f t="shared" si="121"/>
        <v>1</v>
      </c>
      <c r="D367" s="4">
        <f t="shared" si="122"/>
        <v>0</v>
      </c>
      <c r="E367" s="4">
        <f t="shared" si="123"/>
        <v>0</v>
      </c>
      <c r="F367" s="4">
        <f t="shared" si="124"/>
        <v>0</v>
      </c>
      <c r="G367" s="4">
        <f t="shared" si="125"/>
        <v>0</v>
      </c>
      <c r="I367" s="8" t="s">
        <v>977</v>
      </c>
      <c r="J367" s="9">
        <f t="shared" si="126"/>
        <v>1</v>
      </c>
      <c r="K367" s="9">
        <f t="shared" si="143"/>
        <v>0</v>
      </c>
      <c r="L367" s="9">
        <f t="shared" si="127"/>
        <v>0</v>
      </c>
      <c r="M367" s="9">
        <f t="shared" si="128"/>
        <v>0</v>
      </c>
      <c r="N367" s="9">
        <f t="shared" si="129"/>
        <v>0</v>
      </c>
      <c r="O367" s="9">
        <f t="shared" si="130"/>
        <v>0</v>
      </c>
      <c r="P367" s="9">
        <f t="shared" si="131"/>
        <v>0</v>
      </c>
      <c r="Q367" s="9">
        <f t="shared" si="132"/>
        <v>0</v>
      </c>
      <c r="R367" s="9">
        <f t="shared" si="133"/>
        <v>0</v>
      </c>
      <c r="S367" s="9">
        <f t="shared" si="134"/>
        <v>0</v>
      </c>
      <c r="T367" s="9">
        <f t="shared" si="135"/>
        <v>0</v>
      </c>
      <c r="U367" s="9">
        <f t="shared" si="136"/>
        <v>0</v>
      </c>
      <c r="V367" s="9">
        <f t="shared" si="137"/>
        <v>0</v>
      </c>
      <c r="W367" s="9">
        <f t="shared" si="138"/>
        <v>0</v>
      </c>
      <c r="X367" s="9">
        <f t="shared" si="139"/>
        <v>0</v>
      </c>
      <c r="Y367" s="9">
        <f t="shared" si="140"/>
        <v>0</v>
      </c>
      <c r="Z367" s="9">
        <f t="shared" si="141"/>
        <v>0</v>
      </c>
      <c r="AA367" s="10">
        <f t="shared" si="142"/>
        <v>0</v>
      </c>
    </row>
    <row r="368" spans="1:27" x14ac:dyDescent="0.3">
      <c r="A368" s="4" t="s">
        <v>1303</v>
      </c>
      <c r="B368" s="4">
        <f t="shared" si="120"/>
        <v>0</v>
      </c>
      <c r="C368" s="4">
        <f t="shared" si="121"/>
        <v>0</v>
      </c>
      <c r="D368" s="4">
        <f t="shared" si="122"/>
        <v>0</v>
      </c>
      <c r="E368" s="4">
        <f t="shared" si="123"/>
        <v>0</v>
      </c>
      <c r="F368" s="4">
        <f t="shared" si="124"/>
        <v>1</v>
      </c>
      <c r="G368" s="4">
        <f t="shared" si="125"/>
        <v>0</v>
      </c>
      <c r="I368" s="11" t="s">
        <v>988</v>
      </c>
      <c r="J368" s="9">
        <f t="shared" si="126"/>
        <v>0</v>
      </c>
      <c r="K368" s="9">
        <f t="shared" si="143"/>
        <v>0</v>
      </c>
      <c r="L368" s="9">
        <f t="shared" si="127"/>
        <v>1</v>
      </c>
      <c r="M368" s="9">
        <f t="shared" si="128"/>
        <v>0</v>
      </c>
      <c r="N368" s="9">
        <f t="shared" si="129"/>
        <v>0</v>
      </c>
      <c r="O368" s="9">
        <f t="shared" si="130"/>
        <v>0</v>
      </c>
      <c r="P368" s="9">
        <f t="shared" si="131"/>
        <v>0</v>
      </c>
      <c r="Q368" s="9">
        <f t="shared" si="132"/>
        <v>0</v>
      </c>
      <c r="R368" s="9">
        <f t="shared" si="133"/>
        <v>0</v>
      </c>
      <c r="S368" s="9">
        <f t="shared" si="134"/>
        <v>0</v>
      </c>
      <c r="T368" s="9">
        <f t="shared" si="135"/>
        <v>0</v>
      </c>
      <c r="U368" s="9">
        <f t="shared" si="136"/>
        <v>0</v>
      </c>
      <c r="V368" s="9">
        <f t="shared" si="137"/>
        <v>0</v>
      </c>
      <c r="W368" s="9">
        <f t="shared" si="138"/>
        <v>0</v>
      </c>
      <c r="X368" s="9">
        <f t="shared" si="139"/>
        <v>0</v>
      </c>
      <c r="Y368" s="9">
        <f t="shared" si="140"/>
        <v>0</v>
      </c>
      <c r="Z368" s="9">
        <f t="shared" si="141"/>
        <v>0</v>
      </c>
      <c r="AA368" s="10">
        <f t="shared" si="142"/>
        <v>0</v>
      </c>
    </row>
    <row r="369" spans="1:27" x14ac:dyDescent="0.3">
      <c r="A369" s="18" t="s">
        <v>1302</v>
      </c>
      <c r="B369" s="4">
        <f t="shared" si="120"/>
        <v>1</v>
      </c>
      <c r="C369" s="4">
        <f t="shared" si="121"/>
        <v>0</v>
      </c>
      <c r="D369" s="4">
        <f t="shared" si="122"/>
        <v>0</v>
      </c>
      <c r="E369" s="4">
        <f t="shared" si="123"/>
        <v>0</v>
      </c>
      <c r="F369" s="4">
        <f t="shared" si="124"/>
        <v>0</v>
      </c>
      <c r="G369" s="4">
        <f t="shared" si="125"/>
        <v>0</v>
      </c>
      <c r="I369" s="8" t="s">
        <v>988</v>
      </c>
      <c r="J369" s="9">
        <f t="shared" si="126"/>
        <v>0</v>
      </c>
      <c r="K369" s="9">
        <f t="shared" si="143"/>
        <v>0</v>
      </c>
      <c r="L369" s="9">
        <f t="shared" si="127"/>
        <v>1</v>
      </c>
      <c r="M369" s="9">
        <f t="shared" si="128"/>
        <v>0</v>
      </c>
      <c r="N369" s="9">
        <f t="shared" si="129"/>
        <v>0</v>
      </c>
      <c r="O369" s="9">
        <f t="shared" si="130"/>
        <v>0</v>
      </c>
      <c r="P369" s="9">
        <f t="shared" si="131"/>
        <v>0</v>
      </c>
      <c r="Q369" s="9">
        <f t="shared" si="132"/>
        <v>0</v>
      </c>
      <c r="R369" s="9">
        <f t="shared" si="133"/>
        <v>0</v>
      </c>
      <c r="S369" s="9">
        <f t="shared" si="134"/>
        <v>0</v>
      </c>
      <c r="T369" s="9">
        <f t="shared" si="135"/>
        <v>0</v>
      </c>
      <c r="U369" s="9">
        <f t="shared" si="136"/>
        <v>0</v>
      </c>
      <c r="V369" s="9">
        <f t="shared" si="137"/>
        <v>0</v>
      </c>
      <c r="W369" s="9">
        <f t="shared" si="138"/>
        <v>0</v>
      </c>
      <c r="X369" s="9">
        <f t="shared" si="139"/>
        <v>0</v>
      </c>
      <c r="Y369" s="9">
        <f t="shared" si="140"/>
        <v>0</v>
      </c>
      <c r="Z369" s="9">
        <f t="shared" si="141"/>
        <v>0</v>
      </c>
      <c r="AA369" s="10">
        <f t="shared" si="142"/>
        <v>0</v>
      </c>
    </row>
    <row r="370" spans="1:27" x14ac:dyDescent="0.3">
      <c r="A370" s="4" t="s">
        <v>1114</v>
      </c>
      <c r="B370" s="4">
        <f t="shared" si="120"/>
        <v>0</v>
      </c>
      <c r="C370" s="4">
        <f t="shared" si="121"/>
        <v>0</v>
      </c>
      <c r="D370" s="4">
        <f t="shared" si="122"/>
        <v>0</v>
      </c>
      <c r="E370" s="4">
        <f t="shared" si="123"/>
        <v>1</v>
      </c>
      <c r="F370" s="4">
        <f t="shared" si="124"/>
        <v>0</v>
      </c>
      <c r="G370" s="4">
        <f t="shared" si="125"/>
        <v>0</v>
      </c>
      <c r="I370" s="11" t="s">
        <v>996</v>
      </c>
      <c r="J370" s="9">
        <f t="shared" si="126"/>
        <v>0</v>
      </c>
      <c r="K370" s="9">
        <f t="shared" si="143"/>
        <v>0</v>
      </c>
      <c r="L370" s="9">
        <f t="shared" si="127"/>
        <v>0</v>
      </c>
      <c r="M370" s="9">
        <f t="shared" si="128"/>
        <v>0</v>
      </c>
      <c r="N370" s="9">
        <f t="shared" si="129"/>
        <v>0</v>
      </c>
      <c r="O370" s="9">
        <f t="shared" si="130"/>
        <v>0</v>
      </c>
      <c r="P370" s="9">
        <f t="shared" si="131"/>
        <v>0</v>
      </c>
      <c r="Q370" s="9">
        <f t="shared" si="132"/>
        <v>1</v>
      </c>
      <c r="R370" s="9">
        <f t="shared" si="133"/>
        <v>0</v>
      </c>
      <c r="S370" s="9">
        <f t="shared" si="134"/>
        <v>0</v>
      </c>
      <c r="T370" s="9">
        <f t="shared" si="135"/>
        <v>0</v>
      </c>
      <c r="U370" s="9">
        <f t="shared" si="136"/>
        <v>0</v>
      </c>
      <c r="V370" s="9">
        <f t="shared" si="137"/>
        <v>0</v>
      </c>
      <c r="W370" s="9">
        <f t="shared" si="138"/>
        <v>0</v>
      </c>
      <c r="X370" s="9">
        <f t="shared" si="139"/>
        <v>0</v>
      </c>
      <c r="Y370" s="9">
        <f t="shared" si="140"/>
        <v>0</v>
      </c>
      <c r="Z370" s="9">
        <f t="shared" si="141"/>
        <v>0</v>
      </c>
      <c r="AA370" s="10">
        <f t="shared" si="142"/>
        <v>0</v>
      </c>
    </row>
    <row r="371" spans="1:27" x14ac:dyDescent="0.3">
      <c r="A371" s="18" t="s">
        <v>1302</v>
      </c>
      <c r="B371" s="4">
        <f t="shared" si="120"/>
        <v>1</v>
      </c>
      <c r="C371" s="4">
        <f t="shared" si="121"/>
        <v>0</v>
      </c>
      <c r="D371" s="4">
        <f t="shared" si="122"/>
        <v>0</v>
      </c>
      <c r="E371" s="4">
        <f t="shared" si="123"/>
        <v>0</v>
      </c>
      <c r="F371" s="4">
        <f t="shared" si="124"/>
        <v>0</v>
      </c>
      <c r="G371" s="4">
        <f t="shared" si="125"/>
        <v>0</v>
      </c>
      <c r="I371" s="8" t="s">
        <v>977</v>
      </c>
      <c r="J371" s="9">
        <f t="shared" si="126"/>
        <v>1</v>
      </c>
      <c r="K371" s="9">
        <f t="shared" si="143"/>
        <v>0</v>
      </c>
      <c r="L371" s="9">
        <f t="shared" si="127"/>
        <v>0</v>
      </c>
      <c r="M371" s="9">
        <f t="shared" si="128"/>
        <v>0</v>
      </c>
      <c r="N371" s="9">
        <f t="shared" si="129"/>
        <v>0</v>
      </c>
      <c r="O371" s="9">
        <f t="shared" si="130"/>
        <v>0</v>
      </c>
      <c r="P371" s="9">
        <f t="shared" si="131"/>
        <v>0</v>
      </c>
      <c r="Q371" s="9">
        <f t="shared" si="132"/>
        <v>0</v>
      </c>
      <c r="R371" s="9">
        <f t="shared" si="133"/>
        <v>0</v>
      </c>
      <c r="S371" s="9">
        <f t="shared" si="134"/>
        <v>0</v>
      </c>
      <c r="T371" s="9">
        <f t="shared" si="135"/>
        <v>0</v>
      </c>
      <c r="U371" s="9">
        <f t="shared" si="136"/>
        <v>0</v>
      </c>
      <c r="V371" s="9">
        <f t="shared" si="137"/>
        <v>0</v>
      </c>
      <c r="W371" s="9">
        <f t="shared" si="138"/>
        <v>0</v>
      </c>
      <c r="X371" s="9">
        <f t="shared" si="139"/>
        <v>0</v>
      </c>
      <c r="Y371" s="9">
        <f t="shared" si="140"/>
        <v>0</v>
      </c>
      <c r="Z371" s="9">
        <f t="shared" si="141"/>
        <v>0</v>
      </c>
      <c r="AA371" s="10">
        <f t="shared" si="142"/>
        <v>0</v>
      </c>
    </row>
    <row r="372" spans="1:27" x14ac:dyDescent="0.3">
      <c r="A372" s="4" t="s">
        <v>1302</v>
      </c>
      <c r="B372" s="4">
        <f t="shared" si="120"/>
        <v>1</v>
      </c>
      <c r="C372" s="4">
        <f t="shared" si="121"/>
        <v>0</v>
      </c>
      <c r="D372" s="4">
        <f t="shared" si="122"/>
        <v>0</v>
      </c>
      <c r="E372" s="4">
        <f t="shared" si="123"/>
        <v>0</v>
      </c>
      <c r="F372" s="4">
        <f t="shared" si="124"/>
        <v>0</v>
      </c>
      <c r="G372" s="4">
        <f t="shared" si="125"/>
        <v>0</v>
      </c>
      <c r="I372" s="11" t="s">
        <v>988</v>
      </c>
      <c r="J372" s="9">
        <f t="shared" si="126"/>
        <v>0</v>
      </c>
      <c r="K372" s="9">
        <f t="shared" si="143"/>
        <v>0</v>
      </c>
      <c r="L372" s="9">
        <f t="shared" si="127"/>
        <v>1</v>
      </c>
      <c r="M372" s="9">
        <f t="shared" si="128"/>
        <v>0</v>
      </c>
      <c r="N372" s="9">
        <f t="shared" si="129"/>
        <v>0</v>
      </c>
      <c r="O372" s="9">
        <f t="shared" si="130"/>
        <v>0</v>
      </c>
      <c r="P372" s="9">
        <f t="shared" si="131"/>
        <v>0</v>
      </c>
      <c r="Q372" s="9">
        <f t="shared" si="132"/>
        <v>0</v>
      </c>
      <c r="R372" s="9">
        <f t="shared" si="133"/>
        <v>0</v>
      </c>
      <c r="S372" s="9">
        <f t="shared" si="134"/>
        <v>0</v>
      </c>
      <c r="T372" s="9">
        <f t="shared" si="135"/>
        <v>0</v>
      </c>
      <c r="U372" s="9">
        <f t="shared" si="136"/>
        <v>0</v>
      </c>
      <c r="V372" s="9">
        <f t="shared" si="137"/>
        <v>0</v>
      </c>
      <c r="W372" s="9">
        <f t="shared" si="138"/>
        <v>0</v>
      </c>
      <c r="X372" s="9">
        <f t="shared" si="139"/>
        <v>0</v>
      </c>
      <c r="Y372" s="9">
        <f t="shared" si="140"/>
        <v>0</v>
      </c>
      <c r="Z372" s="9">
        <f t="shared" si="141"/>
        <v>0</v>
      </c>
      <c r="AA372" s="10">
        <f t="shared" si="142"/>
        <v>0</v>
      </c>
    </row>
    <row r="373" spans="1:27" x14ac:dyDescent="0.3">
      <c r="A373" s="18" t="s">
        <v>1303</v>
      </c>
      <c r="B373" s="4">
        <f t="shared" si="120"/>
        <v>0</v>
      </c>
      <c r="C373" s="4">
        <f t="shared" si="121"/>
        <v>0</v>
      </c>
      <c r="D373" s="4">
        <f t="shared" si="122"/>
        <v>0</v>
      </c>
      <c r="E373" s="4">
        <f t="shared" si="123"/>
        <v>0</v>
      </c>
      <c r="F373" s="4">
        <f t="shared" si="124"/>
        <v>1</v>
      </c>
      <c r="G373" s="4">
        <f t="shared" si="125"/>
        <v>0</v>
      </c>
      <c r="I373" s="8" t="s">
        <v>994</v>
      </c>
      <c r="J373" s="9">
        <f t="shared" si="126"/>
        <v>0</v>
      </c>
      <c r="K373" s="9">
        <f t="shared" si="143"/>
        <v>0</v>
      </c>
      <c r="L373" s="9">
        <f t="shared" si="127"/>
        <v>0</v>
      </c>
      <c r="M373" s="9">
        <f t="shared" si="128"/>
        <v>0</v>
      </c>
      <c r="N373" s="9">
        <f t="shared" si="129"/>
        <v>0</v>
      </c>
      <c r="O373" s="9">
        <f t="shared" si="130"/>
        <v>0</v>
      </c>
      <c r="P373" s="9">
        <f t="shared" si="131"/>
        <v>1</v>
      </c>
      <c r="Q373" s="9">
        <f t="shared" si="132"/>
        <v>0</v>
      </c>
      <c r="R373" s="9">
        <f t="shared" si="133"/>
        <v>0</v>
      </c>
      <c r="S373" s="9">
        <f t="shared" si="134"/>
        <v>0</v>
      </c>
      <c r="T373" s="9">
        <f t="shared" si="135"/>
        <v>0</v>
      </c>
      <c r="U373" s="9">
        <f t="shared" si="136"/>
        <v>0</v>
      </c>
      <c r="V373" s="9">
        <f t="shared" si="137"/>
        <v>0</v>
      </c>
      <c r="W373" s="9">
        <f t="shared" si="138"/>
        <v>0</v>
      </c>
      <c r="X373" s="9">
        <f t="shared" si="139"/>
        <v>0</v>
      </c>
      <c r="Y373" s="9">
        <f t="shared" si="140"/>
        <v>0</v>
      </c>
      <c r="Z373" s="9">
        <f t="shared" si="141"/>
        <v>0</v>
      </c>
      <c r="AA373" s="10">
        <f t="shared" si="142"/>
        <v>0</v>
      </c>
    </row>
    <row r="374" spans="1:27" x14ac:dyDescent="0.3">
      <c r="A374" s="4" t="s">
        <v>1305</v>
      </c>
      <c r="B374" s="4">
        <f t="shared" si="120"/>
        <v>0</v>
      </c>
      <c r="C374" s="4">
        <f t="shared" si="121"/>
        <v>0</v>
      </c>
      <c r="D374" s="4">
        <f t="shared" si="122"/>
        <v>0</v>
      </c>
      <c r="E374" s="4">
        <f t="shared" si="123"/>
        <v>0</v>
      </c>
      <c r="F374" s="4">
        <f t="shared" si="124"/>
        <v>0</v>
      </c>
      <c r="G374" s="4">
        <f t="shared" si="125"/>
        <v>1</v>
      </c>
      <c r="I374" s="11" t="s">
        <v>982</v>
      </c>
      <c r="J374" s="9">
        <f t="shared" si="126"/>
        <v>0</v>
      </c>
      <c r="K374" s="9">
        <f t="shared" si="143"/>
        <v>1</v>
      </c>
      <c r="L374" s="9">
        <f t="shared" si="127"/>
        <v>0</v>
      </c>
      <c r="M374" s="9">
        <f t="shared" si="128"/>
        <v>0</v>
      </c>
      <c r="N374" s="9">
        <f t="shared" si="129"/>
        <v>0</v>
      </c>
      <c r="O374" s="9">
        <f t="shared" si="130"/>
        <v>0</v>
      </c>
      <c r="P374" s="9">
        <f t="shared" si="131"/>
        <v>0</v>
      </c>
      <c r="Q374" s="9">
        <f t="shared" si="132"/>
        <v>0</v>
      </c>
      <c r="R374" s="9">
        <f t="shared" si="133"/>
        <v>0</v>
      </c>
      <c r="S374" s="9">
        <f t="shared" si="134"/>
        <v>0</v>
      </c>
      <c r="T374" s="9">
        <f t="shared" si="135"/>
        <v>0</v>
      </c>
      <c r="U374" s="9">
        <f t="shared" si="136"/>
        <v>0</v>
      </c>
      <c r="V374" s="9">
        <f t="shared" si="137"/>
        <v>0</v>
      </c>
      <c r="W374" s="9">
        <f t="shared" si="138"/>
        <v>0</v>
      </c>
      <c r="X374" s="9">
        <f t="shared" si="139"/>
        <v>0</v>
      </c>
      <c r="Y374" s="9">
        <f t="shared" si="140"/>
        <v>0</v>
      </c>
      <c r="Z374" s="9">
        <f t="shared" si="141"/>
        <v>0</v>
      </c>
      <c r="AA374" s="10">
        <f t="shared" si="142"/>
        <v>0</v>
      </c>
    </row>
    <row r="375" spans="1:27" x14ac:dyDescent="0.3">
      <c r="A375" s="18" t="s">
        <v>1304</v>
      </c>
      <c r="B375" s="4">
        <f t="shared" si="120"/>
        <v>0</v>
      </c>
      <c r="C375" s="4">
        <f t="shared" si="121"/>
        <v>1</v>
      </c>
      <c r="D375" s="4">
        <f t="shared" si="122"/>
        <v>0</v>
      </c>
      <c r="E375" s="4">
        <f t="shared" si="123"/>
        <v>0</v>
      </c>
      <c r="F375" s="4">
        <f t="shared" si="124"/>
        <v>0</v>
      </c>
      <c r="G375" s="4">
        <f t="shared" si="125"/>
        <v>0</v>
      </c>
      <c r="I375" s="8" t="s">
        <v>988</v>
      </c>
      <c r="J375" s="9">
        <f t="shared" si="126"/>
        <v>0</v>
      </c>
      <c r="K375" s="9">
        <f t="shared" si="143"/>
        <v>0</v>
      </c>
      <c r="L375" s="9">
        <f t="shared" si="127"/>
        <v>1</v>
      </c>
      <c r="M375" s="9">
        <f t="shared" si="128"/>
        <v>0</v>
      </c>
      <c r="N375" s="9">
        <f t="shared" si="129"/>
        <v>0</v>
      </c>
      <c r="O375" s="9">
        <f t="shared" si="130"/>
        <v>0</v>
      </c>
      <c r="P375" s="9">
        <f t="shared" si="131"/>
        <v>0</v>
      </c>
      <c r="Q375" s="9">
        <f t="shared" si="132"/>
        <v>0</v>
      </c>
      <c r="R375" s="9">
        <f t="shared" si="133"/>
        <v>0</v>
      </c>
      <c r="S375" s="9">
        <f t="shared" si="134"/>
        <v>0</v>
      </c>
      <c r="T375" s="9">
        <f t="shared" si="135"/>
        <v>0</v>
      </c>
      <c r="U375" s="9">
        <f t="shared" si="136"/>
        <v>0</v>
      </c>
      <c r="V375" s="9">
        <f t="shared" si="137"/>
        <v>0</v>
      </c>
      <c r="W375" s="9">
        <f t="shared" si="138"/>
        <v>0</v>
      </c>
      <c r="X375" s="9">
        <f t="shared" si="139"/>
        <v>0</v>
      </c>
      <c r="Y375" s="9">
        <f t="shared" si="140"/>
        <v>0</v>
      </c>
      <c r="Z375" s="9">
        <f t="shared" si="141"/>
        <v>0</v>
      </c>
      <c r="AA375" s="10">
        <f t="shared" si="142"/>
        <v>0</v>
      </c>
    </row>
    <row r="376" spans="1:27" x14ac:dyDescent="0.3">
      <c r="A376" s="4" t="s">
        <v>1302</v>
      </c>
      <c r="B376" s="4">
        <f t="shared" si="120"/>
        <v>1</v>
      </c>
      <c r="C376" s="4">
        <f t="shared" si="121"/>
        <v>0</v>
      </c>
      <c r="D376" s="4">
        <f t="shared" si="122"/>
        <v>0</v>
      </c>
      <c r="E376" s="4">
        <f t="shared" si="123"/>
        <v>0</v>
      </c>
      <c r="F376" s="4">
        <f t="shared" si="124"/>
        <v>0</v>
      </c>
      <c r="G376" s="4">
        <f t="shared" si="125"/>
        <v>0</v>
      </c>
      <c r="I376" s="11" t="s">
        <v>977</v>
      </c>
      <c r="J376" s="9">
        <f t="shared" si="126"/>
        <v>1</v>
      </c>
      <c r="K376" s="9">
        <f t="shared" si="143"/>
        <v>0</v>
      </c>
      <c r="L376" s="9">
        <f t="shared" si="127"/>
        <v>0</v>
      </c>
      <c r="M376" s="9">
        <f t="shared" si="128"/>
        <v>0</v>
      </c>
      <c r="N376" s="9">
        <f t="shared" si="129"/>
        <v>0</v>
      </c>
      <c r="O376" s="9">
        <f t="shared" si="130"/>
        <v>0</v>
      </c>
      <c r="P376" s="9">
        <f t="shared" si="131"/>
        <v>0</v>
      </c>
      <c r="Q376" s="9">
        <f t="shared" si="132"/>
        <v>0</v>
      </c>
      <c r="R376" s="9">
        <f t="shared" si="133"/>
        <v>0</v>
      </c>
      <c r="S376" s="9">
        <f t="shared" si="134"/>
        <v>0</v>
      </c>
      <c r="T376" s="9">
        <f t="shared" si="135"/>
        <v>0</v>
      </c>
      <c r="U376" s="9">
        <f t="shared" si="136"/>
        <v>0</v>
      </c>
      <c r="V376" s="9">
        <f t="shared" si="137"/>
        <v>0</v>
      </c>
      <c r="W376" s="9">
        <f t="shared" si="138"/>
        <v>0</v>
      </c>
      <c r="X376" s="9">
        <f t="shared" si="139"/>
        <v>0</v>
      </c>
      <c r="Y376" s="9">
        <f t="shared" si="140"/>
        <v>0</v>
      </c>
      <c r="Z376" s="9">
        <f t="shared" si="141"/>
        <v>0</v>
      </c>
      <c r="AA376" s="10">
        <f t="shared" si="142"/>
        <v>0</v>
      </c>
    </row>
    <row r="377" spans="1:27" x14ac:dyDescent="0.3">
      <c r="A377" s="18" t="s">
        <v>1302</v>
      </c>
      <c r="B377" s="4">
        <f t="shared" si="120"/>
        <v>1</v>
      </c>
      <c r="C377" s="4">
        <f t="shared" si="121"/>
        <v>0</v>
      </c>
      <c r="D377" s="4">
        <f t="shared" si="122"/>
        <v>0</v>
      </c>
      <c r="E377" s="4">
        <f t="shared" si="123"/>
        <v>0</v>
      </c>
      <c r="F377" s="4">
        <f t="shared" si="124"/>
        <v>0</v>
      </c>
      <c r="G377" s="4">
        <f t="shared" si="125"/>
        <v>0</v>
      </c>
      <c r="I377" s="8" t="s">
        <v>990</v>
      </c>
      <c r="J377" s="9">
        <f t="shared" si="126"/>
        <v>0</v>
      </c>
      <c r="K377" s="9">
        <f t="shared" si="143"/>
        <v>0</v>
      </c>
      <c r="L377" s="9">
        <f t="shared" si="127"/>
        <v>0</v>
      </c>
      <c r="M377" s="9">
        <f t="shared" si="128"/>
        <v>0</v>
      </c>
      <c r="N377" s="9">
        <f t="shared" si="129"/>
        <v>1</v>
      </c>
      <c r="O377" s="9">
        <f t="shared" si="130"/>
        <v>0</v>
      </c>
      <c r="P377" s="9">
        <f t="shared" si="131"/>
        <v>0</v>
      </c>
      <c r="Q377" s="9">
        <f t="shared" si="132"/>
        <v>0</v>
      </c>
      <c r="R377" s="9">
        <f t="shared" si="133"/>
        <v>0</v>
      </c>
      <c r="S377" s="9">
        <f t="shared" si="134"/>
        <v>0</v>
      </c>
      <c r="T377" s="9">
        <f t="shared" si="135"/>
        <v>0</v>
      </c>
      <c r="U377" s="9">
        <f t="shared" si="136"/>
        <v>0</v>
      </c>
      <c r="V377" s="9">
        <f t="shared" si="137"/>
        <v>0</v>
      </c>
      <c r="W377" s="9">
        <f t="shared" si="138"/>
        <v>0</v>
      </c>
      <c r="X377" s="9">
        <f t="shared" si="139"/>
        <v>0</v>
      </c>
      <c r="Y377" s="9">
        <f t="shared" si="140"/>
        <v>0</v>
      </c>
      <c r="Z377" s="9">
        <f t="shared" si="141"/>
        <v>0</v>
      </c>
      <c r="AA377" s="10">
        <f t="shared" si="142"/>
        <v>0</v>
      </c>
    </row>
    <row r="378" spans="1:27" x14ac:dyDescent="0.3">
      <c r="A378" s="4" t="s">
        <v>1304</v>
      </c>
      <c r="B378" s="4">
        <f t="shared" si="120"/>
        <v>0</v>
      </c>
      <c r="C378" s="4">
        <f t="shared" si="121"/>
        <v>1</v>
      </c>
      <c r="D378" s="4">
        <f t="shared" si="122"/>
        <v>0</v>
      </c>
      <c r="E378" s="4">
        <f t="shared" si="123"/>
        <v>0</v>
      </c>
      <c r="F378" s="4">
        <f t="shared" si="124"/>
        <v>0</v>
      </c>
      <c r="G378" s="4">
        <f t="shared" si="125"/>
        <v>0</v>
      </c>
      <c r="I378" s="11" t="s">
        <v>988</v>
      </c>
      <c r="J378" s="9">
        <f t="shared" si="126"/>
        <v>0</v>
      </c>
      <c r="K378" s="9">
        <f t="shared" si="143"/>
        <v>0</v>
      </c>
      <c r="L378" s="9">
        <f t="shared" si="127"/>
        <v>1</v>
      </c>
      <c r="M378" s="9">
        <f t="shared" si="128"/>
        <v>0</v>
      </c>
      <c r="N378" s="9">
        <f t="shared" si="129"/>
        <v>0</v>
      </c>
      <c r="O378" s="9">
        <f t="shared" si="130"/>
        <v>0</v>
      </c>
      <c r="P378" s="9">
        <f t="shared" si="131"/>
        <v>0</v>
      </c>
      <c r="Q378" s="9">
        <f t="shared" si="132"/>
        <v>0</v>
      </c>
      <c r="R378" s="9">
        <f t="shared" si="133"/>
        <v>0</v>
      </c>
      <c r="S378" s="9">
        <f t="shared" si="134"/>
        <v>0</v>
      </c>
      <c r="T378" s="9">
        <f t="shared" si="135"/>
        <v>0</v>
      </c>
      <c r="U378" s="9">
        <f t="shared" si="136"/>
        <v>0</v>
      </c>
      <c r="V378" s="9">
        <f t="shared" si="137"/>
        <v>0</v>
      </c>
      <c r="W378" s="9">
        <f t="shared" si="138"/>
        <v>0</v>
      </c>
      <c r="X378" s="9">
        <f t="shared" si="139"/>
        <v>0</v>
      </c>
      <c r="Y378" s="9">
        <f t="shared" si="140"/>
        <v>0</v>
      </c>
      <c r="Z378" s="9">
        <f t="shared" si="141"/>
        <v>0</v>
      </c>
      <c r="AA378" s="10">
        <f t="shared" si="142"/>
        <v>0</v>
      </c>
    </row>
    <row r="379" spans="1:27" x14ac:dyDescent="0.3">
      <c r="A379" s="18" t="s">
        <v>1294</v>
      </c>
      <c r="B379" s="4">
        <f t="shared" si="120"/>
        <v>0</v>
      </c>
      <c r="C379" s="4">
        <f t="shared" si="121"/>
        <v>0</v>
      </c>
      <c r="D379" s="4">
        <f t="shared" si="122"/>
        <v>0</v>
      </c>
      <c r="E379" s="4">
        <f t="shared" si="123"/>
        <v>0</v>
      </c>
      <c r="F379" s="4">
        <f t="shared" si="124"/>
        <v>0</v>
      </c>
      <c r="G379" s="4">
        <f t="shared" si="125"/>
        <v>0</v>
      </c>
      <c r="I379" s="8" t="s">
        <v>988</v>
      </c>
      <c r="J379" s="9">
        <f t="shared" si="126"/>
        <v>0</v>
      </c>
      <c r="K379" s="9">
        <f t="shared" si="143"/>
        <v>0</v>
      </c>
      <c r="L379" s="9">
        <f t="shared" si="127"/>
        <v>1</v>
      </c>
      <c r="M379" s="9">
        <f t="shared" si="128"/>
        <v>0</v>
      </c>
      <c r="N379" s="9">
        <f t="shared" si="129"/>
        <v>0</v>
      </c>
      <c r="O379" s="9">
        <f t="shared" si="130"/>
        <v>0</v>
      </c>
      <c r="P379" s="9">
        <f t="shared" si="131"/>
        <v>0</v>
      </c>
      <c r="Q379" s="9">
        <f t="shared" si="132"/>
        <v>0</v>
      </c>
      <c r="R379" s="9">
        <f t="shared" si="133"/>
        <v>0</v>
      </c>
      <c r="S379" s="9">
        <f t="shared" si="134"/>
        <v>0</v>
      </c>
      <c r="T379" s="9">
        <f t="shared" si="135"/>
        <v>0</v>
      </c>
      <c r="U379" s="9">
        <f t="shared" si="136"/>
        <v>0</v>
      </c>
      <c r="V379" s="9">
        <f t="shared" si="137"/>
        <v>0</v>
      </c>
      <c r="W379" s="9">
        <f t="shared" si="138"/>
        <v>0</v>
      </c>
      <c r="X379" s="9">
        <f t="shared" si="139"/>
        <v>0</v>
      </c>
      <c r="Y379" s="9">
        <f t="shared" si="140"/>
        <v>0</v>
      </c>
      <c r="Z379" s="9">
        <f t="shared" si="141"/>
        <v>0</v>
      </c>
      <c r="AA379" s="10">
        <f t="shared" si="142"/>
        <v>0</v>
      </c>
    </row>
    <row r="380" spans="1:27" x14ac:dyDescent="0.3">
      <c r="A380" s="4" t="s">
        <v>1302</v>
      </c>
      <c r="B380" s="4">
        <f t="shared" si="120"/>
        <v>1</v>
      </c>
      <c r="C380" s="4">
        <f t="shared" si="121"/>
        <v>0</v>
      </c>
      <c r="D380" s="4">
        <f t="shared" si="122"/>
        <v>0</v>
      </c>
      <c r="E380" s="4">
        <f t="shared" si="123"/>
        <v>0</v>
      </c>
      <c r="F380" s="4">
        <f t="shared" si="124"/>
        <v>0</v>
      </c>
      <c r="G380" s="4">
        <f t="shared" si="125"/>
        <v>0</v>
      </c>
      <c r="I380" s="11" t="s">
        <v>990</v>
      </c>
      <c r="J380" s="9">
        <f t="shared" si="126"/>
        <v>0</v>
      </c>
      <c r="K380" s="9">
        <f t="shared" si="143"/>
        <v>0</v>
      </c>
      <c r="L380" s="9">
        <f t="shared" si="127"/>
        <v>0</v>
      </c>
      <c r="M380" s="9">
        <f t="shared" si="128"/>
        <v>0</v>
      </c>
      <c r="N380" s="9">
        <f t="shared" si="129"/>
        <v>1</v>
      </c>
      <c r="O380" s="9">
        <f t="shared" si="130"/>
        <v>0</v>
      </c>
      <c r="P380" s="9">
        <f t="shared" si="131"/>
        <v>0</v>
      </c>
      <c r="Q380" s="9">
        <f t="shared" si="132"/>
        <v>0</v>
      </c>
      <c r="R380" s="9">
        <f t="shared" si="133"/>
        <v>0</v>
      </c>
      <c r="S380" s="9">
        <f t="shared" si="134"/>
        <v>0</v>
      </c>
      <c r="T380" s="9">
        <f t="shared" si="135"/>
        <v>0</v>
      </c>
      <c r="U380" s="9">
        <f t="shared" si="136"/>
        <v>0</v>
      </c>
      <c r="V380" s="9">
        <f t="shared" si="137"/>
        <v>0</v>
      </c>
      <c r="W380" s="9">
        <f t="shared" si="138"/>
        <v>0</v>
      </c>
      <c r="X380" s="9">
        <f t="shared" si="139"/>
        <v>0</v>
      </c>
      <c r="Y380" s="9">
        <f t="shared" si="140"/>
        <v>0</v>
      </c>
      <c r="Z380" s="9">
        <f t="shared" si="141"/>
        <v>0</v>
      </c>
      <c r="AA380" s="10">
        <f t="shared" si="142"/>
        <v>0</v>
      </c>
    </row>
    <row r="381" spans="1:27" x14ac:dyDescent="0.3">
      <c r="A381" s="18" t="s">
        <v>1303</v>
      </c>
      <c r="B381" s="4">
        <f t="shared" si="120"/>
        <v>0</v>
      </c>
      <c r="C381" s="4">
        <f t="shared" si="121"/>
        <v>0</v>
      </c>
      <c r="D381" s="4">
        <f t="shared" si="122"/>
        <v>0</v>
      </c>
      <c r="E381" s="4">
        <f t="shared" si="123"/>
        <v>0</v>
      </c>
      <c r="F381" s="4">
        <f t="shared" si="124"/>
        <v>1</v>
      </c>
      <c r="G381" s="4">
        <f t="shared" si="125"/>
        <v>0</v>
      </c>
      <c r="I381" s="8" t="s">
        <v>1044</v>
      </c>
      <c r="J381" s="9">
        <f t="shared" si="126"/>
        <v>0</v>
      </c>
      <c r="K381" s="9">
        <f t="shared" si="143"/>
        <v>0</v>
      </c>
      <c r="L381" s="9">
        <f t="shared" si="127"/>
        <v>0</v>
      </c>
      <c r="M381" s="9">
        <f t="shared" si="128"/>
        <v>0</v>
      </c>
      <c r="N381" s="9">
        <f t="shared" si="129"/>
        <v>0</v>
      </c>
      <c r="O381" s="9">
        <f t="shared" si="130"/>
        <v>0</v>
      </c>
      <c r="P381" s="9">
        <f t="shared" si="131"/>
        <v>0</v>
      </c>
      <c r="Q381" s="9">
        <f t="shared" si="132"/>
        <v>0</v>
      </c>
      <c r="R381" s="9">
        <f t="shared" si="133"/>
        <v>0</v>
      </c>
      <c r="S381" s="9">
        <f t="shared" si="134"/>
        <v>0</v>
      </c>
      <c r="T381" s="9">
        <f t="shared" si="135"/>
        <v>0</v>
      </c>
      <c r="U381" s="9">
        <f t="shared" si="136"/>
        <v>1</v>
      </c>
      <c r="V381" s="9">
        <f t="shared" si="137"/>
        <v>0</v>
      </c>
      <c r="W381" s="9">
        <f t="shared" si="138"/>
        <v>0</v>
      </c>
      <c r="X381" s="9">
        <f t="shared" si="139"/>
        <v>0</v>
      </c>
      <c r="Y381" s="9">
        <f t="shared" si="140"/>
        <v>0</v>
      </c>
      <c r="Z381" s="9">
        <f t="shared" si="141"/>
        <v>0</v>
      </c>
      <c r="AA381" s="10">
        <f t="shared" si="142"/>
        <v>0</v>
      </c>
    </row>
    <row r="382" spans="1:27" x14ac:dyDescent="0.3">
      <c r="A382" s="4" t="s">
        <v>1302</v>
      </c>
      <c r="B382" s="4">
        <f t="shared" si="120"/>
        <v>1</v>
      </c>
      <c r="C382" s="4">
        <f t="shared" si="121"/>
        <v>0</v>
      </c>
      <c r="D382" s="4">
        <f t="shared" si="122"/>
        <v>0</v>
      </c>
      <c r="E382" s="4">
        <f t="shared" si="123"/>
        <v>0</v>
      </c>
      <c r="F382" s="4">
        <f t="shared" si="124"/>
        <v>0</v>
      </c>
      <c r="G382" s="4">
        <f t="shared" si="125"/>
        <v>0</v>
      </c>
      <c r="I382" s="11" t="s">
        <v>996</v>
      </c>
      <c r="J382" s="9">
        <f t="shared" si="126"/>
        <v>0</v>
      </c>
      <c r="K382" s="9">
        <f t="shared" si="143"/>
        <v>0</v>
      </c>
      <c r="L382" s="9">
        <f t="shared" si="127"/>
        <v>0</v>
      </c>
      <c r="M382" s="9">
        <f t="shared" si="128"/>
        <v>0</v>
      </c>
      <c r="N382" s="9">
        <f t="shared" si="129"/>
        <v>0</v>
      </c>
      <c r="O382" s="9">
        <f t="shared" si="130"/>
        <v>0</v>
      </c>
      <c r="P382" s="9">
        <f t="shared" si="131"/>
        <v>0</v>
      </c>
      <c r="Q382" s="9">
        <f t="shared" si="132"/>
        <v>1</v>
      </c>
      <c r="R382" s="9">
        <f t="shared" si="133"/>
        <v>0</v>
      </c>
      <c r="S382" s="9">
        <f t="shared" si="134"/>
        <v>0</v>
      </c>
      <c r="T382" s="9">
        <f t="shared" si="135"/>
        <v>0</v>
      </c>
      <c r="U382" s="9">
        <f t="shared" si="136"/>
        <v>0</v>
      </c>
      <c r="V382" s="9">
        <f t="shared" si="137"/>
        <v>0</v>
      </c>
      <c r="W382" s="9">
        <f t="shared" si="138"/>
        <v>0</v>
      </c>
      <c r="X382" s="9">
        <f t="shared" si="139"/>
        <v>0</v>
      </c>
      <c r="Y382" s="9">
        <f t="shared" si="140"/>
        <v>0</v>
      </c>
      <c r="Z382" s="9">
        <f t="shared" si="141"/>
        <v>0</v>
      </c>
      <c r="AA382" s="10">
        <f t="shared" si="142"/>
        <v>0</v>
      </c>
    </row>
    <row r="383" spans="1:27" x14ac:dyDescent="0.3">
      <c r="A383" s="18" t="s">
        <v>1305</v>
      </c>
      <c r="B383" s="4">
        <f t="shared" si="120"/>
        <v>0</v>
      </c>
      <c r="C383" s="4">
        <f t="shared" si="121"/>
        <v>0</v>
      </c>
      <c r="D383" s="4">
        <f t="shared" si="122"/>
        <v>0</v>
      </c>
      <c r="E383" s="4">
        <f t="shared" si="123"/>
        <v>0</v>
      </c>
      <c r="F383" s="4">
        <f t="shared" si="124"/>
        <v>0</v>
      </c>
      <c r="G383" s="4">
        <f t="shared" si="125"/>
        <v>1</v>
      </c>
      <c r="I383" s="8" t="s">
        <v>988</v>
      </c>
      <c r="J383" s="9">
        <f t="shared" si="126"/>
        <v>0</v>
      </c>
      <c r="K383" s="9">
        <f t="shared" si="143"/>
        <v>0</v>
      </c>
      <c r="L383" s="9">
        <f t="shared" si="127"/>
        <v>1</v>
      </c>
      <c r="M383" s="9">
        <f t="shared" si="128"/>
        <v>0</v>
      </c>
      <c r="N383" s="9">
        <f t="shared" si="129"/>
        <v>0</v>
      </c>
      <c r="O383" s="9">
        <f t="shared" si="130"/>
        <v>0</v>
      </c>
      <c r="P383" s="9">
        <f t="shared" si="131"/>
        <v>0</v>
      </c>
      <c r="Q383" s="9">
        <f t="shared" si="132"/>
        <v>0</v>
      </c>
      <c r="R383" s="9">
        <f t="shared" si="133"/>
        <v>0</v>
      </c>
      <c r="S383" s="9">
        <f t="shared" si="134"/>
        <v>0</v>
      </c>
      <c r="T383" s="9">
        <f t="shared" si="135"/>
        <v>0</v>
      </c>
      <c r="U383" s="9">
        <f t="shared" si="136"/>
        <v>0</v>
      </c>
      <c r="V383" s="9">
        <f t="shared" si="137"/>
        <v>0</v>
      </c>
      <c r="W383" s="9">
        <f t="shared" si="138"/>
        <v>0</v>
      </c>
      <c r="X383" s="9">
        <f t="shared" si="139"/>
        <v>0</v>
      </c>
      <c r="Y383" s="9">
        <f t="shared" si="140"/>
        <v>0</v>
      </c>
      <c r="Z383" s="9">
        <f t="shared" si="141"/>
        <v>0</v>
      </c>
      <c r="AA383" s="10">
        <f t="shared" si="142"/>
        <v>0</v>
      </c>
    </row>
    <row r="384" spans="1:27" x14ac:dyDescent="0.3">
      <c r="A384" s="4" t="s">
        <v>1302</v>
      </c>
      <c r="B384" s="4">
        <f t="shared" si="120"/>
        <v>1</v>
      </c>
      <c r="C384" s="4">
        <f t="shared" si="121"/>
        <v>0</v>
      </c>
      <c r="D384" s="4">
        <f t="shared" si="122"/>
        <v>0</v>
      </c>
      <c r="E384" s="4">
        <f t="shared" si="123"/>
        <v>0</v>
      </c>
      <c r="F384" s="4">
        <f t="shared" si="124"/>
        <v>0</v>
      </c>
      <c r="G384" s="4">
        <f t="shared" si="125"/>
        <v>0</v>
      </c>
      <c r="I384" s="11" t="s">
        <v>1044</v>
      </c>
      <c r="J384" s="9">
        <f t="shared" si="126"/>
        <v>0</v>
      </c>
      <c r="K384" s="9">
        <f t="shared" si="143"/>
        <v>0</v>
      </c>
      <c r="L384" s="9">
        <f t="shared" si="127"/>
        <v>0</v>
      </c>
      <c r="M384" s="9">
        <f t="shared" si="128"/>
        <v>0</v>
      </c>
      <c r="N384" s="9">
        <f t="shared" si="129"/>
        <v>0</v>
      </c>
      <c r="O384" s="9">
        <f t="shared" si="130"/>
        <v>0</v>
      </c>
      <c r="P384" s="9">
        <f t="shared" si="131"/>
        <v>0</v>
      </c>
      <c r="Q384" s="9">
        <f t="shared" si="132"/>
        <v>0</v>
      </c>
      <c r="R384" s="9">
        <f t="shared" si="133"/>
        <v>0</v>
      </c>
      <c r="S384" s="9">
        <f t="shared" si="134"/>
        <v>0</v>
      </c>
      <c r="T384" s="9">
        <f t="shared" si="135"/>
        <v>0</v>
      </c>
      <c r="U384" s="9">
        <f t="shared" si="136"/>
        <v>1</v>
      </c>
      <c r="V384" s="9">
        <f t="shared" si="137"/>
        <v>0</v>
      </c>
      <c r="W384" s="9">
        <f t="shared" si="138"/>
        <v>0</v>
      </c>
      <c r="X384" s="9">
        <f t="shared" si="139"/>
        <v>0</v>
      </c>
      <c r="Y384" s="9">
        <f t="shared" si="140"/>
        <v>0</v>
      </c>
      <c r="Z384" s="9">
        <f t="shared" si="141"/>
        <v>0</v>
      </c>
      <c r="AA384" s="10">
        <f t="shared" si="142"/>
        <v>0</v>
      </c>
    </row>
    <row r="385" spans="1:27" x14ac:dyDescent="0.3">
      <c r="A385" s="18" t="s">
        <v>1304</v>
      </c>
      <c r="B385" s="4">
        <f t="shared" si="120"/>
        <v>0</v>
      </c>
      <c r="C385" s="4">
        <f t="shared" si="121"/>
        <v>1</v>
      </c>
      <c r="D385" s="4">
        <f t="shared" si="122"/>
        <v>0</v>
      </c>
      <c r="E385" s="4">
        <f t="shared" si="123"/>
        <v>0</v>
      </c>
      <c r="F385" s="4">
        <f t="shared" si="124"/>
        <v>0</v>
      </c>
      <c r="G385" s="4">
        <f t="shared" si="125"/>
        <v>0</v>
      </c>
      <c r="I385" s="8" t="s">
        <v>1044</v>
      </c>
      <c r="J385" s="9">
        <f t="shared" si="126"/>
        <v>0</v>
      </c>
      <c r="K385" s="9">
        <f t="shared" si="143"/>
        <v>0</v>
      </c>
      <c r="L385" s="9">
        <f t="shared" si="127"/>
        <v>0</v>
      </c>
      <c r="M385" s="9">
        <f t="shared" si="128"/>
        <v>0</v>
      </c>
      <c r="N385" s="9">
        <f t="shared" si="129"/>
        <v>0</v>
      </c>
      <c r="O385" s="9">
        <f t="shared" si="130"/>
        <v>0</v>
      </c>
      <c r="P385" s="9">
        <f t="shared" si="131"/>
        <v>0</v>
      </c>
      <c r="Q385" s="9">
        <f t="shared" si="132"/>
        <v>0</v>
      </c>
      <c r="R385" s="9">
        <f t="shared" si="133"/>
        <v>0</v>
      </c>
      <c r="S385" s="9">
        <f t="shared" si="134"/>
        <v>0</v>
      </c>
      <c r="T385" s="9">
        <f t="shared" si="135"/>
        <v>0</v>
      </c>
      <c r="U385" s="9">
        <f t="shared" si="136"/>
        <v>1</v>
      </c>
      <c r="V385" s="9">
        <f t="shared" si="137"/>
        <v>0</v>
      </c>
      <c r="W385" s="9">
        <f t="shared" si="138"/>
        <v>0</v>
      </c>
      <c r="X385" s="9">
        <f t="shared" si="139"/>
        <v>0</v>
      </c>
      <c r="Y385" s="9">
        <f t="shared" si="140"/>
        <v>0</v>
      </c>
      <c r="Z385" s="9">
        <f t="shared" si="141"/>
        <v>0</v>
      </c>
      <c r="AA385" s="10">
        <f t="shared" si="142"/>
        <v>0</v>
      </c>
    </row>
    <row r="386" spans="1:27" x14ac:dyDescent="0.3">
      <c r="A386" s="4" t="s">
        <v>1294</v>
      </c>
      <c r="B386" s="4">
        <f t="shared" si="120"/>
        <v>0</v>
      </c>
      <c r="C386" s="4">
        <f t="shared" si="121"/>
        <v>0</v>
      </c>
      <c r="D386" s="4">
        <f t="shared" si="122"/>
        <v>0</v>
      </c>
      <c r="E386" s="4">
        <f t="shared" si="123"/>
        <v>0</v>
      </c>
      <c r="F386" s="4">
        <f t="shared" si="124"/>
        <v>0</v>
      </c>
      <c r="G386" s="4">
        <f t="shared" si="125"/>
        <v>0</v>
      </c>
      <c r="I386" s="11" t="s">
        <v>988</v>
      </c>
      <c r="J386" s="9">
        <f t="shared" si="126"/>
        <v>0</v>
      </c>
      <c r="K386" s="9">
        <f t="shared" si="143"/>
        <v>0</v>
      </c>
      <c r="L386" s="9">
        <f t="shared" si="127"/>
        <v>1</v>
      </c>
      <c r="M386" s="9">
        <f t="shared" si="128"/>
        <v>0</v>
      </c>
      <c r="N386" s="9">
        <f t="shared" si="129"/>
        <v>0</v>
      </c>
      <c r="O386" s="9">
        <f t="shared" si="130"/>
        <v>0</v>
      </c>
      <c r="P386" s="9">
        <f t="shared" si="131"/>
        <v>0</v>
      </c>
      <c r="Q386" s="9">
        <f t="shared" si="132"/>
        <v>0</v>
      </c>
      <c r="R386" s="9">
        <f t="shared" si="133"/>
        <v>0</v>
      </c>
      <c r="S386" s="9">
        <f t="shared" si="134"/>
        <v>0</v>
      </c>
      <c r="T386" s="9">
        <f t="shared" si="135"/>
        <v>0</v>
      </c>
      <c r="U386" s="9">
        <f t="shared" si="136"/>
        <v>0</v>
      </c>
      <c r="V386" s="9">
        <f t="shared" si="137"/>
        <v>0</v>
      </c>
      <c r="W386" s="9">
        <f t="shared" si="138"/>
        <v>0</v>
      </c>
      <c r="X386" s="9">
        <f t="shared" si="139"/>
        <v>0</v>
      </c>
      <c r="Y386" s="9">
        <f t="shared" si="140"/>
        <v>0</v>
      </c>
      <c r="Z386" s="9">
        <f t="shared" si="141"/>
        <v>0</v>
      </c>
      <c r="AA386" s="10">
        <f t="shared" si="142"/>
        <v>0</v>
      </c>
    </row>
    <row r="387" spans="1:27" x14ac:dyDescent="0.3">
      <c r="A387" s="18" t="s">
        <v>1303</v>
      </c>
      <c r="B387" s="4">
        <f t="shared" si="120"/>
        <v>0</v>
      </c>
      <c r="C387" s="4">
        <f t="shared" si="121"/>
        <v>0</v>
      </c>
      <c r="D387" s="4">
        <f t="shared" si="122"/>
        <v>0</v>
      </c>
      <c r="E387" s="4">
        <f t="shared" si="123"/>
        <v>0</v>
      </c>
      <c r="F387" s="4">
        <f t="shared" si="124"/>
        <v>1</v>
      </c>
      <c r="G387" s="4">
        <f t="shared" si="125"/>
        <v>0</v>
      </c>
      <c r="I387" s="8" t="s">
        <v>1011</v>
      </c>
      <c r="J387" s="9">
        <f t="shared" si="126"/>
        <v>0</v>
      </c>
      <c r="K387" s="9">
        <f t="shared" si="143"/>
        <v>0</v>
      </c>
      <c r="L387" s="9">
        <f t="shared" si="127"/>
        <v>0</v>
      </c>
      <c r="M387" s="9">
        <f t="shared" si="128"/>
        <v>0</v>
      </c>
      <c r="N387" s="9">
        <f t="shared" si="129"/>
        <v>0</v>
      </c>
      <c r="O387" s="9">
        <f t="shared" si="130"/>
        <v>0</v>
      </c>
      <c r="P387" s="9">
        <f t="shared" si="131"/>
        <v>0</v>
      </c>
      <c r="Q387" s="9">
        <f t="shared" si="132"/>
        <v>0</v>
      </c>
      <c r="R387" s="9">
        <f t="shared" si="133"/>
        <v>0</v>
      </c>
      <c r="S387" s="9">
        <f t="shared" si="134"/>
        <v>1</v>
      </c>
      <c r="T387" s="9">
        <f t="shared" si="135"/>
        <v>0</v>
      </c>
      <c r="U387" s="9">
        <f t="shared" si="136"/>
        <v>0</v>
      </c>
      <c r="V387" s="9">
        <f t="shared" si="137"/>
        <v>0</v>
      </c>
      <c r="W387" s="9">
        <f t="shared" si="138"/>
        <v>0</v>
      </c>
      <c r="X387" s="9">
        <f t="shared" si="139"/>
        <v>0</v>
      </c>
      <c r="Y387" s="9">
        <f t="shared" si="140"/>
        <v>0</v>
      </c>
      <c r="Z387" s="9">
        <f t="shared" si="141"/>
        <v>0</v>
      </c>
      <c r="AA387" s="10">
        <f t="shared" si="142"/>
        <v>0</v>
      </c>
    </row>
    <row r="388" spans="1:27" x14ac:dyDescent="0.3">
      <c r="A388" s="4" t="s">
        <v>1303</v>
      </c>
      <c r="B388" s="4">
        <f t="shared" ref="B388:B451" si="144">IF($A388="Asia",1,0)</f>
        <v>0</v>
      </c>
      <c r="C388" s="4">
        <f t="shared" ref="C388:C451" si="145">IF(A388="Europe",1,0)</f>
        <v>0</v>
      </c>
      <c r="D388" s="4">
        <f t="shared" ref="D388:D451" si="146">IF(A388="Africa",1,0)</f>
        <v>0</v>
      </c>
      <c r="E388" s="4">
        <f t="shared" ref="E388:E451" si="147">IF($A388="Australia",1,0)</f>
        <v>0</v>
      </c>
      <c r="F388" s="4">
        <f t="shared" ref="F388:F451" si="148">IF($A388="North America",1,0)</f>
        <v>1</v>
      </c>
      <c r="G388" s="4">
        <f t="shared" ref="G388:G451" si="149">IF($A388="South America",1,0)</f>
        <v>0</v>
      </c>
      <c r="I388" s="11" t="s">
        <v>988</v>
      </c>
      <c r="J388" s="9">
        <f t="shared" ref="J388:J451" si="150">IF(I388="Music",1,0)</f>
        <v>0</v>
      </c>
      <c r="K388" s="9">
        <f t="shared" si="143"/>
        <v>0</v>
      </c>
      <c r="L388" s="9">
        <f t="shared" ref="L388:L451" si="151">IF(I388="Entertainment",1,0)</f>
        <v>1</v>
      </c>
      <c r="M388" s="9">
        <f t="shared" ref="M388:M451" si="152">IF(I388="Nonprofits &amp; Activism",1,0)</f>
        <v>0</v>
      </c>
      <c r="N388" s="9">
        <f t="shared" ref="N388:N451" si="153">IF(I388="Education",1,0)</f>
        <v>0</v>
      </c>
      <c r="O388" s="9">
        <f t="shared" ref="O388:O451" si="154">IF(I388="Shows",1,0)</f>
        <v>0</v>
      </c>
      <c r="P388" s="9">
        <f t="shared" ref="P388:P451" si="155">IF(I388="People &amp; Blogs",1,0)</f>
        <v>0</v>
      </c>
      <c r="Q388" s="9">
        <f t="shared" ref="Q388:Q451" si="156">IF(I388="Gaming",1,0)</f>
        <v>0</v>
      </c>
      <c r="R388" s="9">
        <f t="shared" ref="R388:R451" si="157">IF(I388="Sports",1,0)</f>
        <v>0</v>
      </c>
      <c r="S388" s="9">
        <f t="shared" ref="S388:S451" si="158">IF(I388="Howto &amp; Style",1,0)</f>
        <v>0</v>
      </c>
      <c r="T388" s="9">
        <f t="shared" ref="T388:T451" si="159">IF(I388="News &amp; Politics",1,0)</f>
        <v>0</v>
      </c>
      <c r="U388" s="9">
        <f t="shared" ref="U388:U451" si="160">IF(I388="Comedy",1,0)</f>
        <v>0</v>
      </c>
      <c r="V388" s="9">
        <f t="shared" ref="V388:V451" si="161">IF(I388="Trailers",1,0)</f>
        <v>0</v>
      </c>
      <c r="W388" s="9">
        <f t="shared" ref="W388:W451" si="162">IF(I388="Movies",1,0)</f>
        <v>0</v>
      </c>
      <c r="X388" s="9">
        <f t="shared" ref="X388:X451" si="163">IF(I388="Autos &amp; Vehicles",1,0)</f>
        <v>0</v>
      </c>
      <c r="Y388" s="9">
        <f t="shared" ref="Y388:Y451" si="164">IF(I388="Pets &amp; Animals",1,0)</f>
        <v>0</v>
      </c>
      <c r="Z388" s="9">
        <f t="shared" ref="Z388:Z451" si="165">IF(I388="Science &amp; Technology",1,0)</f>
        <v>0</v>
      </c>
      <c r="AA388" s="10">
        <f t="shared" ref="AA388:AA451" si="166">IF(I388="Travel &amp; Events",1,0)</f>
        <v>0</v>
      </c>
    </row>
    <row r="389" spans="1:27" x14ac:dyDescent="0.3">
      <c r="A389" s="18" t="s">
        <v>1303</v>
      </c>
      <c r="B389" s="4">
        <f t="shared" si="144"/>
        <v>0</v>
      </c>
      <c r="C389" s="4">
        <f t="shared" si="145"/>
        <v>0</v>
      </c>
      <c r="D389" s="4">
        <f t="shared" si="146"/>
        <v>0</v>
      </c>
      <c r="E389" s="4">
        <f t="shared" si="147"/>
        <v>0</v>
      </c>
      <c r="F389" s="4">
        <f t="shared" si="148"/>
        <v>1</v>
      </c>
      <c r="G389" s="4">
        <f t="shared" si="149"/>
        <v>0</v>
      </c>
      <c r="I389" s="8" t="s">
        <v>977</v>
      </c>
      <c r="J389" s="9">
        <f t="shared" si="150"/>
        <v>1</v>
      </c>
      <c r="K389" s="9">
        <f t="shared" ref="K389:K452" si="167">IF(I389="Film &amp; Animation",1,0)</f>
        <v>0</v>
      </c>
      <c r="L389" s="9">
        <f t="shared" si="151"/>
        <v>0</v>
      </c>
      <c r="M389" s="9">
        <f t="shared" si="152"/>
        <v>0</v>
      </c>
      <c r="N389" s="9">
        <f t="shared" si="153"/>
        <v>0</v>
      </c>
      <c r="O389" s="9">
        <f t="shared" si="154"/>
        <v>0</v>
      </c>
      <c r="P389" s="9">
        <f t="shared" si="155"/>
        <v>0</v>
      </c>
      <c r="Q389" s="9">
        <f t="shared" si="156"/>
        <v>0</v>
      </c>
      <c r="R389" s="9">
        <f t="shared" si="157"/>
        <v>0</v>
      </c>
      <c r="S389" s="9">
        <f t="shared" si="158"/>
        <v>0</v>
      </c>
      <c r="T389" s="9">
        <f t="shared" si="159"/>
        <v>0</v>
      </c>
      <c r="U389" s="9">
        <f t="shared" si="160"/>
        <v>0</v>
      </c>
      <c r="V389" s="9">
        <f t="shared" si="161"/>
        <v>0</v>
      </c>
      <c r="W389" s="9">
        <f t="shared" si="162"/>
        <v>0</v>
      </c>
      <c r="X389" s="9">
        <f t="shared" si="163"/>
        <v>0</v>
      </c>
      <c r="Y389" s="9">
        <f t="shared" si="164"/>
        <v>0</v>
      </c>
      <c r="Z389" s="9">
        <f t="shared" si="165"/>
        <v>0</v>
      </c>
      <c r="AA389" s="10">
        <f t="shared" si="166"/>
        <v>0</v>
      </c>
    </row>
    <row r="390" spans="1:27" x14ac:dyDescent="0.3">
      <c r="A390" s="4" t="s">
        <v>1303</v>
      </c>
      <c r="B390" s="4">
        <f t="shared" si="144"/>
        <v>0</v>
      </c>
      <c r="C390" s="4">
        <f t="shared" si="145"/>
        <v>0</v>
      </c>
      <c r="D390" s="4">
        <f t="shared" si="146"/>
        <v>0</v>
      </c>
      <c r="E390" s="4">
        <f t="shared" si="147"/>
        <v>0</v>
      </c>
      <c r="F390" s="4">
        <f t="shared" si="148"/>
        <v>1</v>
      </c>
      <c r="G390" s="4">
        <f t="shared" si="149"/>
        <v>0</v>
      </c>
      <c r="I390" s="11" t="s">
        <v>994</v>
      </c>
      <c r="J390" s="9">
        <f t="shared" si="150"/>
        <v>0</v>
      </c>
      <c r="K390" s="9">
        <f t="shared" si="167"/>
        <v>0</v>
      </c>
      <c r="L390" s="9">
        <f t="shared" si="151"/>
        <v>0</v>
      </c>
      <c r="M390" s="9">
        <f t="shared" si="152"/>
        <v>0</v>
      </c>
      <c r="N390" s="9">
        <f t="shared" si="153"/>
        <v>0</v>
      </c>
      <c r="O390" s="9">
        <f t="shared" si="154"/>
        <v>0</v>
      </c>
      <c r="P390" s="9">
        <f t="shared" si="155"/>
        <v>1</v>
      </c>
      <c r="Q390" s="9">
        <f t="shared" si="156"/>
        <v>0</v>
      </c>
      <c r="R390" s="9">
        <f t="shared" si="157"/>
        <v>0</v>
      </c>
      <c r="S390" s="9">
        <f t="shared" si="158"/>
        <v>0</v>
      </c>
      <c r="T390" s="9">
        <f t="shared" si="159"/>
        <v>0</v>
      </c>
      <c r="U390" s="9">
        <f t="shared" si="160"/>
        <v>0</v>
      </c>
      <c r="V390" s="9">
        <f t="shared" si="161"/>
        <v>0</v>
      </c>
      <c r="W390" s="9">
        <f t="shared" si="162"/>
        <v>0</v>
      </c>
      <c r="X390" s="9">
        <f t="shared" si="163"/>
        <v>0</v>
      </c>
      <c r="Y390" s="9">
        <f t="shared" si="164"/>
        <v>0</v>
      </c>
      <c r="Z390" s="9">
        <f t="shared" si="165"/>
        <v>0</v>
      </c>
      <c r="AA390" s="10">
        <f t="shared" si="166"/>
        <v>0</v>
      </c>
    </row>
    <row r="391" spans="1:27" x14ac:dyDescent="0.3">
      <c r="A391" s="18" t="s">
        <v>1303</v>
      </c>
      <c r="B391" s="4">
        <f t="shared" si="144"/>
        <v>0</v>
      </c>
      <c r="C391" s="4">
        <f t="shared" si="145"/>
        <v>0</v>
      </c>
      <c r="D391" s="4">
        <f t="shared" si="146"/>
        <v>0</v>
      </c>
      <c r="E391" s="4">
        <f t="shared" si="147"/>
        <v>0</v>
      </c>
      <c r="F391" s="4">
        <f t="shared" si="148"/>
        <v>1</v>
      </c>
      <c r="G391" s="4">
        <f t="shared" si="149"/>
        <v>0</v>
      </c>
      <c r="I391" s="8" t="s">
        <v>988</v>
      </c>
      <c r="J391" s="9">
        <f t="shared" si="150"/>
        <v>0</v>
      </c>
      <c r="K391" s="9">
        <f t="shared" si="167"/>
        <v>0</v>
      </c>
      <c r="L391" s="9">
        <f t="shared" si="151"/>
        <v>1</v>
      </c>
      <c r="M391" s="9">
        <f t="shared" si="152"/>
        <v>0</v>
      </c>
      <c r="N391" s="9">
        <f t="shared" si="153"/>
        <v>0</v>
      </c>
      <c r="O391" s="9">
        <f t="shared" si="154"/>
        <v>0</v>
      </c>
      <c r="P391" s="9">
        <f t="shared" si="155"/>
        <v>0</v>
      </c>
      <c r="Q391" s="9">
        <f t="shared" si="156"/>
        <v>0</v>
      </c>
      <c r="R391" s="9">
        <f t="shared" si="157"/>
        <v>0</v>
      </c>
      <c r="S391" s="9">
        <f t="shared" si="158"/>
        <v>0</v>
      </c>
      <c r="T391" s="9">
        <f t="shared" si="159"/>
        <v>0</v>
      </c>
      <c r="U391" s="9">
        <f t="shared" si="160"/>
        <v>0</v>
      </c>
      <c r="V391" s="9">
        <f t="shared" si="161"/>
        <v>0</v>
      </c>
      <c r="W391" s="9">
        <f t="shared" si="162"/>
        <v>0</v>
      </c>
      <c r="X391" s="9">
        <f t="shared" si="163"/>
        <v>0</v>
      </c>
      <c r="Y391" s="9">
        <f t="shared" si="164"/>
        <v>0</v>
      </c>
      <c r="Z391" s="9">
        <f t="shared" si="165"/>
        <v>0</v>
      </c>
      <c r="AA391" s="10">
        <f t="shared" si="166"/>
        <v>0</v>
      </c>
    </row>
    <row r="392" spans="1:27" x14ac:dyDescent="0.3">
      <c r="A392" s="4" t="s">
        <v>1303</v>
      </c>
      <c r="B392" s="4">
        <f t="shared" si="144"/>
        <v>0</v>
      </c>
      <c r="C392" s="4">
        <f t="shared" si="145"/>
        <v>0</v>
      </c>
      <c r="D392" s="4">
        <f t="shared" si="146"/>
        <v>0</v>
      </c>
      <c r="E392" s="4">
        <f t="shared" si="147"/>
        <v>0</v>
      </c>
      <c r="F392" s="4">
        <f t="shared" si="148"/>
        <v>1</v>
      </c>
      <c r="G392" s="4">
        <f t="shared" si="149"/>
        <v>0</v>
      </c>
      <c r="I392" s="11" t="s">
        <v>977</v>
      </c>
      <c r="J392" s="9">
        <f t="shared" si="150"/>
        <v>1</v>
      </c>
      <c r="K392" s="9">
        <f t="shared" si="167"/>
        <v>0</v>
      </c>
      <c r="L392" s="9">
        <f t="shared" si="151"/>
        <v>0</v>
      </c>
      <c r="M392" s="9">
        <f t="shared" si="152"/>
        <v>0</v>
      </c>
      <c r="N392" s="9">
        <f t="shared" si="153"/>
        <v>0</v>
      </c>
      <c r="O392" s="9">
        <f t="shared" si="154"/>
        <v>0</v>
      </c>
      <c r="P392" s="9">
        <f t="shared" si="155"/>
        <v>0</v>
      </c>
      <c r="Q392" s="9">
        <f t="shared" si="156"/>
        <v>0</v>
      </c>
      <c r="R392" s="9">
        <f t="shared" si="157"/>
        <v>0</v>
      </c>
      <c r="S392" s="9">
        <f t="shared" si="158"/>
        <v>0</v>
      </c>
      <c r="T392" s="9">
        <f t="shared" si="159"/>
        <v>0</v>
      </c>
      <c r="U392" s="9">
        <f t="shared" si="160"/>
        <v>0</v>
      </c>
      <c r="V392" s="9">
        <f t="shared" si="161"/>
        <v>0</v>
      </c>
      <c r="W392" s="9">
        <f t="shared" si="162"/>
        <v>0</v>
      </c>
      <c r="X392" s="9">
        <f t="shared" si="163"/>
        <v>0</v>
      </c>
      <c r="Y392" s="9">
        <f t="shared" si="164"/>
        <v>0</v>
      </c>
      <c r="Z392" s="9">
        <f t="shared" si="165"/>
        <v>0</v>
      </c>
      <c r="AA392" s="10">
        <f t="shared" si="166"/>
        <v>0</v>
      </c>
    </row>
    <row r="393" spans="1:27" x14ac:dyDescent="0.3">
      <c r="A393" s="18" t="s">
        <v>1303</v>
      </c>
      <c r="B393" s="4">
        <f t="shared" si="144"/>
        <v>0</v>
      </c>
      <c r="C393" s="4">
        <f t="shared" si="145"/>
        <v>0</v>
      </c>
      <c r="D393" s="4">
        <f t="shared" si="146"/>
        <v>0</v>
      </c>
      <c r="E393" s="4">
        <f t="shared" si="147"/>
        <v>0</v>
      </c>
      <c r="F393" s="4">
        <f t="shared" si="148"/>
        <v>1</v>
      </c>
      <c r="G393" s="4">
        <f t="shared" si="149"/>
        <v>0</v>
      </c>
      <c r="I393" s="8" t="s">
        <v>982</v>
      </c>
      <c r="J393" s="9">
        <f t="shared" si="150"/>
        <v>0</v>
      </c>
      <c r="K393" s="9">
        <f t="shared" si="167"/>
        <v>1</v>
      </c>
      <c r="L393" s="9">
        <f t="shared" si="151"/>
        <v>0</v>
      </c>
      <c r="M393" s="9">
        <f t="shared" si="152"/>
        <v>0</v>
      </c>
      <c r="N393" s="9">
        <f t="shared" si="153"/>
        <v>0</v>
      </c>
      <c r="O393" s="9">
        <f t="shared" si="154"/>
        <v>0</v>
      </c>
      <c r="P393" s="9">
        <f t="shared" si="155"/>
        <v>0</v>
      </c>
      <c r="Q393" s="9">
        <f t="shared" si="156"/>
        <v>0</v>
      </c>
      <c r="R393" s="9">
        <f t="shared" si="157"/>
        <v>0</v>
      </c>
      <c r="S393" s="9">
        <f t="shared" si="158"/>
        <v>0</v>
      </c>
      <c r="T393" s="9">
        <f t="shared" si="159"/>
        <v>0</v>
      </c>
      <c r="U393" s="9">
        <f t="shared" si="160"/>
        <v>0</v>
      </c>
      <c r="V393" s="9">
        <f t="shared" si="161"/>
        <v>0</v>
      </c>
      <c r="W393" s="9">
        <f t="shared" si="162"/>
        <v>0</v>
      </c>
      <c r="X393" s="9">
        <f t="shared" si="163"/>
        <v>0</v>
      </c>
      <c r="Y393" s="9">
        <f t="shared" si="164"/>
        <v>0</v>
      </c>
      <c r="Z393" s="9">
        <f t="shared" si="165"/>
        <v>0</v>
      </c>
      <c r="AA393" s="10">
        <f t="shared" si="166"/>
        <v>0</v>
      </c>
    </row>
    <row r="394" spans="1:27" x14ac:dyDescent="0.3">
      <c r="A394" s="4" t="s">
        <v>1305</v>
      </c>
      <c r="B394" s="4">
        <f t="shared" si="144"/>
        <v>0</v>
      </c>
      <c r="C394" s="4">
        <f t="shared" si="145"/>
        <v>0</v>
      </c>
      <c r="D394" s="4">
        <f t="shared" si="146"/>
        <v>0</v>
      </c>
      <c r="E394" s="4">
        <f t="shared" si="147"/>
        <v>0</v>
      </c>
      <c r="F394" s="4">
        <f t="shared" si="148"/>
        <v>0</v>
      </c>
      <c r="G394" s="4">
        <f t="shared" si="149"/>
        <v>1</v>
      </c>
      <c r="I394" s="11" t="s">
        <v>996</v>
      </c>
      <c r="J394" s="9">
        <f t="shared" si="150"/>
        <v>0</v>
      </c>
      <c r="K394" s="9">
        <f t="shared" si="167"/>
        <v>0</v>
      </c>
      <c r="L394" s="9">
        <f t="shared" si="151"/>
        <v>0</v>
      </c>
      <c r="M394" s="9">
        <f t="shared" si="152"/>
        <v>0</v>
      </c>
      <c r="N394" s="9">
        <f t="shared" si="153"/>
        <v>0</v>
      </c>
      <c r="O394" s="9">
        <f t="shared" si="154"/>
        <v>0</v>
      </c>
      <c r="P394" s="9">
        <f t="shared" si="155"/>
        <v>0</v>
      </c>
      <c r="Q394" s="9">
        <f t="shared" si="156"/>
        <v>1</v>
      </c>
      <c r="R394" s="9">
        <f t="shared" si="157"/>
        <v>0</v>
      </c>
      <c r="S394" s="9">
        <f t="shared" si="158"/>
        <v>0</v>
      </c>
      <c r="T394" s="9">
        <f t="shared" si="159"/>
        <v>0</v>
      </c>
      <c r="U394" s="9">
        <f t="shared" si="160"/>
        <v>0</v>
      </c>
      <c r="V394" s="9">
        <f t="shared" si="161"/>
        <v>0</v>
      </c>
      <c r="W394" s="9">
        <f t="shared" si="162"/>
        <v>0</v>
      </c>
      <c r="X394" s="9">
        <f t="shared" si="163"/>
        <v>0</v>
      </c>
      <c r="Y394" s="9">
        <f t="shared" si="164"/>
        <v>0</v>
      </c>
      <c r="Z394" s="9">
        <f t="shared" si="165"/>
        <v>0</v>
      </c>
      <c r="AA394" s="10">
        <f t="shared" si="166"/>
        <v>0</v>
      </c>
    </row>
    <row r="395" spans="1:27" x14ac:dyDescent="0.3">
      <c r="A395" s="18" t="s">
        <v>1302</v>
      </c>
      <c r="B395" s="4">
        <f t="shared" si="144"/>
        <v>1</v>
      </c>
      <c r="C395" s="4">
        <f t="shared" si="145"/>
        <v>0</v>
      </c>
      <c r="D395" s="4">
        <f t="shared" si="146"/>
        <v>0</v>
      </c>
      <c r="E395" s="4">
        <f t="shared" si="147"/>
        <v>0</v>
      </c>
      <c r="F395" s="4">
        <f t="shared" si="148"/>
        <v>0</v>
      </c>
      <c r="G395" s="4">
        <f t="shared" si="149"/>
        <v>0</v>
      </c>
      <c r="I395" s="8" t="s">
        <v>982</v>
      </c>
      <c r="J395" s="9">
        <f t="shared" si="150"/>
        <v>0</v>
      </c>
      <c r="K395" s="9">
        <f t="shared" si="167"/>
        <v>1</v>
      </c>
      <c r="L395" s="9">
        <f t="shared" si="151"/>
        <v>0</v>
      </c>
      <c r="M395" s="9">
        <f t="shared" si="152"/>
        <v>0</v>
      </c>
      <c r="N395" s="9">
        <f t="shared" si="153"/>
        <v>0</v>
      </c>
      <c r="O395" s="9">
        <f t="shared" si="154"/>
        <v>0</v>
      </c>
      <c r="P395" s="9">
        <f t="shared" si="155"/>
        <v>0</v>
      </c>
      <c r="Q395" s="9">
        <f t="shared" si="156"/>
        <v>0</v>
      </c>
      <c r="R395" s="9">
        <f t="shared" si="157"/>
        <v>0</v>
      </c>
      <c r="S395" s="9">
        <f t="shared" si="158"/>
        <v>0</v>
      </c>
      <c r="T395" s="9">
        <f t="shared" si="159"/>
        <v>0</v>
      </c>
      <c r="U395" s="9">
        <f t="shared" si="160"/>
        <v>0</v>
      </c>
      <c r="V395" s="9">
        <f t="shared" si="161"/>
        <v>0</v>
      </c>
      <c r="W395" s="9">
        <f t="shared" si="162"/>
        <v>0</v>
      </c>
      <c r="X395" s="9">
        <f t="shared" si="163"/>
        <v>0</v>
      </c>
      <c r="Y395" s="9">
        <f t="shared" si="164"/>
        <v>0</v>
      </c>
      <c r="Z395" s="9">
        <f t="shared" si="165"/>
        <v>0</v>
      </c>
      <c r="AA395" s="10">
        <f t="shared" si="166"/>
        <v>0</v>
      </c>
    </row>
    <row r="396" spans="1:27" x14ac:dyDescent="0.3">
      <c r="A396" s="4" t="s">
        <v>1303</v>
      </c>
      <c r="B396" s="4">
        <f t="shared" si="144"/>
        <v>0</v>
      </c>
      <c r="C396" s="4">
        <f t="shared" si="145"/>
        <v>0</v>
      </c>
      <c r="D396" s="4">
        <f t="shared" si="146"/>
        <v>0</v>
      </c>
      <c r="E396" s="4">
        <f t="shared" si="147"/>
        <v>0</v>
      </c>
      <c r="F396" s="4">
        <f t="shared" si="148"/>
        <v>1</v>
      </c>
      <c r="G396" s="4">
        <f t="shared" si="149"/>
        <v>0</v>
      </c>
      <c r="I396" s="11" t="s">
        <v>988</v>
      </c>
      <c r="J396" s="9">
        <f t="shared" si="150"/>
        <v>0</v>
      </c>
      <c r="K396" s="9">
        <f t="shared" si="167"/>
        <v>0</v>
      </c>
      <c r="L396" s="9">
        <f t="shared" si="151"/>
        <v>1</v>
      </c>
      <c r="M396" s="9">
        <f t="shared" si="152"/>
        <v>0</v>
      </c>
      <c r="N396" s="9">
        <f t="shared" si="153"/>
        <v>0</v>
      </c>
      <c r="O396" s="9">
        <f t="shared" si="154"/>
        <v>0</v>
      </c>
      <c r="P396" s="9">
        <f t="shared" si="155"/>
        <v>0</v>
      </c>
      <c r="Q396" s="9">
        <f t="shared" si="156"/>
        <v>0</v>
      </c>
      <c r="R396" s="9">
        <f t="shared" si="157"/>
        <v>0</v>
      </c>
      <c r="S396" s="9">
        <f t="shared" si="158"/>
        <v>0</v>
      </c>
      <c r="T396" s="9">
        <f t="shared" si="159"/>
        <v>0</v>
      </c>
      <c r="U396" s="9">
        <f t="shared" si="160"/>
        <v>0</v>
      </c>
      <c r="V396" s="9">
        <f t="shared" si="161"/>
        <v>0</v>
      </c>
      <c r="W396" s="9">
        <f t="shared" si="162"/>
        <v>0</v>
      </c>
      <c r="X396" s="9">
        <f t="shared" si="163"/>
        <v>0</v>
      </c>
      <c r="Y396" s="9">
        <f t="shared" si="164"/>
        <v>0</v>
      </c>
      <c r="Z396" s="9">
        <f t="shared" si="165"/>
        <v>0</v>
      </c>
      <c r="AA396" s="10">
        <f t="shared" si="166"/>
        <v>0</v>
      </c>
    </row>
    <row r="397" spans="1:27" x14ac:dyDescent="0.3">
      <c r="A397" s="18" t="s">
        <v>1303</v>
      </c>
      <c r="B397" s="4">
        <f t="shared" si="144"/>
        <v>0</v>
      </c>
      <c r="C397" s="4">
        <f t="shared" si="145"/>
        <v>0</v>
      </c>
      <c r="D397" s="4">
        <f t="shared" si="146"/>
        <v>0</v>
      </c>
      <c r="E397" s="4">
        <f t="shared" si="147"/>
        <v>0</v>
      </c>
      <c r="F397" s="4">
        <f t="shared" si="148"/>
        <v>1</v>
      </c>
      <c r="G397" s="4">
        <f t="shared" si="149"/>
        <v>0</v>
      </c>
      <c r="I397" s="8" t="s">
        <v>977</v>
      </c>
      <c r="J397" s="9">
        <f t="shared" si="150"/>
        <v>1</v>
      </c>
      <c r="K397" s="9">
        <f t="shared" si="167"/>
        <v>0</v>
      </c>
      <c r="L397" s="9">
        <f t="shared" si="151"/>
        <v>0</v>
      </c>
      <c r="M397" s="9">
        <f t="shared" si="152"/>
        <v>0</v>
      </c>
      <c r="N397" s="9">
        <f t="shared" si="153"/>
        <v>0</v>
      </c>
      <c r="O397" s="9">
        <f t="shared" si="154"/>
        <v>0</v>
      </c>
      <c r="P397" s="9">
        <f t="shared" si="155"/>
        <v>0</v>
      </c>
      <c r="Q397" s="9">
        <f t="shared" si="156"/>
        <v>0</v>
      </c>
      <c r="R397" s="9">
        <f t="shared" si="157"/>
        <v>0</v>
      </c>
      <c r="S397" s="9">
        <f t="shared" si="158"/>
        <v>0</v>
      </c>
      <c r="T397" s="9">
        <f t="shared" si="159"/>
        <v>0</v>
      </c>
      <c r="U397" s="9">
        <f t="shared" si="160"/>
        <v>0</v>
      </c>
      <c r="V397" s="9">
        <f t="shared" si="161"/>
        <v>0</v>
      </c>
      <c r="W397" s="9">
        <f t="shared" si="162"/>
        <v>0</v>
      </c>
      <c r="X397" s="9">
        <f t="shared" si="163"/>
        <v>0</v>
      </c>
      <c r="Y397" s="9">
        <f t="shared" si="164"/>
        <v>0</v>
      </c>
      <c r="Z397" s="9">
        <f t="shared" si="165"/>
        <v>0</v>
      </c>
      <c r="AA397" s="10">
        <f t="shared" si="166"/>
        <v>0</v>
      </c>
    </row>
    <row r="398" spans="1:27" x14ac:dyDescent="0.3">
      <c r="A398" s="4" t="s">
        <v>1304</v>
      </c>
      <c r="B398" s="4">
        <f t="shared" si="144"/>
        <v>0</v>
      </c>
      <c r="C398" s="4">
        <f t="shared" si="145"/>
        <v>1</v>
      </c>
      <c r="D398" s="4">
        <f t="shared" si="146"/>
        <v>0</v>
      </c>
      <c r="E398" s="4">
        <f t="shared" si="147"/>
        <v>0</v>
      </c>
      <c r="F398" s="4">
        <f t="shared" si="148"/>
        <v>0</v>
      </c>
      <c r="G398" s="4">
        <f t="shared" si="149"/>
        <v>0</v>
      </c>
      <c r="I398" s="11" t="s">
        <v>988</v>
      </c>
      <c r="J398" s="9">
        <f t="shared" si="150"/>
        <v>0</v>
      </c>
      <c r="K398" s="9">
        <f t="shared" si="167"/>
        <v>0</v>
      </c>
      <c r="L398" s="9">
        <f t="shared" si="151"/>
        <v>1</v>
      </c>
      <c r="M398" s="9">
        <f t="shared" si="152"/>
        <v>0</v>
      </c>
      <c r="N398" s="9">
        <f t="shared" si="153"/>
        <v>0</v>
      </c>
      <c r="O398" s="9">
        <f t="shared" si="154"/>
        <v>0</v>
      </c>
      <c r="P398" s="9">
        <f t="shared" si="155"/>
        <v>0</v>
      </c>
      <c r="Q398" s="9">
        <f t="shared" si="156"/>
        <v>0</v>
      </c>
      <c r="R398" s="9">
        <f t="shared" si="157"/>
        <v>0</v>
      </c>
      <c r="S398" s="9">
        <f t="shared" si="158"/>
        <v>0</v>
      </c>
      <c r="T398" s="9">
        <f t="shared" si="159"/>
        <v>0</v>
      </c>
      <c r="U398" s="9">
        <f t="shared" si="160"/>
        <v>0</v>
      </c>
      <c r="V398" s="9">
        <f t="shared" si="161"/>
        <v>0</v>
      </c>
      <c r="W398" s="9">
        <f t="shared" si="162"/>
        <v>0</v>
      </c>
      <c r="X398" s="9">
        <f t="shared" si="163"/>
        <v>0</v>
      </c>
      <c r="Y398" s="9">
        <f t="shared" si="164"/>
        <v>0</v>
      </c>
      <c r="Z398" s="9">
        <f t="shared" si="165"/>
        <v>0</v>
      </c>
      <c r="AA398" s="10">
        <f t="shared" si="166"/>
        <v>0</v>
      </c>
    </row>
    <row r="399" spans="1:27" x14ac:dyDescent="0.3">
      <c r="A399" s="18" t="s">
        <v>1303</v>
      </c>
      <c r="B399" s="4">
        <f t="shared" si="144"/>
        <v>0</v>
      </c>
      <c r="C399" s="4">
        <f t="shared" si="145"/>
        <v>0</v>
      </c>
      <c r="D399" s="4">
        <f t="shared" si="146"/>
        <v>0</v>
      </c>
      <c r="E399" s="4">
        <f t="shared" si="147"/>
        <v>0</v>
      </c>
      <c r="F399" s="4">
        <f t="shared" si="148"/>
        <v>1</v>
      </c>
      <c r="G399" s="4">
        <f t="shared" si="149"/>
        <v>0</v>
      </c>
      <c r="I399" s="8" t="s">
        <v>977</v>
      </c>
      <c r="J399" s="9">
        <f t="shared" si="150"/>
        <v>1</v>
      </c>
      <c r="K399" s="9">
        <f t="shared" si="167"/>
        <v>0</v>
      </c>
      <c r="L399" s="9">
        <f t="shared" si="151"/>
        <v>0</v>
      </c>
      <c r="M399" s="9">
        <f t="shared" si="152"/>
        <v>0</v>
      </c>
      <c r="N399" s="9">
        <f t="shared" si="153"/>
        <v>0</v>
      </c>
      <c r="O399" s="9">
        <f t="shared" si="154"/>
        <v>0</v>
      </c>
      <c r="P399" s="9">
        <f t="shared" si="155"/>
        <v>0</v>
      </c>
      <c r="Q399" s="9">
        <f t="shared" si="156"/>
        <v>0</v>
      </c>
      <c r="R399" s="9">
        <f t="shared" si="157"/>
        <v>0</v>
      </c>
      <c r="S399" s="9">
        <f t="shared" si="158"/>
        <v>0</v>
      </c>
      <c r="T399" s="9">
        <f t="shared" si="159"/>
        <v>0</v>
      </c>
      <c r="U399" s="9">
        <f t="shared" si="160"/>
        <v>0</v>
      </c>
      <c r="V399" s="9">
        <f t="shared" si="161"/>
        <v>0</v>
      </c>
      <c r="W399" s="9">
        <f t="shared" si="162"/>
        <v>0</v>
      </c>
      <c r="X399" s="9">
        <f t="shared" si="163"/>
        <v>0</v>
      </c>
      <c r="Y399" s="9">
        <f t="shared" si="164"/>
        <v>0</v>
      </c>
      <c r="Z399" s="9">
        <f t="shared" si="165"/>
        <v>0</v>
      </c>
      <c r="AA399" s="10">
        <f t="shared" si="166"/>
        <v>0</v>
      </c>
    </row>
    <row r="400" spans="1:27" x14ac:dyDescent="0.3">
      <c r="A400" s="4" t="s">
        <v>1305</v>
      </c>
      <c r="B400" s="4">
        <f t="shared" si="144"/>
        <v>0</v>
      </c>
      <c r="C400" s="4">
        <f t="shared" si="145"/>
        <v>0</v>
      </c>
      <c r="D400" s="4">
        <f t="shared" si="146"/>
        <v>0</v>
      </c>
      <c r="E400" s="4">
        <f t="shared" si="147"/>
        <v>0</v>
      </c>
      <c r="F400" s="4">
        <f t="shared" si="148"/>
        <v>0</v>
      </c>
      <c r="G400" s="4">
        <f t="shared" si="149"/>
        <v>1</v>
      </c>
      <c r="I400" s="11" t="s">
        <v>977</v>
      </c>
      <c r="J400" s="9">
        <f t="shared" si="150"/>
        <v>1</v>
      </c>
      <c r="K400" s="9">
        <f t="shared" si="167"/>
        <v>0</v>
      </c>
      <c r="L400" s="9">
        <f t="shared" si="151"/>
        <v>0</v>
      </c>
      <c r="M400" s="9">
        <f t="shared" si="152"/>
        <v>0</v>
      </c>
      <c r="N400" s="9">
        <f t="shared" si="153"/>
        <v>0</v>
      </c>
      <c r="O400" s="9">
        <f t="shared" si="154"/>
        <v>0</v>
      </c>
      <c r="P400" s="9">
        <f t="shared" si="155"/>
        <v>0</v>
      </c>
      <c r="Q400" s="9">
        <f t="shared" si="156"/>
        <v>0</v>
      </c>
      <c r="R400" s="9">
        <f t="shared" si="157"/>
        <v>0</v>
      </c>
      <c r="S400" s="9">
        <f t="shared" si="158"/>
        <v>0</v>
      </c>
      <c r="T400" s="9">
        <f t="shared" si="159"/>
        <v>0</v>
      </c>
      <c r="U400" s="9">
        <f t="shared" si="160"/>
        <v>0</v>
      </c>
      <c r="V400" s="9">
        <f t="shared" si="161"/>
        <v>0</v>
      </c>
      <c r="W400" s="9">
        <f t="shared" si="162"/>
        <v>0</v>
      </c>
      <c r="X400" s="9">
        <f t="shared" si="163"/>
        <v>0</v>
      </c>
      <c r="Y400" s="9">
        <f t="shared" si="164"/>
        <v>0</v>
      </c>
      <c r="Z400" s="9">
        <f t="shared" si="165"/>
        <v>0</v>
      </c>
      <c r="AA400" s="10">
        <f t="shared" si="166"/>
        <v>0</v>
      </c>
    </row>
    <row r="401" spans="1:27" x14ac:dyDescent="0.3">
      <c r="A401" s="18" t="s">
        <v>1303</v>
      </c>
      <c r="B401" s="4">
        <f t="shared" si="144"/>
        <v>0</v>
      </c>
      <c r="C401" s="4">
        <f t="shared" si="145"/>
        <v>0</v>
      </c>
      <c r="D401" s="4">
        <f t="shared" si="146"/>
        <v>0</v>
      </c>
      <c r="E401" s="4">
        <f t="shared" si="147"/>
        <v>0</v>
      </c>
      <c r="F401" s="4">
        <f t="shared" si="148"/>
        <v>1</v>
      </c>
      <c r="G401" s="4">
        <f t="shared" si="149"/>
        <v>0</v>
      </c>
      <c r="I401" s="8" t="s">
        <v>994</v>
      </c>
      <c r="J401" s="9">
        <f t="shared" si="150"/>
        <v>0</v>
      </c>
      <c r="K401" s="9">
        <f t="shared" si="167"/>
        <v>0</v>
      </c>
      <c r="L401" s="9">
        <f t="shared" si="151"/>
        <v>0</v>
      </c>
      <c r="M401" s="9">
        <f t="shared" si="152"/>
        <v>0</v>
      </c>
      <c r="N401" s="9">
        <f t="shared" si="153"/>
        <v>0</v>
      </c>
      <c r="O401" s="9">
        <f t="shared" si="154"/>
        <v>0</v>
      </c>
      <c r="P401" s="9">
        <f t="shared" si="155"/>
        <v>1</v>
      </c>
      <c r="Q401" s="9">
        <f t="shared" si="156"/>
        <v>0</v>
      </c>
      <c r="R401" s="9">
        <f t="shared" si="157"/>
        <v>0</v>
      </c>
      <c r="S401" s="9">
        <f t="shared" si="158"/>
        <v>0</v>
      </c>
      <c r="T401" s="9">
        <f t="shared" si="159"/>
        <v>0</v>
      </c>
      <c r="U401" s="9">
        <f t="shared" si="160"/>
        <v>0</v>
      </c>
      <c r="V401" s="9">
        <f t="shared" si="161"/>
        <v>0</v>
      </c>
      <c r="W401" s="9">
        <f t="shared" si="162"/>
        <v>0</v>
      </c>
      <c r="X401" s="9">
        <f t="shared" si="163"/>
        <v>0</v>
      </c>
      <c r="Y401" s="9">
        <f t="shared" si="164"/>
        <v>0</v>
      </c>
      <c r="Z401" s="9">
        <f t="shared" si="165"/>
        <v>0</v>
      </c>
      <c r="AA401" s="10">
        <f t="shared" si="166"/>
        <v>0</v>
      </c>
    </row>
    <row r="402" spans="1:27" x14ac:dyDescent="0.3">
      <c r="A402" s="4" t="s">
        <v>1303</v>
      </c>
      <c r="B402" s="4">
        <f t="shared" si="144"/>
        <v>0</v>
      </c>
      <c r="C402" s="4">
        <f t="shared" si="145"/>
        <v>0</v>
      </c>
      <c r="D402" s="4">
        <f t="shared" si="146"/>
        <v>0</v>
      </c>
      <c r="E402" s="4">
        <f t="shared" si="147"/>
        <v>0</v>
      </c>
      <c r="F402" s="4">
        <f t="shared" si="148"/>
        <v>1</v>
      </c>
      <c r="G402" s="4">
        <f t="shared" si="149"/>
        <v>0</v>
      </c>
      <c r="I402" s="11" t="s">
        <v>1026</v>
      </c>
      <c r="J402" s="9">
        <f t="shared" si="150"/>
        <v>0</v>
      </c>
      <c r="K402" s="9">
        <f t="shared" si="167"/>
        <v>0</v>
      </c>
      <c r="L402" s="9">
        <f t="shared" si="151"/>
        <v>0</v>
      </c>
      <c r="M402" s="9">
        <f t="shared" si="152"/>
        <v>0</v>
      </c>
      <c r="N402" s="9">
        <f t="shared" si="153"/>
        <v>0</v>
      </c>
      <c r="O402" s="9">
        <f t="shared" si="154"/>
        <v>0</v>
      </c>
      <c r="P402" s="9">
        <f t="shared" si="155"/>
        <v>0</v>
      </c>
      <c r="Q402" s="9">
        <f t="shared" si="156"/>
        <v>0</v>
      </c>
      <c r="R402" s="9">
        <f t="shared" si="157"/>
        <v>0</v>
      </c>
      <c r="S402" s="9">
        <f t="shared" si="158"/>
        <v>0</v>
      </c>
      <c r="T402" s="9">
        <f t="shared" si="159"/>
        <v>1</v>
      </c>
      <c r="U402" s="9">
        <f t="shared" si="160"/>
        <v>0</v>
      </c>
      <c r="V402" s="9">
        <f t="shared" si="161"/>
        <v>0</v>
      </c>
      <c r="W402" s="9">
        <f t="shared" si="162"/>
        <v>0</v>
      </c>
      <c r="X402" s="9">
        <f t="shared" si="163"/>
        <v>0</v>
      </c>
      <c r="Y402" s="9">
        <f t="shared" si="164"/>
        <v>0</v>
      </c>
      <c r="Z402" s="9">
        <f t="shared" si="165"/>
        <v>0</v>
      </c>
      <c r="AA402" s="10">
        <f t="shared" si="166"/>
        <v>0</v>
      </c>
    </row>
    <row r="403" spans="1:27" x14ac:dyDescent="0.3">
      <c r="A403" s="18" t="s">
        <v>1304</v>
      </c>
      <c r="B403" s="4">
        <f t="shared" si="144"/>
        <v>0</v>
      </c>
      <c r="C403" s="4">
        <f t="shared" si="145"/>
        <v>1</v>
      </c>
      <c r="D403" s="4">
        <f t="shared" si="146"/>
        <v>0</v>
      </c>
      <c r="E403" s="4">
        <f t="shared" si="147"/>
        <v>0</v>
      </c>
      <c r="F403" s="4">
        <f t="shared" si="148"/>
        <v>0</v>
      </c>
      <c r="G403" s="4">
        <f t="shared" si="149"/>
        <v>0</v>
      </c>
      <c r="I403" s="8" t="s">
        <v>1088</v>
      </c>
      <c r="J403" s="9">
        <f t="shared" si="150"/>
        <v>0</v>
      </c>
      <c r="K403" s="9">
        <f t="shared" si="167"/>
        <v>0</v>
      </c>
      <c r="L403" s="9">
        <f t="shared" si="151"/>
        <v>0</v>
      </c>
      <c r="M403" s="9">
        <f t="shared" si="152"/>
        <v>0</v>
      </c>
      <c r="N403" s="9">
        <f t="shared" si="153"/>
        <v>0</v>
      </c>
      <c r="O403" s="9">
        <f t="shared" si="154"/>
        <v>0</v>
      </c>
      <c r="P403" s="9">
        <f t="shared" si="155"/>
        <v>0</v>
      </c>
      <c r="Q403" s="9">
        <f t="shared" si="156"/>
        <v>0</v>
      </c>
      <c r="R403" s="9">
        <f t="shared" si="157"/>
        <v>0</v>
      </c>
      <c r="S403" s="9">
        <f t="shared" si="158"/>
        <v>0</v>
      </c>
      <c r="T403" s="9">
        <f t="shared" si="159"/>
        <v>0</v>
      </c>
      <c r="U403" s="9">
        <f t="shared" si="160"/>
        <v>0</v>
      </c>
      <c r="V403" s="9">
        <f t="shared" si="161"/>
        <v>0</v>
      </c>
      <c r="W403" s="9">
        <f t="shared" si="162"/>
        <v>0</v>
      </c>
      <c r="X403" s="9">
        <f t="shared" si="163"/>
        <v>0</v>
      </c>
      <c r="Y403" s="9">
        <f t="shared" si="164"/>
        <v>0</v>
      </c>
      <c r="Z403" s="9">
        <f t="shared" si="165"/>
        <v>1</v>
      </c>
      <c r="AA403" s="10">
        <f t="shared" si="166"/>
        <v>0</v>
      </c>
    </row>
    <row r="404" spans="1:27" x14ac:dyDescent="0.3">
      <c r="A404" s="4" t="s">
        <v>1294</v>
      </c>
      <c r="B404" s="4">
        <f t="shared" si="144"/>
        <v>0</v>
      </c>
      <c r="C404" s="4">
        <f t="shared" si="145"/>
        <v>0</v>
      </c>
      <c r="D404" s="4">
        <f t="shared" si="146"/>
        <v>0</v>
      </c>
      <c r="E404" s="4">
        <f t="shared" si="147"/>
        <v>0</v>
      </c>
      <c r="F404" s="4">
        <f t="shared" si="148"/>
        <v>0</v>
      </c>
      <c r="G404" s="4">
        <f t="shared" si="149"/>
        <v>0</v>
      </c>
      <c r="I404" s="11" t="s">
        <v>994</v>
      </c>
      <c r="J404" s="9">
        <f t="shared" si="150"/>
        <v>0</v>
      </c>
      <c r="K404" s="9">
        <f t="shared" si="167"/>
        <v>0</v>
      </c>
      <c r="L404" s="9">
        <f t="shared" si="151"/>
        <v>0</v>
      </c>
      <c r="M404" s="9">
        <f t="shared" si="152"/>
        <v>0</v>
      </c>
      <c r="N404" s="9">
        <f t="shared" si="153"/>
        <v>0</v>
      </c>
      <c r="O404" s="9">
        <f t="shared" si="154"/>
        <v>0</v>
      </c>
      <c r="P404" s="9">
        <f t="shared" si="155"/>
        <v>1</v>
      </c>
      <c r="Q404" s="9">
        <f t="shared" si="156"/>
        <v>0</v>
      </c>
      <c r="R404" s="9">
        <f t="shared" si="157"/>
        <v>0</v>
      </c>
      <c r="S404" s="9">
        <f t="shared" si="158"/>
        <v>0</v>
      </c>
      <c r="T404" s="9">
        <f t="shared" si="159"/>
        <v>0</v>
      </c>
      <c r="U404" s="9">
        <f t="shared" si="160"/>
        <v>0</v>
      </c>
      <c r="V404" s="9">
        <f t="shared" si="161"/>
        <v>0</v>
      </c>
      <c r="W404" s="9">
        <f t="shared" si="162"/>
        <v>0</v>
      </c>
      <c r="X404" s="9">
        <f t="shared" si="163"/>
        <v>0</v>
      </c>
      <c r="Y404" s="9">
        <f t="shared" si="164"/>
        <v>0</v>
      </c>
      <c r="Z404" s="9">
        <f t="shared" si="165"/>
        <v>0</v>
      </c>
      <c r="AA404" s="10">
        <f t="shared" si="166"/>
        <v>0</v>
      </c>
    </row>
    <row r="405" spans="1:27" x14ac:dyDescent="0.3">
      <c r="A405" s="18" t="s">
        <v>1303</v>
      </c>
      <c r="B405" s="4">
        <f t="shared" si="144"/>
        <v>0</v>
      </c>
      <c r="C405" s="4">
        <f t="shared" si="145"/>
        <v>0</v>
      </c>
      <c r="D405" s="4">
        <f t="shared" si="146"/>
        <v>0</v>
      </c>
      <c r="E405" s="4">
        <f t="shared" si="147"/>
        <v>0</v>
      </c>
      <c r="F405" s="4">
        <f t="shared" si="148"/>
        <v>1</v>
      </c>
      <c r="G405" s="4">
        <f t="shared" si="149"/>
        <v>0</v>
      </c>
      <c r="I405" s="8" t="s">
        <v>982</v>
      </c>
      <c r="J405" s="9">
        <f t="shared" si="150"/>
        <v>0</v>
      </c>
      <c r="K405" s="9">
        <f t="shared" si="167"/>
        <v>1</v>
      </c>
      <c r="L405" s="9">
        <f t="shared" si="151"/>
        <v>0</v>
      </c>
      <c r="M405" s="9">
        <f t="shared" si="152"/>
        <v>0</v>
      </c>
      <c r="N405" s="9">
        <f t="shared" si="153"/>
        <v>0</v>
      </c>
      <c r="O405" s="9">
        <f t="shared" si="154"/>
        <v>0</v>
      </c>
      <c r="P405" s="9">
        <f t="shared" si="155"/>
        <v>0</v>
      </c>
      <c r="Q405" s="9">
        <f t="shared" si="156"/>
        <v>0</v>
      </c>
      <c r="R405" s="9">
        <f t="shared" si="157"/>
        <v>0</v>
      </c>
      <c r="S405" s="9">
        <f t="shared" si="158"/>
        <v>0</v>
      </c>
      <c r="T405" s="9">
        <f t="shared" si="159"/>
        <v>0</v>
      </c>
      <c r="U405" s="9">
        <f t="shared" si="160"/>
        <v>0</v>
      </c>
      <c r="V405" s="9">
        <f t="shared" si="161"/>
        <v>0</v>
      </c>
      <c r="W405" s="9">
        <f t="shared" si="162"/>
        <v>0</v>
      </c>
      <c r="X405" s="9">
        <f t="shared" si="163"/>
        <v>0</v>
      </c>
      <c r="Y405" s="9">
        <f t="shared" si="164"/>
        <v>0</v>
      </c>
      <c r="Z405" s="9">
        <f t="shared" si="165"/>
        <v>0</v>
      </c>
      <c r="AA405" s="10">
        <f t="shared" si="166"/>
        <v>0</v>
      </c>
    </row>
    <row r="406" spans="1:27" x14ac:dyDescent="0.3">
      <c r="A406" s="4" t="s">
        <v>1303</v>
      </c>
      <c r="B406" s="4">
        <f t="shared" si="144"/>
        <v>0</v>
      </c>
      <c r="C406" s="4">
        <f t="shared" si="145"/>
        <v>0</v>
      </c>
      <c r="D406" s="4">
        <f t="shared" si="146"/>
        <v>0</v>
      </c>
      <c r="E406" s="4">
        <f t="shared" si="147"/>
        <v>0</v>
      </c>
      <c r="F406" s="4">
        <f t="shared" si="148"/>
        <v>1</v>
      </c>
      <c r="G406" s="4">
        <f t="shared" si="149"/>
        <v>0</v>
      </c>
      <c r="I406" s="11" t="s">
        <v>1044</v>
      </c>
      <c r="J406" s="9">
        <f t="shared" si="150"/>
        <v>0</v>
      </c>
      <c r="K406" s="9">
        <f t="shared" si="167"/>
        <v>0</v>
      </c>
      <c r="L406" s="9">
        <f t="shared" si="151"/>
        <v>0</v>
      </c>
      <c r="M406" s="9">
        <f t="shared" si="152"/>
        <v>0</v>
      </c>
      <c r="N406" s="9">
        <f t="shared" si="153"/>
        <v>0</v>
      </c>
      <c r="O406" s="9">
        <f t="shared" si="154"/>
        <v>0</v>
      </c>
      <c r="P406" s="9">
        <f t="shared" si="155"/>
        <v>0</v>
      </c>
      <c r="Q406" s="9">
        <f t="shared" si="156"/>
        <v>0</v>
      </c>
      <c r="R406" s="9">
        <f t="shared" si="157"/>
        <v>0</v>
      </c>
      <c r="S406" s="9">
        <f t="shared" si="158"/>
        <v>0</v>
      </c>
      <c r="T406" s="9">
        <f t="shared" si="159"/>
        <v>0</v>
      </c>
      <c r="U406" s="9">
        <f t="shared" si="160"/>
        <v>1</v>
      </c>
      <c r="V406" s="9">
        <f t="shared" si="161"/>
        <v>0</v>
      </c>
      <c r="W406" s="9">
        <f t="shared" si="162"/>
        <v>0</v>
      </c>
      <c r="X406" s="9">
        <f t="shared" si="163"/>
        <v>0</v>
      </c>
      <c r="Y406" s="9">
        <f t="shared" si="164"/>
        <v>0</v>
      </c>
      <c r="Z406" s="9">
        <f t="shared" si="165"/>
        <v>0</v>
      </c>
      <c r="AA406" s="10">
        <f t="shared" si="166"/>
        <v>0</v>
      </c>
    </row>
    <row r="407" spans="1:27" x14ac:dyDescent="0.3">
      <c r="A407" s="18" t="s">
        <v>1304</v>
      </c>
      <c r="B407" s="4">
        <f t="shared" si="144"/>
        <v>0</v>
      </c>
      <c r="C407" s="4">
        <f t="shared" si="145"/>
        <v>1</v>
      </c>
      <c r="D407" s="4">
        <f t="shared" si="146"/>
        <v>0</v>
      </c>
      <c r="E407" s="4">
        <f t="shared" si="147"/>
        <v>0</v>
      </c>
      <c r="F407" s="4">
        <f t="shared" si="148"/>
        <v>0</v>
      </c>
      <c r="G407" s="4">
        <f t="shared" si="149"/>
        <v>0</v>
      </c>
      <c r="I407" s="8" t="s">
        <v>988</v>
      </c>
      <c r="J407" s="9">
        <f t="shared" si="150"/>
        <v>0</v>
      </c>
      <c r="K407" s="9">
        <f t="shared" si="167"/>
        <v>0</v>
      </c>
      <c r="L407" s="9">
        <f t="shared" si="151"/>
        <v>1</v>
      </c>
      <c r="M407" s="9">
        <f t="shared" si="152"/>
        <v>0</v>
      </c>
      <c r="N407" s="9">
        <f t="shared" si="153"/>
        <v>0</v>
      </c>
      <c r="O407" s="9">
        <f t="shared" si="154"/>
        <v>0</v>
      </c>
      <c r="P407" s="9">
        <f t="shared" si="155"/>
        <v>0</v>
      </c>
      <c r="Q407" s="9">
        <f t="shared" si="156"/>
        <v>0</v>
      </c>
      <c r="R407" s="9">
        <f t="shared" si="157"/>
        <v>0</v>
      </c>
      <c r="S407" s="9">
        <f t="shared" si="158"/>
        <v>0</v>
      </c>
      <c r="T407" s="9">
        <f t="shared" si="159"/>
        <v>0</v>
      </c>
      <c r="U407" s="9">
        <f t="shared" si="160"/>
        <v>0</v>
      </c>
      <c r="V407" s="9">
        <f t="shared" si="161"/>
        <v>0</v>
      </c>
      <c r="W407" s="9">
        <f t="shared" si="162"/>
        <v>0</v>
      </c>
      <c r="X407" s="9">
        <f t="shared" si="163"/>
        <v>0</v>
      </c>
      <c r="Y407" s="9">
        <f t="shared" si="164"/>
        <v>0</v>
      </c>
      <c r="Z407" s="9">
        <f t="shared" si="165"/>
        <v>0</v>
      </c>
      <c r="AA407" s="10">
        <f t="shared" si="166"/>
        <v>0</v>
      </c>
    </row>
    <row r="408" spans="1:27" x14ac:dyDescent="0.3">
      <c r="A408" s="4" t="s">
        <v>1304</v>
      </c>
      <c r="B408" s="4">
        <f t="shared" si="144"/>
        <v>0</v>
      </c>
      <c r="C408" s="4">
        <f t="shared" si="145"/>
        <v>1</v>
      </c>
      <c r="D408" s="4">
        <f t="shared" si="146"/>
        <v>0</v>
      </c>
      <c r="E408" s="4">
        <f t="shared" si="147"/>
        <v>0</v>
      </c>
      <c r="F408" s="4">
        <f t="shared" si="148"/>
        <v>0</v>
      </c>
      <c r="G408" s="4">
        <f t="shared" si="149"/>
        <v>0</v>
      </c>
      <c r="I408" s="11" t="s">
        <v>988</v>
      </c>
      <c r="J408" s="9">
        <f t="shared" si="150"/>
        <v>0</v>
      </c>
      <c r="K408" s="9">
        <f t="shared" si="167"/>
        <v>0</v>
      </c>
      <c r="L408" s="9">
        <f t="shared" si="151"/>
        <v>1</v>
      </c>
      <c r="M408" s="9">
        <f t="shared" si="152"/>
        <v>0</v>
      </c>
      <c r="N408" s="9">
        <f t="shared" si="153"/>
        <v>0</v>
      </c>
      <c r="O408" s="9">
        <f t="shared" si="154"/>
        <v>0</v>
      </c>
      <c r="P408" s="9">
        <f t="shared" si="155"/>
        <v>0</v>
      </c>
      <c r="Q408" s="9">
        <f t="shared" si="156"/>
        <v>0</v>
      </c>
      <c r="R408" s="9">
        <f t="shared" si="157"/>
        <v>0</v>
      </c>
      <c r="S408" s="9">
        <f t="shared" si="158"/>
        <v>0</v>
      </c>
      <c r="T408" s="9">
        <f t="shared" si="159"/>
        <v>0</v>
      </c>
      <c r="U408" s="9">
        <f t="shared" si="160"/>
        <v>0</v>
      </c>
      <c r="V408" s="9">
        <f t="shared" si="161"/>
        <v>0</v>
      </c>
      <c r="W408" s="9">
        <f t="shared" si="162"/>
        <v>0</v>
      </c>
      <c r="X408" s="9">
        <f t="shared" si="163"/>
        <v>0</v>
      </c>
      <c r="Y408" s="9">
        <f t="shared" si="164"/>
        <v>0</v>
      </c>
      <c r="Z408" s="9">
        <f t="shared" si="165"/>
        <v>0</v>
      </c>
      <c r="AA408" s="10">
        <f t="shared" si="166"/>
        <v>0</v>
      </c>
    </row>
    <row r="409" spans="1:27" x14ac:dyDescent="0.3">
      <c r="A409" s="18" t="s">
        <v>1303</v>
      </c>
      <c r="B409" s="4">
        <f t="shared" si="144"/>
        <v>0</v>
      </c>
      <c r="C409" s="4">
        <f t="shared" si="145"/>
        <v>0</v>
      </c>
      <c r="D409" s="4">
        <f t="shared" si="146"/>
        <v>0</v>
      </c>
      <c r="E409" s="4">
        <f t="shared" si="147"/>
        <v>0</v>
      </c>
      <c r="F409" s="4">
        <f t="shared" si="148"/>
        <v>1</v>
      </c>
      <c r="G409" s="4">
        <f t="shared" si="149"/>
        <v>0</v>
      </c>
      <c r="I409" s="8" t="s">
        <v>982</v>
      </c>
      <c r="J409" s="9">
        <f t="shared" si="150"/>
        <v>0</v>
      </c>
      <c r="K409" s="9">
        <f t="shared" si="167"/>
        <v>1</v>
      </c>
      <c r="L409" s="9">
        <f t="shared" si="151"/>
        <v>0</v>
      </c>
      <c r="M409" s="9">
        <f t="shared" si="152"/>
        <v>0</v>
      </c>
      <c r="N409" s="9">
        <f t="shared" si="153"/>
        <v>0</v>
      </c>
      <c r="O409" s="9">
        <f t="shared" si="154"/>
        <v>0</v>
      </c>
      <c r="P409" s="9">
        <f t="shared" si="155"/>
        <v>0</v>
      </c>
      <c r="Q409" s="9">
        <f t="shared" si="156"/>
        <v>0</v>
      </c>
      <c r="R409" s="9">
        <f t="shared" si="157"/>
        <v>0</v>
      </c>
      <c r="S409" s="9">
        <f t="shared" si="158"/>
        <v>0</v>
      </c>
      <c r="T409" s="9">
        <f t="shared" si="159"/>
        <v>0</v>
      </c>
      <c r="U409" s="9">
        <f t="shared" si="160"/>
        <v>0</v>
      </c>
      <c r="V409" s="9">
        <f t="shared" si="161"/>
        <v>0</v>
      </c>
      <c r="W409" s="9">
        <f t="shared" si="162"/>
        <v>0</v>
      </c>
      <c r="X409" s="9">
        <f t="shared" si="163"/>
        <v>0</v>
      </c>
      <c r="Y409" s="9">
        <f t="shared" si="164"/>
        <v>0</v>
      </c>
      <c r="Z409" s="9">
        <f t="shared" si="165"/>
        <v>0</v>
      </c>
      <c r="AA409" s="10">
        <f t="shared" si="166"/>
        <v>0</v>
      </c>
    </row>
    <row r="410" spans="1:27" x14ac:dyDescent="0.3">
      <c r="A410" s="4" t="s">
        <v>1303</v>
      </c>
      <c r="B410" s="4">
        <f t="shared" si="144"/>
        <v>0</v>
      </c>
      <c r="C410" s="4">
        <f t="shared" si="145"/>
        <v>0</v>
      </c>
      <c r="D410" s="4">
        <f t="shared" si="146"/>
        <v>0</v>
      </c>
      <c r="E410" s="4">
        <f t="shared" si="147"/>
        <v>0</v>
      </c>
      <c r="F410" s="4">
        <f t="shared" si="148"/>
        <v>1</v>
      </c>
      <c r="G410" s="4">
        <f t="shared" si="149"/>
        <v>0</v>
      </c>
      <c r="I410" s="11" t="s">
        <v>992</v>
      </c>
      <c r="J410" s="9">
        <f t="shared" si="150"/>
        <v>0</v>
      </c>
      <c r="K410" s="9">
        <f t="shared" si="167"/>
        <v>0</v>
      </c>
      <c r="L410" s="9">
        <f t="shared" si="151"/>
        <v>0</v>
      </c>
      <c r="M410" s="9">
        <f t="shared" si="152"/>
        <v>0</v>
      </c>
      <c r="N410" s="9">
        <f t="shared" si="153"/>
        <v>0</v>
      </c>
      <c r="O410" s="9">
        <f t="shared" si="154"/>
        <v>1</v>
      </c>
      <c r="P410" s="9">
        <f t="shared" si="155"/>
        <v>0</v>
      </c>
      <c r="Q410" s="9">
        <f t="shared" si="156"/>
        <v>0</v>
      </c>
      <c r="R410" s="9">
        <f t="shared" si="157"/>
        <v>0</v>
      </c>
      <c r="S410" s="9">
        <f t="shared" si="158"/>
        <v>0</v>
      </c>
      <c r="T410" s="9">
        <f t="shared" si="159"/>
        <v>0</v>
      </c>
      <c r="U410" s="9">
        <f t="shared" si="160"/>
        <v>0</v>
      </c>
      <c r="V410" s="9">
        <f t="shared" si="161"/>
        <v>0</v>
      </c>
      <c r="W410" s="9">
        <f t="shared" si="162"/>
        <v>0</v>
      </c>
      <c r="X410" s="9">
        <f t="shared" si="163"/>
        <v>0</v>
      </c>
      <c r="Y410" s="9">
        <f t="shared" si="164"/>
        <v>0</v>
      </c>
      <c r="Z410" s="9">
        <f t="shared" si="165"/>
        <v>0</v>
      </c>
      <c r="AA410" s="10">
        <f t="shared" si="166"/>
        <v>0</v>
      </c>
    </row>
    <row r="411" spans="1:27" x14ac:dyDescent="0.3">
      <c r="A411" s="18" t="s">
        <v>1303</v>
      </c>
      <c r="B411" s="4">
        <f t="shared" si="144"/>
        <v>0</v>
      </c>
      <c r="C411" s="4">
        <f t="shared" si="145"/>
        <v>0</v>
      </c>
      <c r="D411" s="4">
        <f t="shared" si="146"/>
        <v>0</v>
      </c>
      <c r="E411" s="4">
        <f t="shared" si="147"/>
        <v>0</v>
      </c>
      <c r="F411" s="4">
        <f t="shared" si="148"/>
        <v>1</v>
      </c>
      <c r="G411" s="4">
        <f t="shared" si="149"/>
        <v>0</v>
      </c>
      <c r="I411" s="8" t="s">
        <v>996</v>
      </c>
      <c r="J411" s="9">
        <f t="shared" si="150"/>
        <v>0</v>
      </c>
      <c r="K411" s="9">
        <f t="shared" si="167"/>
        <v>0</v>
      </c>
      <c r="L411" s="9">
        <f t="shared" si="151"/>
        <v>0</v>
      </c>
      <c r="M411" s="9">
        <f t="shared" si="152"/>
        <v>0</v>
      </c>
      <c r="N411" s="9">
        <f t="shared" si="153"/>
        <v>0</v>
      </c>
      <c r="O411" s="9">
        <f t="shared" si="154"/>
        <v>0</v>
      </c>
      <c r="P411" s="9">
        <f t="shared" si="155"/>
        <v>0</v>
      </c>
      <c r="Q411" s="9">
        <f t="shared" si="156"/>
        <v>1</v>
      </c>
      <c r="R411" s="9">
        <f t="shared" si="157"/>
        <v>0</v>
      </c>
      <c r="S411" s="9">
        <f t="shared" si="158"/>
        <v>0</v>
      </c>
      <c r="T411" s="9">
        <f t="shared" si="159"/>
        <v>0</v>
      </c>
      <c r="U411" s="9">
        <f t="shared" si="160"/>
        <v>0</v>
      </c>
      <c r="V411" s="9">
        <f t="shared" si="161"/>
        <v>0</v>
      </c>
      <c r="W411" s="9">
        <f t="shared" si="162"/>
        <v>0</v>
      </c>
      <c r="X411" s="9">
        <f t="shared" si="163"/>
        <v>0</v>
      </c>
      <c r="Y411" s="9">
        <f t="shared" si="164"/>
        <v>0</v>
      </c>
      <c r="Z411" s="9">
        <f t="shared" si="165"/>
        <v>0</v>
      </c>
      <c r="AA411" s="10">
        <f t="shared" si="166"/>
        <v>0</v>
      </c>
    </row>
    <row r="412" spans="1:27" x14ac:dyDescent="0.3">
      <c r="A412" s="4" t="s">
        <v>1303</v>
      </c>
      <c r="B412" s="4">
        <f t="shared" si="144"/>
        <v>0</v>
      </c>
      <c r="C412" s="4">
        <f t="shared" si="145"/>
        <v>0</v>
      </c>
      <c r="D412" s="4">
        <f t="shared" si="146"/>
        <v>0</v>
      </c>
      <c r="E412" s="4">
        <f t="shared" si="147"/>
        <v>0</v>
      </c>
      <c r="F412" s="4">
        <f t="shared" si="148"/>
        <v>1</v>
      </c>
      <c r="G412" s="4">
        <f t="shared" si="149"/>
        <v>0</v>
      </c>
      <c r="I412" s="11" t="s">
        <v>996</v>
      </c>
      <c r="J412" s="9">
        <f t="shared" si="150"/>
        <v>0</v>
      </c>
      <c r="K412" s="9">
        <f t="shared" si="167"/>
        <v>0</v>
      </c>
      <c r="L412" s="9">
        <f t="shared" si="151"/>
        <v>0</v>
      </c>
      <c r="M412" s="9">
        <f t="shared" si="152"/>
        <v>0</v>
      </c>
      <c r="N412" s="9">
        <f t="shared" si="153"/>
        <v>0</v>
      </c>
      <c r="O412" s="9">
        <f t="shared" si="154"/>
        <v>0</v>
      </c>
      <c r="P412" s="9">
        <f t="shared" si="155"/>
        <v>0</v>
      </c>
      <c r="Q412" s="9">
        <f t="shared" si="156"/>
        <v>1</v>
      </c>
      <c r="R412" s="9">
        <f t="shared" si="157"/>
        <v>0</v>
      </c>
      <c r="S412" s="9">
        <f t="shared" si="158"/>
        <v>0</v>
      </c>
      <c r="T412" s="9">
        <f t="shared" si="159"/>
        <v>0</v>
      </c>
      <c r="U412" s="9">
        <f t="shared" si="160"/>
        <v>0</v>
      </c>
      <c r="V412" s="9">
        <f t="shared" si="161"/>
        <v>0</v>
      </c>
      <c r="W412" s="9">
        <f t="shared" si="162"/>
        <v>0</v>
      </c>
      <c r="X412" s="9">
        <f t="shared" si="163"/>
        <v>0</v>
      </c>
      <c r="Y412" s="9">
        <f t="shared" si="164"/>
        <v>0</v>
      </c>
      <c r="Z412" s="9">
        <f t="shared" si="165"/>
        <v>0</v>
      </c>
      <c r="AA412" s="10">
        <f t="shared" si="166"/>
        <v>0</v>
      </c>
    </row>
    <row r="413" spans="1:27" x14ac:dyDescent="0.3">
      <c r="A413" s="18" t="s">
        <v>1304</v>
      </c>
      <c r="B413" s="4">
        <f t="shared" si="144"/>
        <v>0</v>
      </c>
      <c r="C413" s="4">
        <f t="shared" si="145"/>
        <v>1</v>
      </c>
      <c r="D413" s="4">
        <f t="shared" si="146"/>
        <v>0</v>
      </c>
      <c r="E413" s="4">
        <f t="shared" si="147"/>
        <v>0</v>
      </c>
      <c r="F413" s="4">
        <f t="shared" si="148"/>
        <v>0</v>
      </c>
      <c r="G413" s="4">
        <f t="shared" si="149"/>
        <v>0</v>
      </c>
      <c r="I413" s="8" t="s">
        <v>988</v>
      </c>
      <c r="J413" s="9">
        <f t="shared" si="150"/>
        <v>0</v>
      </c>
      <c r="K413" s="9">
        <f t="shared" si="167"/>
        <v>0</v>
      </c>
      <c r="L413" s="9">
        <f t="shared" si="151"/>
        <v>1</v>
      </c>
      <c r="M413" s="9">
        <f t="shared" si="152"/>
        <v>0</v>
      </c>
      <c r="N413" s="9">
        <f t="shared" si="153"/>
        <v>0</v>
      </c>
      <c r="O413" s="9">
        <f t="shared" si="154"/>
        <v>0</v>
      </c>
      <c r="P413" s="9">
        <f t="shared" si="155"/>
        <v>0</v>
      </c>
      <c r="Q413" s="9">
        <f t="shared" si="156"/>
        <v>0</v>
      </c>
      <c r="R413" s="9">
        <f t="shared" si="157"/>
        <v>0</v>
      </c>
      <c r="S413" s="9">
        <f t="shared" si="158"/>
        <v>0</v>
      </c>
      <c r="T413" s="9">
        <f t="shared" si="159"/>
        <v>0</v>
      </c>
      <c r="U413" s="9">
        <f t="shared" si="160"/>
        <v>0</v>
      </c>
      <c r="V413" s="9">
        <f t="shared" si="161"/>
        <v>0</v>
      </c>
      <c r="W413" s="9">
        <f t="shared" si="162"/>
        <v>0</v>
      </c>
      <c r="X413" s="9">
        <f t="shared" si="163"/>
        <v>0</v>
      </c>
      <c r="Y413" s="9">
        <f t="shared" si="164"/>
        <v>0</v>
      </c>
      <c r="Z413" s="9">
        <f t="shared" si="165"/>
        <v>0</v>
      </c>
      <c r="AA413" s="10">
        <f t="shared" si="166"/>
        <v>0</v>
      </c>
    </row>
    <row r="414" spans="1:27" x14ac:dyDescent="0.3">
      <c r="A414" s="4" t="s">
        <v>1302</v>
      </c>
      <c r="B414" s="4">
        <f t="shared" si="144"/>
        <v>1</v>
      </c>
      <c r="C414" s="4">
        <f t="shared" si="145"/>
        <v>0</v>
      </c>
      <c r="D414" s="4">
        <f t="shared" si="146"/>
        <v>0</v>
      </c>
      <c r="E414" s="4">
        <f t="shared" si="147"/>
        <v>0</v>
      </c>
      <c r="F414" s="4">
        <f t="shared" si="148"/>
        <v>0</v>
      </c>
      <c r="G414" s="4">
        <f t="shared" si="149"/>
        <v>0</v>
      </c>
      <c r="I414" s="11" t="s">
        <v>988</v>
      </c>
      <c r="J414" s="9">
        <f t="shared" si="150"/>
        <v>0</v>
      </c>
      <c r="K414" s="9">
        <f t="shared" si="167"/>
        <v>0</v>
      </c>
      <c r="L414" s="9">
        <f t="shared" si="151"/>
        <v>1</v>
      </c>
      <c r="M414" s="9">
        <f t="shared" si="152"/>
        <v>0</v>
      </c>
      <c r="N414" s="9">
        <f t="shared" si="153"/>
        <v>0</v>
      </c>
      <c r="O414" s="9">
        <f t="shared" si="154"/>
        <v>0</v>
      </c>
      <c r="P414" s="9">
        <f t="shared" si="155"/>
        <v>0</v>
      </c>
      <c r="Q414" s="9">
        <f t="shared" si="156"/>
        <v>0</v>
      </c>
      <c r="R414" s="9">
        <f t="shared" si="157"/>
        <v>0</v>
      </c>
      <c r="S414" s="9">
        <f t="shared" si="158"/>
        <v>0</v>
      </c>
      <c r="T414" s="9">
        <f t="shared" si="159"/>
        <v>0</v>
      </c>
      <c r="U414" s="9">
        <f t="shared" si="160"/>
        <v>0</v>
      </c>
      <c r="V414" s="9">
        <f t="shared" si="161"/>
        <v>0</v>
      </c>
      <c r="W414" s="9">
        <f t="shared" si="162"/>
        <v>0</v>
      </c>
      <c r="X414" s="9">
        <f t="shared" si="163"/>
        <v>0</v>
      </c>
      <c r="Y414" s="9">
        <f t="shared" si="164"/>
        <v>0</v>
      </c>
      <c r="Z414" s="9">
        <f t="shared" si="165"/>
        <v>0</v>
      </c>
      <c r="AA414" s="10">
        <f t="shared" si="166"/>
        <v>0</v>
      </c>
    </row>
    <row r="415" spans="1:27" x14ac:dyDescent="0.3">
      <c r="A415" s="18" t="s">
        <v>1302</v>
      </c>
      <c r="B415" s="4">
        <f t="shared" si="144"/>
        <v>1</v>
      </c>
      <c r="C415" s="4">
        <f t="shared" si="145"/>
        <v>0</v>
      </c>
      <c r="D415" s="4">
        <f t="shared" si="146"/>
        <v>0</v>
      </c>
      <c r="E415" s="4">
        <f t="shared" si="147"/>
        <v>0</v>
      </c>
      <c r="F415" s="4">
        <f t="shared" si="148"/>
        <v>0</v>
      </c>
      <c r="G415" s="4">
        <f t="shared" si="149"/>
        <v>0</v>
      </c>
      <c r="I415" s="8" t="s">
        <v>1026</v>
      </c>
      <c r="J415" s="9">
        <f t="shared" si="150"/>
        <v>0</v>
      </c>
      <c r="K415" s="9">
        <f t="shared" si="167"/>
        <v>0</v>
      </c>
      <c r="L415" s="9">
        <f t="shared" si="151"/>
        <v>0</v>
      </c>
      <c r="M415" s="9">
        <f t="shared" si="152"/>
        <v>0</v>
      </c>
      <c r="N415" s="9">
        <f t="shared" si="153"/>
        <v>0</v>
      </c>
      <c r="O415" s="9">
        <f t="shared" si="154"/>
        <v>0</v>
      </c>
      <c r="P415" s="9">
        <f t="shared" si="155"/>
        <v>0</v>
      </c>
      <c r="Q415" s="9">
        <f t="shared" si="156"/>
        <v>0</v>
      </c>
      <c r="R415" s="9">
        <f t="shared" si="157"/>
        <v>0</v>
      </c>
      <c r="S415" s="9">
        <f t="shared" si="158"/>
        <v>0</v>
      </c>
      <c r="T415" s="9">
        <f t="shared" si="159"/>
        <v>1</v>
      </c>
      <c r="U415" s="9">
        <f t="shared" si="160"/>
        <v>0</v>
      </c>
      <c r="V415" s="9">
        <f t="shared" si="161"/>
        <v>0</v>
      </c>
      <c r="W415" s="9">
        <f t="shared" si="162"/>
        <v>0</v>
      </c>
      <c r="X415" s="9">
        <f t="shared" si="163"/>
        <v>0</v>
      </c>
      <c r="Y415" s="9">
        <f t="shared" si="164"/>
        <v>0</v>
      </c>
      <c r="Z415" s="9">
        <f t="shared" si="165"/>
        <v>0</v>
      </c>
      <c r="AA415" s="10">
        <f t="shared" si="166"/>
        <v>0</v>
      </c>
    </row>
    <row r="416" spans="1:27" x14ac:dyDescent="0.3">
      <c r="A416" s="4" t="s">
        <v>1302</v>
      </c>
      <c r="B416" s="4">
        <f t="shared" si="144"/>
        <v>1</v>
      </c>
      <c r="C416" s="4">
        <f t="shared" si="145"/>
        <v>0</v>
      </c>
      <c r="D416" s="4">
        <f t="shared" si="146"/>
        <v>0</v>
      </c>
      <c r="E416" s="4">
        <f t="shared" si="147"/>
        <v>0</v>
      </c>
      <c r="F416" s="4">
        <f t="shared" si="148"/>
        <v>0</v>
      </c>
      <c r="G416" s="4">
        <f t="shared" si="149"/>
        <v>0</v>
      </c>
      <c r="I416" s="11" t="s">
        <v>988</v>
      </c>
      <c r="J416" s="9">
        <f t="shared" si="150"/>
        <v>0</v>
      </c>
      <c r="K416" s="9">
        <f t="shared" si="167"/>
        <v>0</v>
      </c>
      <c r="L416" s="9">
        <f t="shared" si="151"/>
        <v>1</v>
      </c>
      <c r="M416" s="9">
        <f t="shared" si="152"/>
        <v>0</v>
      </c>
      <c r="N416" s="9">
        <f t="shared" si="153"/>
        <v>0</v>
      </c>
      <c r="O416" s="9">
        <f t="shared" si="154"/>
        <v>0</v>
      </c>
      <c r="P416" s="9">
        <f t="shared" si="155"/>
        <v>0</v>
      </c>
      <c r="Q416" s="9">
        <f t="shared" si="156"/>
        <v>0</v>
      </c>
      <c r="R416" s="9">
        <f t="shared" si="157"/>
        <v>0</v>
      </c>
      <c r="S416" s="9">
        <f t="shared" si="158"/>
        <v>0</v>
      </c>
      <c r="T416" s="9">
        <f t="shared" si="159"/>
        <v>0</v>
      </c>
      <c r="U416" s="9">
        <f t="shared" si="160"/>
        <v>0</v>
      </c>
      <c r="V416" s="9">
        <f t="shared" si="161"/>
        <v>0</v>
      </c>
      <c r="W416" s="9">
        <f t="shared" si="162"/>
        <v>0</v>
      </c>
      <c r="X416" s="9">
        <f t="shared" si="163"/>
        <v>0</v>
      </c>
      <c r="Y416" s="9">
        <f t="shared" si="164"/>
        <v>0</v>
      </c>
      <c r="Z416" s="9">
        <f t="shared" si="165"/>
        <v>0</v>
      </c>
      <c r="AA416" s="10">
        <f t="shared" si="166"/>
        <v>0</v>
      </c>
    </row>
    <row r="417" spans="1:27" x14ac:dyDescent="0.3">
      <c r="A417" s="18" t="s">
        <v>1305</v>
      </c>
      <c r="B417" s="4">
        <f t="shared" si="144"/>
        <v>0</v>
      </c>
      <c r="C417" s="4">
        <f t="shared" si="145"/>
        <v>0</v>
      </c>
      <c r="D417" s="4">
        <f t="shared" si="146"/>
        <v>0</v>
      </c>
      <c r="E417" s="4">
        <f t="shared" si="147"/>
        <v>0</v>
      </c>
      <c r="F417" s="4">
        <f t="shared" si="148"/>
        <v>0</v>
      </c>
      <c r="G417" s="4">
        <f t="shared" si="149"/>
        <v>1</v>
      </c>
      <c r="I417" s="8" t="s">
        <v>994</v>
      </c>
      <c r="J417" s="9">
        <f t="shared" si="150"/>
        <v>0</v>
      </c>
      <c r="K417" s="9">
        <f t="shared" si="167"/>
        <v>0</v>
      </c>
      <c r="L417" s="9">
        <f t="shared" si="151"/>
        <v>0</v>
      </c>
      <c r="M417" s="9">
        <f t="shared" si="152"/>
        <v>0</v>
      </c>
      <c r="N417" s="9">
        <f t="shared" si="153"/>
        <v>0</v>
      </c>
      <c r="O417" s="9">
        <f t="shared" si="154"/>
        <v>0</v>
      </c>
      <c r="P417" s="9">
        <f t="shared" si="155"/>
        <v>1</v>
      </c>
      <c r="Q417" s="9">
        <f t="shared" si="156"/>
        <v>0</v>
      </c>
      <c r="R417" s="9">
        <f t="shared" si="157"/>
        <v>0</v>
      </c>
      <c r="S417" s="9">
        <f t="shared" si="158"/>
        <v>0</v>
      </c>
      <c r="T417" s="9">
        <f t="shared" si="159"/>
        <v>0</v>
      </c>
      <c r="U417" s="9">
        <f t="shared" si="160"/>
        <v>0</v>
      </c>
      <c r="V417" s="9">
        <f t="shared" si="161"/>
        <v>0</v>
      </c>
      <c r="W417" s="9">
        <f t="shared" si="162"/>
        <v>0</v>
      </c>
      <c r="X417" s="9">
        <f t="shared" si="163"/>
        <v>0</v>
      </c>
      <c r="Y417" s="9">
        <f t="shared" si="164"/>
        <v>0</v>
      </c>
      <c r="Z417" s="9">
        <f t="shared" si="165"/>
        <v>0</v>
      </c>
      <c r="AA417" s="10">
        <f t="shared" si="166"/>
        <v>0</v>
      </c>
    </row>
    <row r="418" spans="1:27" x14ac:dyDescent="0.3">
      <c r="A418" s="4" t="s">
        <v>1304</v>
      </c>
      <c r="B418" s="4">
        <f t="shared" si="144"/>
        <v>0</v>
      </c>
      <c r="C418" s="4">
        <f t="shared" si="145"/>
        <v>1</v>
      </c>
      <c r="D418" s="4">
        <f t="shared" si="146"/>
        <v>0</v>
      </c>
      <c r="E418" s="4">
        <f t="shared" si="147"/>
        <v>0</v>
      </c>
      <c r="F418" s="4">
        <f t="shared" si="148"/>
        <v>0</v>
      </c>
      <c r="G418" s="4">
        <f t="shared" si="149"/>
        <v>0</v>
      </c>
      <c r="I418" s="11" t="s">
        <v>1004</v>
      </c>
      <c r="J418" s="9">
        <f t="shared" si="150"/>
        <v>0</v>
      </c>
      <c r="K418" s="9">
        <f t="shared" si="167"/>
        <v>0</v>
      </c>
      <c r="L418" s="9">
        <f t="shared" si="151"/>
        <v>0</v>
      </c>
      <c r="M418" s="9">
        <f t="shared" si="152"/>
        <v>0</v>
      </c>
      <c r="N418" s="9">
        <f t="shared" si="153"/>
        <v>0</v>
      </c>
      <c r="O418" s="9">
        <f t="shared" si="154"/>
        <v>0</v>
      </c>
      <c r="P418" s="9">
        <f t="shared" si="155"/>
        <v>0</v>
      </c>
      <c r="Q418" s="9">
        <f t="shared" si="156"/>
        <v>0</v>
      </c>
      <c r="R418" s="9">
        <f t="shared" si="157"/>
        <v>1</v>
      </c>
      <c r="S418" s="9">
        <f t="shared" si="158"/>
        <v>0</v>
      </c>
      <c r="T418" s="9">
        <f t="shared" si="159"/>
        <v>0</v>
      </c>
      <c r="U418" s="9">
        <f t="shared" si="160"/>
        <v>0</v>
      </c>
      <c r="V418" s="9">
        <f t="shared" si="161"/>
        <v>0</v>
      </c>
      <c r="W418" s="9">
        <f t="shared" si="162"/>
        <v>0</v>
      </c>
      <c r="X418" s="9">
        <f t="shared" si="163"/>
        <v>0</v>
      </c>
      <c r="Y418" s="9">
        <f t="shared" si="164"/>
        <v>0</v>
      </c>
      <c r="Z418" s="9">
        <f t="shared" si="165"/>
        <v>0</v>
      </c>
      <c r="AA418" s="10">
        <f t="shared" si="166"/>
        <v>0</v>
      </c>
    </row>
    <row r="419" spans="1:27" x14ac:dyDescent="0.3">
      <c r="A419" s="18" t="s">
        <v>1294</v>
      </c>
      <c r="B419" s="4">
        <f t="shared" si="144"/>
        <v>0</v>
      </c>
      <c r="C419" s="4">
        <f t="shared" si="145"/>
        <v>0</v>
      </c>
      <c r="D419" s="4">
        <f t="shared" si="146"/>
        <v>0</v>
      </c>
      <c r="E419" s="4">
        <f t="shared" si="147"/>
        <v>0</v>
      </c>
      <c r="F419" s="4">
        <f t="shared" si="148"/>
        <v>0</v>
      </c>
      <c r="G419" s="4">
        <f t="shared" si="149"/>
        <v>0</v>
      </c>
      <c r="I419" s="8" t="s">
        <v>1088</v>
      </c>
      <c r="J419" s="9">
        <f t="shared" si="150"/>
        <v>0</v>
      </c>
      <c r="K419" s="9">
        <f t="shared" si="167"/>
        <v>0</v>
      </c>
      <c r="L419" s="9">
        <f t="shared" si="151"/>
        <v>0</v>
      </c>
      <c r="M419" s="9">
        <f t="shared" si="152"/>
        <v>0</v>
      </c>
      <c r="N419" s="9">
        <f t="shared" si="153"/>
        <v>0</v>
      </c>
      <c r="O419" s="9">
        <f t="shared" si="154"/>
        <v>0</v>
      </c>
      <c r="P419" s="9">
        <f t="shared" si="155"/>
        <v>0</v>
      </c>
      <c r="Q419" s="9">
        <f t="shared" si="156"/>
        <v>0</v>
      </c>
      <c r="R419" s="9">
        <f t="shared" si="157"/>
        <v>0</v>
      </c>
      <c r="S419" s="9">
        <f t="shared" si="158"/>
        <v>0</v>
      </c>
      <c r="T419" s="9">
        <f t="shared" si="159"/>
        <v>0</v>
      </c>
      <c r="U419" s="9">
        <f t="shared" si="160"/>
        <v>0</v>
      </c>
      <c r="V419" s="9">
        <f t="shared" si="161"/>
        <v>0</v>
      </c>
      <c r="W419" s="9">
        <f t="shared" si="162"/>
        <v>0</v>
      </c>
      <c r="X419" s="9">
        <f t="shared" si="163"/>
        <v>0</v>
      </c>
      <c r="Y419" s="9">
        <f t="shared" si="164"/>
        <v>0</v>
      </c>
      <c r="Z419" s="9">
        <f t="shared" si="165"/>
        <v>1</v>
      </c>
      <c r="AA419" s="10">
        <f t="shared" si="166"/>
        <v>0</v>
      </c>
    </row>
    <row r="420" spans="1:27" x14ac:dyDescent="0.3">
      <c r="A420" s="4" t="s">
        <v>1294</v>
      </c>
      <c r="B420" s="4">
        <f t="shared" si="144"/>
        <v>0</v>
      </c>
      <c r="C420" s="4">
        <f t="shared" si="145"/>
        <v>0</v>
      </c>
      <c r="D420" s="4">
        <f t="shared" si="146"/>
        <v>0</v>
      </c>
      <c r="E420" s="4">
        <f t="shared" si="147"/>
        <v>0</v>
      </c>
      <c r="F420" s="4">
        <f t="shared" si="148"/>
        <v>0</v>
      </c>
      <c r="G420" s="4">
        <f t="shared" si="149"/>
        <v>0</v>
      </c>
      <c r="I420" s="11" t="s">
        <v>1088</v>
      </c>
      <c r="J420" s="9">
        <f t="shared" si="150"/>
        <v>0</v>
      </c>
      <c r="K420" s="9">
        <f t="shared" si="167"/>
        <v>0</v>
      </c>
      <c r="L420" s="9">
        <f t="shared" si="151"/>
        <v>0</v>
      </c>
      <c r="M420" s="9">
        <f t="shared" si="152"/>
        <v>0</v>
      </c>
      <c r="N420" s="9">
        <f t="shared" si="153"/>
        <v>0</v>
      </c>
      <c r="O420" s="9">
        <f t="shared" si="154"/>
        <v>0</v>
      </c>
      <c r="P420" s="9">
        <f t="shared" si="155"/>
        <v>0</v>
      </c>
      <c r="Q420" s="9">
        <f t="shared" si="156"/>
        <v>0</v>
      </c>
      <c r="R420" s="9">
        <f t="shared" si="157"/>
        <v>0</v>
      </c>
      <c r="S420" s="9">
        <f t="shared" si="158"/>
        <v>0</v>
      </c>
      <c r="T420" s="9">
        <f t="shared" si="159"/>
        <v>0</v>
      </c>
      <c r="U420" s="9">
        <f t="shared" si="160"/>
        <v>0</v>
      </c>
      <c r="V420" s="9">
        <f t="shared" si="161"/>
        <v>0</v>
      </c>
      <c r="W420" s="9">
        <f t="shared" si="162"/>
        <v>0</v>
      </c>
      <c r="X420" s="9">
        <f t="shared" si="163"/>
        <v>0</v>
      </c>
      <c r="Y420" s="9">
        <f t="shared" si="164"/>
        <v>0</v>
      </c>
      <c r="Z420" s="9">
        <f t="shared" si="165"/>
        <v>1</v>
      </c>
      <c r="AA420" s="10">
        <f t="shared" si="166"/>
        <v>0</v>
      </c>
    </row>
    <row r="421" spans="1:27" x14ac:dyDescent="0.3">
      <c r="A421" s="18" t="s">
        <v>1302</v>
      </c>
      <c r="B421" s="4">
        <f t="shared" si="144"/>
        <v>1</v>
      </c>
      <c r="C421" s="4">
        <f t="shared" si="145"/>
        <v>0</v>
      </c>
      <c r="D421" s="4">
        <f t="shared" si="146"/>
        <v>0</v>
      </c>
      <c r="E421" s="4">
        <f t="shared" si="147"/>
        <v>0</v>
      </c>
      <c r="F421" s="4">
        <f t="shared" si="148"/>
        <v>0</v>
      </c>
      <c r="G421" s="4">
        <f t="shared" si="149"/>
        <v>0</v>
      </c>
      <c r="I421" s="8" t="s">
        <v>1294</v>
      </c>
      <c r="J421" s="9">
        <f t="shared" si="150"/>
        <v>0</v>
      </c>
      <c r="K421" s="9">
        <f t="shared" si="167"/>
        <v>0</v>
      </c>
      <c r="L421" s="9">
        <f t="shared" si="151"/>
        <v>0</v>
      </c>
      <c r="M421" s="9">
        <f t="shared" si="152"/>
        <v>0</v>
      </c>
      <c r="N421" s="9">
        <f t="shared" si="153"/>
        <v>0</v>
      </c>
      <c r="O421" s="9">
        <f t="shared" si="154"/>
        <v>0</v>
      </c>
      <c r="P421" s="9">
        <f t="shared" si="155"/>
        <v>0</v>
      </c>
      <c r="Q421" s="9">
        <f t="shared" si="156"/>
        <v>0</v>
      </c>
      <c r="R421" s="9">
        <f t="shared" si="157"/>
        <v>0</v>
      </c>
      <c r="S421" s="9">
        <f t="shared" si="158"/>
        <v>0</v>
      </c>
      <c r="T421" s="9">
        <f t="shared" si="159"/>
        <v>0</v>
      </c>
      <c r="U421" s="9">
        <f t="shared" si="160"/>
        <v>0</v>
      </c>
      <c r="V421" s="9">
        <f t="shared" si="161"/>
        <v>0</v>
      </c>
      <c r="W421" s="9">
        <f t="shared" si="162"/>
        <v>0</v>
      </c>
      <c r="X421" s="9">
        <f t="shared" si="163"/>
        <v>0</v>
      </c>
      <c r="Y421" s="9">
        <f t="shared" si="164"/>
        <v>0</v>
      </c>
      <c r="Z421" s="9">
        <f t="shared" si="165"/>
        <v>0</v>
      </c>
      <c r="AA421" s="10">
        <f t="shared" si="166"/>
        <v>0</v>
      </c>
    </row>
    <row r="422" spans="1:27" x14ac:dyDescent="0.3">
      <c r="A422" s="4" t="s">
        <v>1302</v>
      </c>
      <c r="B422" s="4">
        <f t="shared" si="144"/>
        <v>1</v>
      </c>
      <c r="C422" s="4">
        <f t="shared" si="145"/>
        <v>0</v>
      </c>
      <c r="D422" s="4">
        <f t="shared" si="146"/>
        <v>0</v>
      </c>
      <c r="E422" s="4">
        <f t="shared" si="147"/>
        <v>0</v>
      </c>
      <c r="F422" s="4">
        <f t="shared" si="148"/>
        <v>0</v>
      </c>
      <c r="G422" s="4">
        <f t="shared" si="149"/>
        <v>0</v>
      </c>
      <c r="I422" s="11" t="s">
        <v>988</v>
      </c>
      <c r="J422" s="9">
        <f t="shared" si="150"/>
        <v>0</v>
      </c>
      <c r="K422" s="9">
        <f t="shared" si="167"/>
        <v>0</v>
      </c>
      <c r="L422" s="9">
        <f t="shared" si="151"/>
        <v>1</v>
      </c>
      <c r="M422" s="9">
        <f t="shared" si="152"/>
        <v>0</v>
      </c>
      <c r="N422" s="9">
        <f t="shared" si="153"/>
        <v>0</v>
      </c>
      <c r="O422" s="9">
        <f t="shared" si="154"/>
        <v>0</v>
      </c>
      <c r="P422" s="9">
        <f t="shared" si="155"/>
        <v>0</v>
      </c>
      <c r="Q422" s="9">
        <f t="shared" si="156"/>
        <v>0</v>
      </c>
      <c r="R422" s="9">
        <f t="shared" si="157"/>
        <v>0</v>
      </c>
      <c r="S422" s="9">
        <f t="shared" si="158"/>
        <v>0</v>
      </c>
      <c r="T422" s="9">
        <f t="shared" si="159"/>
        <v>0</v>
      </c>
      <c r="U422" s="9">
        <f t="shared" si="160"/>
        <v>0</v>
      </c>
      <c r="V422" s="9">
        <f t="shared" si="161"/>
        <v>0</v>
      </c>
      <c r="W422" s="9">
        <f t="shared" si="162"/>
        <v>0</v>
      </c>
      <c r="X422" s="9">
        <f t="shared" si="163"/>
        <v>0</v>
      </c>
      <c r="Y422" s="9">
        <f t="shared" si="164"/>
        <v>0</v>
      </c>
      <c r="Z422" s="9">
        <f t="shared" si="165"/>
        <v>0</v>
      </c>
      <c r="AA422" s="10">
        <f t="shared" si="166"/>
        <v>0</v>
      </c>
    </row>
    <row r="423" spans="1:27" x14ac:dyDescent="0.3">
      <c r="A423" s="18" t="s">
        <v>1303</v>
      </c>
      <c r="B423" s="4">
        <f t="shared" si="144"/>
        <v>0</v>
      </c>
      <c r="C423" s="4">
        <f t="shared" si="145"/>
        <v>0</v>
      </c>
      <c r="D423" s="4">
        <f t="shared" si="146"/>
        <v>0</v>
      </c>
      <c r="E423" s="4">
        <f t="shared" si="147"/>
        <v>0</v>
      </c>
      <c r="F423" s="4">
        <f t="shared" si="148"/>
        <v>1</v>
      </c>
      <c r="G423" s="4">
        <f t="shared" si="149"/>
        <v>0</v>
      </c>
      <c r="I423" s="8" t="s">
        <v>994</v>
      </c>
      <c r="J423" s="9">
        <f t="shared" si="150"/>
        <v>0</v>
      </c>
      <c r="K423" s="9">
        <f t="shared" si="167"/>
        <v>0</v>
      </c>
      <c r="L423" s="9">
        <f t="shared" si="151"/>
        <v>0</v>
      </c>
      <c r="M423" s="9">
        <f t="shared" si="152"/>
        <v>0</v>
      </c>
      <c r="N423" s="9">
        <f t="shared" si="153"/>
        <v>0</v>
      </c>
      <c r="O423" s="9">
        <f t="shared" si="154"/>
        <v>0</v>
      </c>
      <c r="P423" s="9">
        <f t="shared" si="155"/>
        <v>1</v>
      </c>
      <c r="Q423" s="9">
        <f t="shared" si="156"/>
        <v>0</v>
      </c>
      <c r="R423" s="9">
        <f t="shared" si="157"/>
        <v>0</v>
      </c>
      <c r="S423" s="9">
        <f t="shared" si="158"/>
        <v>0</v>
      </c>
      <c r="T423" s="9">
        <f t="shared" si="159"/>
        <v>0</v>
      </c>
      <c r="U423" s="9">
        <f t="shared" si="160"/>
        <v>0</v>
      </c>
      <c r="V423" s="9">
        <f t="shared" si="161"/>
        <v>0</v>
      </c>
      <c r="W423" s="9">
        <f t="shared" si="162"/>
        <v>0</v>
      </c>
      <c r="X423" s="9">
        <f t="shared" si="163"/>
        <v>0</v>
      </c>
      <c r="Y423" s="9">
        <f t="shared" si="164"/>
        <v>0</v>
      </c>
      <c r="Z423" s="9">
        <f t="shared" si="165"/>
        <v>0</v>
      </c>
      <c r="AA423" s="10">
        <f t="shared" si="166"/>
        <v>0</v>
      </c>
    </row>
    <row r="424" spans="1:27" x14ac:dyDescent="0.3">
      <c r="A424" s="4" t="s">
        <v>1294</v>
      </c>
      <c r="B424" s="4">
        <f t="shared" si="144"/>
        <v>0</v>
      </c>
      <c r="C424" s="4">
        <f t="shared" si="145"/>
        <v>0</v>
      </c>
      <c r="D424" s="4">
        <f t="shared" si="146"/>
        <v>0</v>
      </c>
      <c r="E424" s="4">
        <f t="shared" si="147"/>
        <v>0</v>
      </c>
      <c r="F424" s="4">
        <f t="shared" si="148"/>
        <v>0</v>
      </c>
      <c r="G424" s="4">
        <f t="shared" si="149"/>
        <v>0</v>
      </c>
      <c r="I424" s="11" t="s">
        <v>977</v>
      </c>
      <c r="J424" s="9">
        <f t="shared" si="150"/>
        <v>1</v>
      </c>
      <c r="K424" s="9">
        <f t="shared" si="167"/>
        <v>0</v>
      </c>
      <c r="L424" s="9">
        <f t="shared" si="151"/>
        <v>0</v>
      </c>
      <c r="M424" s="9">
        <f t="shared" si="152"/>
        <v>0</v>
      </c>
      <c r="N424" s="9">
        <f t="shared" si="153"/>
        <v>0</v>
      </c>
      <c r="O424" s="9">
        <f t="shared" si="154"/>
        <v>0</v>
      </c>
      <c r="P424" s="9">
        <f t="shared" si="155"/>
        <v>0</v>
      </c>
      <c r="Q424" s="9">
        <f t="shared" si="156"/>
        <v>0</v>
      </c>
      <c r="R424" s="9">
        <f t="shared" si="157"/>
        <v>0</v>
      </c>
      <c r="S424" s="9">
        <f t="shared" si="158"/>
        <v>0</v>
      </c>
      <c r="T424" s="9">
        <f t="shared" si="159"/>
        <v>0</v>
      </c>
      <c r="U424" s="9">
        <f t="shared" si="160"/>
        <v>0</v>
      </c>
      <c r="V424" s="9">
        <f t="shared" si="161"/>
        <v>0</v>
      </c>
      <c r="W424" s="9">
        <f t="shared" si="162"/>
        <v>0</v>
      </c>
      <c r="X424" s="9">
        <f t="shared" si="163"/>
        <v>0</v>
      </c>
      <c r="Y424" s="9">
        <f t="shared" si="164"/>
        <v>0</v>
      </c>
      <c r="Z424" s="9">
        <f t="shared" si="165"/>
        <v>0</v>
      </c>
      <c r="AA424" s="10">
        <f t="shared" si="166"/>
        <v>0</v>
      </c>
    </row>
    <row r="425" spans="1:27" x14ac:dyDescent="0.3">
      <c r="A425" s="18" t="s">
        <v>1294</v>
      </c>
      <c r="B425" s="4">
        <f t="shared" si="144"/>
        <v>0</v>
      </c>
      <c r="C425" s="4">
        <f t="shared" si="145"/>
        <v>0</v>
      </c>
      <c r="D425" s="4">
        <f t="shared" si="146"/>
        <v>0</v>
      </c>
      <c r="E425" s="4">
        <f t="shared" si="147"/>
        <v>0</v>
      </c>
      <c r="F425" s="4">
        <f t="shared" si="148"/>
        <v>0</v>
      </c>
      <c r="G425" s="4">
        <f t="shared" si="149"/>
        <v>0</v>
      </c>
      <c r="I425" s="8" t="s">
        <v>982</v>
      </c>
      <c r="J425" s="9">
        <f t="shared" si="150"/>
        <v>0</v>
      </c>
      <c r="K425" s="9">
        <f t="shared" si="167"/>
        <v>1</v>
      </c>
      <c r="L425" s="9">
        <f t="shared" si="151"/>
        <v>0</v>
      </c>
      <c r="M425" s="9">
        <f t="shared" si="152"/>
        <v>0</v>
      </c>
      <c r="N425" s="9">
        <f t="shared" si="153"/>
        <v>0</v>
      </c>
      <c r="O425" s="9">
        <f t="shared" si="154"/>
        <v>0</v>
      </c>
      <c r="P425" s="9">
        <f t="shared" si="155"/>
        <v>0</v>
      </c>
      <c r="Q425" s="9">
        <f t="shared" si="156"/>
        <v>0</v>
      </c>
      <c r="R425" s="9">
        <f t="shared" si="157"/>
        <v>0</v>
      </c>
      <c r="S425" s="9">
        <f t="shared" si="158"/>
        <v>0</v>
      </c>
      <c r="T425" s="9">
        <f t="shared" si="159"/>
        <v>0</v>
      </c>
      <c r="U425" s="9">
        <f t="shared" si="160"/>
        <v>0</v>
      </c>
      <c r="V425" s="9">
        <f t="shared" si="161"/>
        <v>0</v>
      </c>
      <c r="W425" s="9">
        <f t="shared" si="162"/>
        <v>0</v>
      </c>
      <c r="X425" s="9">
        <f t="shared" si="163"/>
        <v>0</v>
      </c>
      <c r="Y425" s="9">
        <f t="shared" si="164"/>
        <v>0</v>
      </c>
      <c r="Z425" s="9">
        <f t="shared" si="165"/>
        <v>0</v>
      </c>
      <c r="AA425" s="10">
        <f t="shared" si="166"/>
        <v>0</v>
      </c>
    </row>
    <row r="426" spans="1:27" x14ac:dyDescent="0.3">
      <c r="A426" s="4" t="s">
        <v>1303</v>
      </c>
      <c r="B426" s="4">
        <f t="shared" si="144"/>
        <v>0</v>
      </c>
      <c r="C426" s="4">
        <f t="shared" si="145"/>
        <v>0</v>
      </c>
      <c r="D426" s="4">
        <f t="shared" si="146"/>
        <v>0</v>
      </c>
      <c r="E426" s="4">
        <f t="shared" si="147"/>
        <v>0</v>
      </c>
      <c r="F426" s="4">
        <f t="shared" si="148"/>
        <v>1</v>
      </c>
      <c r="G426" s="4">
        <f t="shared" si="149"/>
        <v>0</v>
      </c>
      <c r="I426" s="11" t="s">
        <v>1044</v>
      </c>
      <c r="J426" s="9">
        <f t="shared" si="150"/>
        <v>0</v>
      </c>
      <c r="K426" s="9">
        <f t="shared" si="167"/>
        <v>0</v>
      </c>
      <c r="L426" s="9">
        <f t="shared" si="151"/>
        <v>0</v>
      </c>
      <c r="M426" s="9">
        <f t="shared" si="152"/>
        <v>0</v>
      </c>
      <c r="N426" s="9">
        <f t="shared" si="153"/>
        <v>0</v>
      </c>
      <c r="O426" s="9">
        <f t="shared" si="154"/>
        <v>0</v>
      </c>
      <c r="P426" s="9">
        <f t="shared" si="155"/>
        <v>0</v>
      </c>
      <c r="Q426" s="9">
        <f t="shared" si="156"/>
        <v>0</v>
      </c>
      <c r="R426" s="9">
        <f t="shared" si="157"/>
        <v>0</v>
      </c>
      <c r="S426" s="9">
        <f t="shared" si="158"/>
        <v>0</v>
      </c>
      <c r="T426" s="9">
        <f t="shared" si="159"/>
        <v>0</v>
      </c>
      <c r="U426" s="9">
        <f t="shared" si="160"/>
        <v>1</v>
      </c>
      <c r="V426" s="9">
        <f t="shared" si="161"/>
        <v>0</v>
      </c>
      <c r="W426" s="9">
        <f t="shared" si="162"/>
        <v>0</v>
      </c>
      <c r="X426" s="9">
        <f t="shared" si="163"/>
        <v>0</v>
      </c>
      <c r="Y426" s="9">
        <f t="shared" si="164"/>
        <v>0</v>
      </c>
      <c r="Z426" s="9">
        <f t="shared" si="165"/>
        <v>0</v>
      </c>
      <c r="AA426" s="10">
        <f t="shared" si="166"/>
        <v>0</v>
      </c>
    </row>
    <row r="427" spans="1:27" x14ac:dyDescent="0.3">
      <c r="A427" s="18" t="s">
        <v>1303</v>
      </c>
      <c r="B427" s="4">
        <f t="shared" si="144"/>
        <v>0</v>
      </c>
      <c r="C427" s="4">
        <f t="shared" si="145"/>
        <v>0</v>
      </c>
      <c r="D427" s="4">
        <f t="shared" si="146"/>
        <v>0</v>
      </c>
      <c r="E427" s="4">
        <f t="shared" si="147"/>
        <v>0</v>
      </c>
      <c r="F427" s="4">
        <f t="shared" si="148"/>
        <v>1</v>
      </c>
      <c r="G427" s="4">
        <f t="shared" si="149"/>
        <v>0</v>
      </c>
      <c r="I427" s="8" t="s">
        <v>988</v>
      </c>
      <c r="J427" s="9">
        <f t="shared" si="150"/>
        <v>0</v>
      </c>
      <c r="K427" s="9">
        <f t="shared" si="167"/>
        <v>0</v>
      </c>
      <c r="L427" s="9">
        <f t="shared" si="151"/>
        <v>1</v>
      </c>
      <c r="M427" s="9">
        <f t="shared" si="152"/>
        <v>0</v>
      </c>
      <c r="N427" s="9">
        <f t="shared" si="153"/>
        <v>0</v>
      </c>
      <c r="O427" s="9">
        <f t="shared" si="154"/>
        <v>0</v>
      </c>
      <c r="P427" s="9">
        <f t="shared" si="155"/>
        <v>0</v>
      </c>
      <c r="Q427" s="9">
        <f t="shared" si="156"/>
        <v>0</v>
      </c>
      <c r="R427" s="9">
        <f t="shared" si="157"/>
        <v>0</v>
      </c>
      <c r="S427" s="9">
        <f t="shared" si="158"/>
        <v>0</v>
      </c>
      <c r="T427" s="9">
        <f t="shared" si="159"/>
        <v>0</v>
      </c>
      <c r="U427" s="9">
        <f t="shared" si="160"/>
        <v>0</v>
      </c>
      <c r="V427" s="9">
        <f t="shared" si="161"/>
        <v>0</v>
      </c>
      <c r="W427" s="9">
        <f t="shared" si="162"/>
        <v>0</v>
      </c>
      <c r="X427" s="9">
        <f t="shared" si="163"/>
        <v>0</v>
      </c>
      <c r="Y427" s="9">
        <f t="shared" si="164"/>
        <v>0</v>
      </c>
      <c r="Z427" s="9">
        <f t="shared" si="165"/>
        <v>0</v>
      </c>
      <c r="AA427" s="10">
        <f t="shared" si="166"/>
        <v>0</v>
      </c>
    </row>
    <row r="428" spans="1:27" x14ac:dyDescent="0.3">
      <c r="A428" s="4" t="s">
        <v>1302</v>
      </c>
      <c r="B428" s="4">
        <f t="shared" si="144"/>
        <v>1</v>
      </c>
      <c r="C428" s="4">
        <f t="shared" si="145"/>
        <v>0</v>
      </c>
      <c r="D428" s="4">
        <f t="shared" si="146"/>
        <v>0</v>
      </c>
      <c r="E428" s="4">
        <f t="shared" si="147"/>
        <v>0</v>
      </c>
      <c r="F428" s="4">
        <f t="shared" si="148"/>
        <v>0</v>
      </c>
      <c r="G428" s="4">
        <f t="shared" si="149"/>
        <v>0</v>
      </c>
      <c r="I428" s="11" t="s">
        <v>982</v>
      </c>
      <c r="J428" s="9">
        <f t="shared" si="150"/>
        <v>0</v>
      </c>
      <c r="K428" s="9">
        <f t="shared" si="167"/>
        <v>1</v>
      </c>
      <c r="L428" s="9">
        <f t="shared" si="151"/>
        <v>0</v>
      </c>
      <c r="M428" s="9">
        <f t="shared" si="152"/>
        <v>0</v>
      </c>
      <c r="N428" s="9">
        <f t="shared" si="153"/>
        <v>0</v>
      </c>
      <c r="O428" s="9">
        <f t="shared" si="154"/>
        <v>0</v>
      </c>
      <c r="P428" s="9">
        <f t="shared" si="155"/>
        <v>0</v>
      </c>
      <c r="Q428" s="9">
        <f t="shared" si="156"/>
        <v>0</v>
      </c>
      <c r="R428" s="9">
        <f t="shared" si="157"/>
        <v>0</v>
      </c>
      <c r="S428" s="9">
        <f t="shared" si="158"/>
        <v>0</v>
      </c>
      <c r="T428" s="9">
        <f t="shared" si="159"/>
        <v>0</v>
      </c>
      <c r="U428" s="9">
        <f t="shared" si="160"/>
        <v>0</v>
      </c>
      <c r="V428" s="9">
        <f t="shared" si="161"/>
        <v>0</v>
      </c>
      <c r="W428" s="9">
        <f t="shared" si="162"/>
        <v>0</v>
      </c>
      <c r="X428" s="9">
        <f t="shared" si="163"/>
        <v>0</v>
      </c>
      <c r="Y428" s="9">
        <f t="shared" si="164"/>
        <v>0</v>
      </c>
      <c r="Z428" s="9">
        <f t="shared" si="165"/>
        <v>0</v>
      </c>
      <c r="AA428" s="10">
        <f t="shared" si="166"/>
        <v>0</v>
      </c>
    </row>
    <row r="429" spans="1:27" x14ac:dyDescent="0.3">
      <c r="A429" s="18" t="s">
        <v>1305</v>
      </c>
      <c r="B429" s="4">
        <f t="shared" si="144"/>
        <v>0</v>
      </c>
      <c r="C429" s="4">
        <f t="shared" si="145"/>
        <v>0</v>
      </c>
      <c r="D429" s="4">
        <f t="shared" si="146"/>
        <v>0</v>
      </c>
      <c r="E429" s="4">
        <f t="shared" si="147"/>
        <v>0</v>
      </c>
      <c r="F429" s="4">
        <f t="shared" si="148"/>
        <v>0</v>
      </c>
      <c r="G429" s="4">
        <f t="shared" si="149"/>
        <v>1</v>
      </c>
      <c r="I429" s="8" t="s">
        <v>982</v>
      </c>
      <c r="J429" s="9">
        <f t="shared" si="150"/>
        <v>0</v>
      </c>
      <c r="K429" s="9">
        <f t="shared" si="167"/>
        <v>1</v>
      </c>
      <c r="L429" s="9">
        <f t="shared" si="151"/>
        <v>0</v>
      </c>
      <c r="M429" s="9">
        <f t="shared" si="152"/>
        <v>0</v>
      </c>
      <c r="N429" s="9">
        <f t="shared" si="153"/>
        <v>0</v>
      </c>
      <c r="O429" s="9">
        <f t="shared" si="154"/>
        <v>0</v>
      </c>
      <c r="P429" s="9">
        <f t="shared" si="155"/>
        <v>0</v>
      </c>
      <c r="Q429" s="9">
        <f t="shared" si="156"/>
        <v>0</v>
      </c>
      <c r="R429" s="9">
        <f t="shared" si="157"/>
        <v>0</v>
      </c>
      <c r="S429" s="9">
        <f t="shared" si="158"/>
        <v>0</v>
      </c>
      <c r="T429" s="9">
        <f t="shared" si="159"/>
        <v>0</v>
      </c>
      <c r="U429" s="9">
        <f t="shared" si="160"/>
        <v>0</v>
      </c>
      <c r="V429" s="9">
        <f t="shared" si="161"/>
        <v>0</v>
      </c>
      <c r="W429" s="9">
        <f t="shared" si="162"/>
        <v>0</v>
      </c>
      <c r="X429" s="9">
        <f t="shared" si="163"/>
        <v>0</v>
      </c>
      <c r="Y429" s="9">
        <f t="shared" si="164"/>
        <v>0</v>
      </c>
      <c r="Z429" s="9">
        <f t="shared" si="165"/>
        <v>0</v>
      </c>
      <c r="AA429" s="10">
        <f t="shared" si="166"/>
        <v>0</v>
      </c>
    </row>
    <row r="430" spans="1:27" x14ac:dyDescent="0.3">
      <c r="A430" s="4" t="s">
        <v>1305</v>
      </c>
      <c r="B430" s="4">
        <f t="shared" si="144"/>
        <v>0</v>
      </c>
      <c r="C430" s="4">
        <f t="shared" si="145"/>
        <v>0</v>
      </c>
      <c r="D430" s="4">
        <f t="shared" si="146"/>
        <v>0</v>
      </c>
      <c r="E430" s="4">
        <f t="shared" si="147"/>
        <v>0</v>
      </c>
      <c r="F430" s="4">
        <f t="shared" si="148"/>
        <v>0</v>
      </c>
      <c r="G430" s="4">
        <f t="shared" si="149"/>
        <v>1</v>
      </c>
      <c r="I430" s="11" t="s">
        <v>1011</v>
      </c>
      <c r="J430" s="9">
        <f t="shared" si="150"/>
        <v>0</v>
      </c>
      <c r="K430" s="9">
        <f t="shared" si="167"/>
        <v>0</v>
      </c>
      <c r="L430" s="9">
        <f t="shared" si="151"/>
        <v>0</v>
      </c>
      <c r="M430" s="9">
        <f t="shared" si="152"/>
        <v>0</v>
      </c>
      <c r="N430" s="9">
        <f t="shared" si="153"/>
        <v>0</v>
      </c>
      <c r="O430" s="9">
        <f t="shared" si="154"/>
        <v>0</v>
      </c>
      <c r="P430" s="9">
        <f t="shared" si="155"/>
        <v>0</v>
      </c>
      <c r="Q430" s="9">
        <f t="shared" si="156"/>
        <v>0</v>
      </c>
      <c r="R430" s="9">
        <f t="shared" si="157"/>
        <v>0</v>
      </c>
      <c r="S430" s="9">
        <f t="shared" si="158"/>
        <v>1</v>
      </c>
      <c r="T430" s="9">
        <f t="shared" si="159"/>
        <v>0</v>
      </c>
      <c r="U430" s="9">
        <f t="shared" si="160"/>
        <v>0</v>
      </c>
      <c r="V430" s="9">
        <f t="shared" si="161"/>
        <v>0</v>
      </c>
      <c r="W430" s="9">
        <f t="shared" si="162"/>
        <v>0</v>
      </c>
      <c r="X430" s="9">
        <f t="shared" si="163"/>
        <v>0</v>
      </c>
      <c r="Y430" s="9">
        <f t="shared" si="164"/>
        <v>0</v>
      </c>
      <c r="Z430" s="9">
        <f t="shared" si="165"/>
        <v>0</v>
      </c>
      <c r="AA430" s="10">
        <f t="shared" si="166"/>
        <v>0</v>
      </c>
    </row>
    <row r="431" spans="1:27" x14ac:dyDescent="0.3">
      <c r="A431" s="18" t="s">
        <v>1304</v>
      </c>
      <c r="B431" s="4">
        <f t="shared" si="144"/>
        <v>0</v>
      </c>
      <c r="C431" s="4">
        <f t="shared" si="145"/>
        <v>1</v>
      </c>
      <c r="D431" s="4">
        <f t="shared" si="146"/>
        <v>0</v>
      </c>
      <c r="E431" s="4">
        <f t="shared" si="147"/>
        <v>0</v>
      </c>
      <c r="F431" s="4">
        <f t="shared" si="148"/>
        <v>0</v>
      </c>
      <c r="G431" s="4">
        <f t="shared" si="149"/>
        <v>0</v>
      </c>
      <c r="I431" s="8" t="s">
        <v>977</v>
      </c>
      <c r="J431" s="9">
        <f t="shared" si="150"/>
        <v>1</v>
      </c>
      <c r="K431" s="9">
        <f t="shared" si="167"/>
        <v>0</v>
      </c>
      <c r="L431" s="9">
        <f t="shared" si="151"/>
        <v>0</v>
      </c>
      <c r="M431" s="9">
        <f t="shared" si="152"/>
        <v>0</v>
      </c>
      <c r="N431" s="9">
        <f t="shared" si="153"/>
        <v>0</v>
      </c>
      <c r="O431" s="9">
        <f t="shared" si="154"/>
        <v>0</v>
      </c>
      <c r="P431" s="9">
        <f t="shared" si="155"/>
        <v>0</v>
      </c>
      <c r="Q431" s="9">
        <f t="shared" si="156"/>
        <v>0</v>
      </c>
      <c r="R431" s="9">
        <f t="shared" si="157"/>
        <v>0</v>
      </c>
      <c r="S431" s="9">
        <f t="shared" si="158"/>
        <v>0</v>
      </c>
      <c r="T431" s="9">
        <f t="shared" si="159"/>
        <v>0</v>
      </c>
      <c r="U431" s="9">
        <f t="shared" si="160"/>
        <v>0</v>
      </c>
      <c r="V431" s="9">
        <f t="shared" si="161"/>
        <v>0</v>
      </c>
      <c r="W431" s="9">
        <f t="shared" si="162"/>
        <v>0</v>
      </c>
      <c r="X431" s="9">
        <f t="shared" si="163"/>
        <v>0</v>
      </c>
      <c r="Y431" s="9">
        <f t="shared" si="164"/>
        <v>0</v>
      </c>
      <c r="Z431" s="9">
        <f t="shared" si="165"/>
        <v>0</v>
      </c>
      <c r="AA431" s="10">
        <f t="shared" si="166"/>
        <v>0</v>
      </c>
    </row>
    <row r="432" spans="1:27" x14ac:dyDescent="0.3">
      <c r="A432" s="4" t="s">
        <v>1302</v>
      </c>
      <c r="B432" s="4">
        <f t="shared" si="144"/>
        <v>1</v>
      </c>
      <c r="C432" s="4">
        <f t="shared" si="145"/>
        <v>0</v>
      </c>
      <c r="D432" s="4">
        <f t="shared" si="146"/>
        <v>0</v>
      </c>
      <c r="E432" s="4">
        <f t="shared" si="147"/>
        <v>0</v>
      </c>
      <c r="F432" s="4">
        <f t="shared" si="148"/>
        <v>0</v>
      </c>
      <c r="G432" s="4">
        <f t="shared" si="149"/>
        <v>0</v>
      </c>
      <c r="I432" s="11" t="s">
        <v>988</v>
      </c>
      <c r="J432" s="9">
        <f t="shared" si="150"/>
        <v>0</v>
      </c>
      <c r="K432" s="9">
        <f t="shared" si="167"/>
        <v>0</v>
      </c>
      <c r="L432" s="9">
        <f t="shared" si="151"/>
        <v>1</v>
      </c>
      <c r="M432" s="9">
        <f t="shared" si="152"/>
        <v>0</v>
      </c>
      <c r="N432" s="9">
        <f t="shared" si="153"/>
        <v>0</v>
      </c>
      <c r="O432" s="9">
        <f t="shared" si="154"/>
        <v>0</v>
      </c>
      <c r="P432" s="9">
        <f t="shared" si="155"/>
        <v>0</v>
      </c>
      <c r="Q432" s="9">
        <f t="shared" si="156"/>
        <v>0</v>
      </c>
      <c r="R432" s="9">
        <f t="shared" si="157"/>
        <v>0</v>
      </c>
      <c r="S432" s="9">
        <f t="shared" si="158"/>
        <v>0</v>
      </c>
      <c r="T432" s="9">
        <f t="shared" si="159"/>
        <v>0</v>
      </c>
      <c r="U432" s="9">
        <f t="shared" si="160"/>
        <v>0</v>
      </c>
      <c r="V432" s="9">
        <f t="shared" si="161"/>
        <v>0</v>
      </c>
      <c r="W432" s="9">
        <f t="shared" si="162"/>
        <v>0</v>
      </c>
      <c r="X432" s="9">
        <f t="shared" si="163"/>
        <v>0</v>
      </c>
      <c r="Y432" s="9">
        <f t="shared" si="164"/>
        <v>0</v>
      </c>
      <c r="Z432" s="9">
        <f t="shared" si="165"/>
        <v>0</v>
      </c>
      <c r="AA432" s="10">
        <f t="shared" si="166"/>
        <v>0</v>
      </c>
    </row>
    <row r="433" spans="1:27" x14ac:dyDescent="0.3">
      <c r="A433" s="18" t="s">
        <v>1294</v>
      </c>
      <c r="B433" s="4">
        <f t="shared" si="144"/>
        <v>0</v>
      </c>
      <c r="C433" s="4">
        <f t="shared" si="145"/>
        <v>0</v>
      </c>
      <c r="D433" s="4">
        <f t="shared" si="146"/>
        <v>0</v>
      </c>
      <c r="E433" s="4">
        <f t="shared" si="147"/>
        <v>0</v>
      </c>
      <c r="F433" s="4">
        <f t="shared" si="148"/>
        <v>0</v>
      </c>
      <c r="G433" s="4">
        <f t="shared" si="149"/>
        <v>0</v>
      </c>
      <c r="I433" s="8" t="s">
        <v>992</v>
      </c>
      <c r="J433" s="9">
        <f t="shared" si="150"/>
        <v>0</v>
      </c>
      <c r="K433" s="9">
        <f t="shared" si="167"/>
        <v>0</v>
      </c>
      <c r="L433" s="9">
        <f t="shared" si="151"/>
        <v>0</v>
      </c>
      <c r="M433" s="9">
        <f t="shared" si="152"/>
        <v>0</v>
      </c>
      <c r="N433" s="9">
        <f t="shared" si="153"/>
        <v>0</v>
      </c>
      <c r="O433" s="9">
        <f t="shared" si="154"/>
        <v>1</v>
      </c>
      <c r="P433" s="9">
        <f t="shared" si="155"/>
        <v>0</v>
      </c>
      <c r="Q433" s="9">
        <f t="shared" si="156"/>
        <v>0</v>
      </c>
      <c r="R433" s="9">
        <f t="shared" si="157"/>
        <v>0</v>
      </c>
      <c r="S433" s="9">
        <f t="shared" si="158"/>
        <v>0</v>
      </c>
      <c r="T433" s="9">
        <f t="shared" si="159"/>
        <v>0</v>
      </c>
      <c r="U433" s="9">
        <f t="shared" si="160"/>
        <v>0</v>
      </c>
      <c r="V433" s="9">
        <f t="shared" si="161"/>
        <v>0</v>
      </c>
      <c r="W433" s="9">
        <f t="shared" si="162"/>
        <v>0</v>
      </c>
      <c r="X433" s="9">
        <f t="shared" si="163"/>
        <v>0</v>
      </c>
      <c r="Y433" s="9">
        <f t="shared" si="164"/>
        <v>0</v>
      </c>
      <c r="Z433" s="9">
        <f t="shared" si="165"/>
        <v>0</v>
      </c>
      <c r="AA433" s="10">
        <f t="shared" si="166"/>
        <v>0</v>
      </c>
    </row>
    <row r="434" spans="1:27" x14ac:dyDescent="0.3">
      <c r="A434" s="4" t="s">
        <v>1302</v>
      </c>
      <c r="B434" s="4">
        <f t="shared" si="144"/>
        <v>1</v>
      </c>
      <c r="C434" s="4">
        <f t="shared" si="145"/>
        <v>0</v>
      </c>
      <c r="D434" s="4">
        <f t="shared" si="146"/>
        <v>0</v>
      </c>
      <c r="E434" s="4">
        <f t="shared" si="147"/>
        <v>0</v>
      </c>
      <c r="F434" s="4">
        <f t="shared" si="148"/>
        <v>0</v>
      </c>
      <c r="G434" s="4">
        <f t="shared" si="149"/>
        <v>0</v>
      </c>
      <c r="I434" s="11" t="s">
        <v>994</v>
      </c>
      <c r="J434" s="9">
        <f t="shared" si="150"/>
        <v>0</v>
      </c>
      <c r="K434" s="9">
        <f t="shared" si="167"/>
        <v>0</v>
      </c>
      <c r="L434" s="9">
        <f t="shared" si="151"/>
        <v>0</v>
      </c>
      <c r="M434" s="9">
        <f t="shared" si="152"/>
        <v>0</v>
      </c>
      <c r="N434" s="9">
        <f t="shared" si="153"/>
        <v>0</v>
      </c>
      <c r="O434" s="9">
        <f t="shared" si="154"/>
        <v>0</v>
      </c>
      <c r="P434" s="9">
        <f t="shared" si="155"/>
        <v>1</v>
      </c>
      <c r="Q434" s="9">
        <f t="shared" si="156"/>
        <v>0</v>
      </c>
      <c r="R434" s="9">
        <f t="shared" si="157"/>
        <v>0</v>
      </c>
      <c r="S434" s="9">
        <f t="shared" si="158"/>
        <v>0</v>
      </c>
      <c r="T434" s="9">
        <f t="shared" si="159"/>
        <v>0</v>
      </c>
      <c r="U434" s="9">
        <f t="shared" si="160"/>
        <v>0</v>
      </c>
      <c r="V434" s="9">
        <f t="shared" si="161"/>
        <v>0</v>
      </c>
      <c r="W434" s="9">
        <f t="shared" si="162"/>
        <v>0</v>
      </c>
      <c r="X434" s="9">
        <f t="shared" si="163"/>
        <v>0</v>
      </c>
      <c r="Y434" s="9">
        <f t="shared" si="164"/>
        <v>0</v>
      </c>
      <c r="Z434" s="9">
        <f t="shared" si="165"/>
        <v>0</v>
      </c>
      <c r="AA434" s="10">
        <f t="shared" si="166"/>
        <v>0</v>
      </c>
    </row>
    <row r="435" spans="1:27" x14ac:dyDescent="0.3">
      <c r="A435" s="18" t="s">
        <v>1305</v>
      </c>
      <c r="B435" s="4">
        <f t="shared" si="144"/>
        <v>0</v>
      </c>
      <c r="C435" s="4">
        <f t="shared" si="145"/>
        <v>0</v>
      </c>
      <c r="D435" s="4">
        <f t="shared" si="146"/>
        <v>0</v>
      </c>
      <c r="E435" s="4">
        <f t="shared" si="147"/>
        <v>0</v>
      </c>
      <c r="F435" s="4">
        <f t="shared" si="148"/>
        <v>0</v>
      </c>
      <c r="G435" s="4">
        <f t="shared" si="149"/>
        <v>1</v>
      </c>
      <c r="I435" s="8" t="s">
        <v>990</v>
      </c>
      <c r="J435" s="9">
        <f t="shared" si="150"/>
        <v>0</v>
      </c>
      <c r="K435" s="9">
        <f t="shared" si="167"/>
        <v>0</v>
      </c>
      <c r="L435" s="9">
        <f t="shared" si="151"/>
        <v>0</v>
      </c>
      <c r="M435" s="9">
        <f t="shared" si="152"/>
        <v>0</v>
      </c>
      <c r="N435" s="9">
        <f t="shared" si="153"/>
        <v>1</v>
      </c>
      <c r="O435" s="9">
        <f t="shared" si="154"/>
        <v>0</v>
      </c>
      <c r="P435" s="9">
        <f t="shared" si="155"/>
        <v>0</v>
      </c>
      <c r="Q435" s="9">
        <f t="shared" si="156"/>
        <v>0</v>
      </c>
      <c r="R435" s="9">
        <f t="shared" si="157"/>
        <v>0</v>
      </c>
      <c r="S435" s="9">
        <f t="shared" si="158"/>
        <v>0</v>
      </c>
      <c r="T435" s="9">
        <f t="shared" si="159"/>
        <v>0</v>
      </c>
      <c r="U435" s="9">
        <f t="shared" si="160"/>
        <v>0</v>
      </c>
      <c r="V435" s="9">
        <f t="shared" si="161"/>
        <v>0</v>
      </c>
      <c r="W435" s="9">
        <f t="shared" si="162"/>
        <v>0</v>
      </c>
      <c r="X435" s="9">
        <f t="shared" si="163"/>
        <v>0</v>
      </c>
      <c r="Y435" s="9">
        <f t="shared" si="164"/>
        <v>0</v>
      </c>
      <c r="Z435" s="9">
        <f t="shared" si="165"/>
        <v>0</v>
      </c>
      <c r="AA435" s="10">
        <f t="shared" si="166"/>
        <v>0</v>
      </c>
    </row>
    <row r="436" spans="1:27" x14ac:dyDescent="0.3">
      <c r="A436" s="4" t="s">
        <v>1294</v>
      </c>
      <c r="B436" s="4">
        <f t="shared" si="144"/>
        <v>0</v>
      </c>
      <c r="C436" s="4">
        <f t="shared" si="145"/>
        <v>0</v>
      </c>
      <c r="D436" s="4">
        <f t="shared" si="146"/>
        <v>0</v>
      </c>
      <c r="E436" s="4">
        <f t="shared" si="147"/>
        <v>0</v>
      </c>
      <c r="F436" s="4">
        <f t="shared" si="148"/>
        <v>0</v>
      </c>
      <c r="G436" s="4">
        <f t="shared" si="149"/>
        <v>0</v>
      </c>
      <c r="I436" s="11" t="s">
        <v>1294</v>
      </c>
      <c r="J436" s="9">
        <f t="shared" si="150"/>
        <v>0</v>
      </c>
      <c r="K436" s="9">
        <f t="shared" si="167"/>
        <v>0</v>
      </c>
      <c r="L436" s="9">
        <f t="shared" si="151"/>
        <v>0</v>
      </c>
      <c r="M436" s="9">
        <f t="shared" si="152"/>
        <v>0</v>
      </c>
      <c r="N436" s="9">
        <f t="shared" si="153"/>
        <v>0</v>
      </c>
      <c r="O436" s="9">
        <f t="shared" si="154"/>
        <v>0</v>
      </c>
      <c r="P436" s="9">
        <f t="shared" si="155"/>
        <v>0</v>
      </c>
      <c r="Q436" s="9">
        <f t="shared" si="156"/>
        <v>0</v>
      </c>
      <c r="R436" s="9">
        <f t="shared" si="157"/>
        <v>0</v>
      </c>
      <c r="S436" s="9">
        <f t="shared" si="158"/>
        <v>0</v>
      </c>
      <c r="T436" s="9">
        <f t="shared" si="159"/>
        <v>0</v>
      </c>
      <c r="U436" s="9">
        <f t="shared" si="160"/>
        <v>0</v>
      </c>
      <c r="V436" s="9">
        <f t="shared" si="161"/>
        <v>0</v>
      </c>
      <c r="W436" s="9">
        <f t="shared" si="162"/>
        <v>0</v>
      </c>
      <c r="X436" s="9">
        <f t="shared" si="163"/>
        <v>0</v>
      </c>
      <c r="Y436" s="9">
        <f t="shared" si="164"/>
        <v>0</v>
      </c>
      <c r="Z436" s="9">
        <f t="shared" si="165"/>
        <v>0</v>
      </c>
      <c r="AA436" s="10">
        <f t="shared" si="166"/>
        <v>0</v>
      </c>
    </row>
    <row r="437" spans="1:27" x14ac:dyDescent="0.3">
      <c r="A437" s="18" t="s">
        <v>1294</v>
      </c>
      <c r="B437" s="4">
        <f t="shared" si="144"/>
        <v>0</v>
      </c>
      <c r="C437" s="4">
        <f t="shared" si="145"/>
        <v>0</v>
      </c>
      <c r="D437" s="4">
        <f t="shared" si="146"/>
        <v>0</v>
      </c>
      <c r="E437" s="4">
        <f t="shared" si="147"/>
        <v>0</v>
      </c>
      <c r="F437" s="4">
        <f t="shared" si="148"/>
        <v>0</v>
      </c>
      <c r="G437" s="4">
        <f t="shared" si="149"/>
        <v>0</v>
      </c>
      <c r="I437" s="8" t="s">
        <v>994</v>
      </c>
      <c r="J437" s="9">
        <f t="shared" si="150"/>
        <v>0</v>
      </c>
      <c r="K437" s="9">
        <f t="shared" si="167"/>
        <v>0</v>
      </c>
      <c r="L437" s="9">
        <f t="shared" si="151"/>
        <v>0</v>
      </c>
      <c r="M437" s="9">
        <f t="shared" si="152"/>
        <v>0</v>
      </c>
      <c r="N437" s="9">
        <f t="shared" si="153"/>
        <v>0</v>
      </c>
      <c r="O437" s="9">
        <f t="shared" si="154"/>
        <v>0</v>
      </c>
      <c r="P437" s="9">
        <f t="shared" si="155"/>
        <v>1</v>
      </c>
      <c r="Q437" s="9">
        <f t="shared" si="156"/>
        <v>0</v>
      </c>
      <c r="R437" s="9">
        <f t="shared" si="157"/>
        <v>0</v>
      </c>
      <c r="S437" s="9">
        <f t="shared" si="158"/>
        <v>0</v>
      </c>
      <c r="T437" s="9">
        <f t="shared" si="159"/>
        <v>0</v>
      </c>
      <c r="U437" s="9">
        <f t="shared" si="160"/>
        <v>0</v>
      </c>
      <c r="V437" s="9">
        <f t="shared" si="161"/>
        <v>0</v>
      </c>
      <c r="W437" s="9">
        <f t="shared" si="162"/>
        <v>0</v>
      </c>
      <c r="X437" s="9">
        <f t="shared" si="163"/>
        <v>0</v>
      </c>
      <c r="Y437" s="9">
        <f t="shared" si="164"/>
        <v>0</v>
      </c>
      <c r="Z437" s="9">
        <f t="shared" si="165"/>
        <v>0</v>
      </c>
      <c r="AA437" s="10">
        <f t="shared" si="166"/>
        <v>0</v>
      </c>
    </row>
    <row r="438" spans="1:27" x14ac:dyDescent="0.3">
      <c r="A438" s="4" t="s">
        <v>1302</v>
      </c>
      <c r="B438" s="4">
        <f t="shared" si="144"/>
        <v>1</v>
      </c>
      <c r="C438" s="4">
        <f t="shared" si="145"/>
        <v>0</v>
      </c>
      <c r="D438" s="4">
        <f t="shared" si="146"/>
        <v>0</v>
      </c>
      <c r="E438" s="4">
        <f t="shared" si="147"/>
        <v>0</v>
      </c>
      <c r="F438" s="4">
        <f t="shared" si="148"/>
        <v>0</v>
      </c>
      <c r="G438" s="4">
        <f t="shared" si="149"/>
        <v>0</v>
      </c>
      <c r="I438" s="11" t="s">
        <v>1044</v>
      </c>
      <c r="J438" s="9">
        <f t="shared" si="150"/>
        <v>0</v>
      </c>
      <c r="K438" s="9">
        <f t="shared" si="167"/>
        <v>0</v>
      </c>
      <c r="L438" s="9">
        <f t="shared" si="151"/>
        <v>0</v>
      </c>
      <c r="M438" s="9">
        <f t="shared" si="152"/>
        <v>0</v>
      </c>
      <c r="N438" s="9">
        <f t="shared" si="153"/>
        <v>0</v>
      </c>
      <c r="O438" s="9">
        <f t="shared" si="154"/>
        <v>0</v>
      </c>
      <c r="P438" s="9">
        <f t="shared" si="155"/>
        <v>0</v>
      </c>
      <c r="Q438" s="9">
        <f t="shared" si="156"/>
        <v>0</v>
      </c>
      <c r="R438" s="9">
        <f t="shared" si="157"/>
        <v>0</v>
      </c>
      <c r="S438" s="9">
        <f t="shared" si="158"/>
        <v>0</v>
      </c>
      <c r="T438" s="9">
        <f t="shared" si="159"/>
        <v>0</v>
      </c>
      <c r="U438" s="9">
        <f t="shared" si="160"/>
        <v>1</v>
      </c>
      <c r="V438" s="9">
        <f t="shared" si="161"/>
        <v>0</v>
      </c>
      <c r="W438" s="9">
        <f t="shared" si="162"/>
        <v>0</v>
      </c>
      <c r="X438" s="9">
        <f t="shared" si="163"/>
        <v>0</v>
      </c>
      <c r="Y438" s="9">
        <f t="shared" si="164"/>
        <v>0</v>
      </c>
      <c r="Z438" s="9">
        <f t="shared" si="165"/>
        <v>0</v>
      </c>
      <c r="AA438" s="10">
        <f t="shared" si="166"/>
        <v>0</v>
      </c>
    </row>
    <row r="439" spans="1:27" x14ac:dyDescent="0.3">
      <c r="A439" s="18" t="s">
        <v>1303</v>
      </c>
      <c r="B439" s="4">
        <f t="shared" si="144"/>
        <v>0</v>
      </c>
      <c r="C439" s="4">
        <f t="shared" si="145"/>
        <v>0</v>
      </c>
      <c r="D439" s="4">
        <f t="shared" si="146"/>
        <v>0</v>
      </c>
      <c r="E439" s="4">
        <f t="shared" si="147"/>
        <v>0</v>
      </c>
      <c r="F439" s="4">
        <f t="shared" si="148"/>
        <v>1</v>
      </c>
      <c r="G439" s="4">
        <f t="shared" si="149"/>
        <v>0</v>
      </c>
      <c r="I439" s="8" t="s">
        <v>990</v>
      </c>
      <c r="J439" s="9">
        <f t="shared" si="150"/>
        <v>0</v>
      </c>
      <c r="K439" s="9">
        <f t="shared" si="167"/>
        <v>0</v>
      </c>
      <c r="L439" s="9">
        <f t="shared" si="151"/>
        <v>0</v>
      </c>
      <c r="M439" s="9">
        <f t="shared" si="152"/>
        <v>0</v>
      </c>
      <c r="N439" s="9">
        <f t="shared" si="153"/>
        <v>1</v>
      </c>
      <c r="O439" s="9">
        <f t="shared" si="154"/>
        <v>0</v>
      </c>
      <c r="P439" s="9">
        <f t="shared" si="155"/>
        <v>0</v>
      </c>
      <c r="Q439" s="9">
        <f t="shared" si="156"/>
        <v>0</v>
      </c>
      <c r="R439" s="9">
        <f t="shared" si="157"/>
        <v>0</v>
      </c>
      <c r="S439" s="9">
        <f t="shared" si="158"/>
        <v>0</v>
      </c>
      <c r="T439" s="9">
        <f t="shared" si="159"/>
        <v>0</v>
      </c>
      <c r="U439" s="9">
        <f t="shared" si="160"/>
        <v>0</v>
      </c>
      <c r="V439" s="9">
        <f t="shared" si="161"/>
        <v>0</v>
      </c>
      <c r="W439" s="9">
        <f t="shared" si="162"/>
        <v>0</v>
      </c>
      <c r="X439" s="9">
        <f t="shared" si="163"/>
        <v>0</v>
      </c>
      <c r="Y439" s="9">
        <f t="shared" si="164"/>
        <v>0</v>
      </c>
      <c r="Z439" s="9">
        <f t="shared" si="165"/>
        <v>0</v>
      </c>
      <c r="AA439" s="10">
        <f t="shared" si="166"/>
        <v>0</v>
      </c>
    </row>
    <row r="440" spans="1:27" x14ac:dyDescent="0.3">
      <c r="A440" s="4" t="s">
        <v>1303</v>
      </c>
      <c r="B440" s="4">
        <f t="shared" si="144"/>
        <v>0</v>
      </c>
      <c r="C440" s="4">
        <f t="shared" si="145"/>
        <v>0</v>
      </c>
      <c r="D440" s="4">
        <f t="shared" si="146"/>
        <v>0</v>
      </c>
      <c r="E440" s="4">
        <f t="shared" si="147"/>
        <v>0</v>
      </c>
      <c r="F440" s="4">
        <f t="shared" si="148"/>
        <v>1</v>
      </c>
      <c r="G440" s="4">
        <f t="shared" si="149"/>
        <v>0</v>
      </c>
      <c r="I440" s="11" t="s">
        <v>977</v>
      </c>
      <c r="J440" s="9">
        <f t="shared" si="150"/>
        <v>1</v>
      </c>
      <c r="K440" s="9">
        <f t="shared" si="167"/>
        <v>0</v>
      </c>
      <c r="L440" s="9">
        <f t="shared" si="151"/>
        <v>0</v>
      </c>
      <c r="M440" s="9">
        <f t="shared" si="152"/>
        <v>0</v>
      </c>
      <c r="N440" s="9">
        <f t="shared" si="153"/>
        <v>0</v>
      </c>
      <c r="O440" s="9">
        <f t="shared" si="154"/>
        <v>0</v>
      </c>
      <c r="P440" s="9">
        <f t="shared" si="155"/>
        <v>0</v>
      </c>
      <c r="Q440" s="9">
        <f t="shared" si="156"/>
        <v>0</v>
      </c>
      <c r="R440" s="9">
        <f t="shared" si="157"/>
        <v>0</v>
      </c>
      <c r="S440" s="9">
        <f t="shared" si="158"/>
        <v>0</v>
      </c>
      <c r="T440" s="9">
        <f t="shared" si="159"/>
        <v>0</v>
      </c>
      <c r="U440" s="9">
        <f t="shared" si="160"/>
        <v>0</v>
      </c>
      <c r="V440" s="9">
        <f t="shared" si="161"/>
        <v>0</v>
      </c>
      <c r="W440" s="9">
        <f t="shared" si="162"/>
        <v>0</v>
      </c>
      <c r="X440" s="9">
        <f t="shared" si="163"/>
        <v>0</v>
      </c>
      <c r="Y440" s="9">
        <f t="shared" si="164"/>
        <v>0</v>
      </c>
      <c r="Z440" s="9">
        <f t="shared" si="165"/>
        <v>0</v>
      </c>
      <c r="AA440" s="10">
        <f t="shared" si="166"/>
        <v>0</v>
      </c>
    </row>
    <row r="441" spans="1:27" x14ac:dyDescent="0.3">
      <c r="A441" s="18" t="s">
        <v>1304</v>
      </c>
      <c r="B441" s="4">
        <f t="shared" si="144"/>
        <v>0</v>
      </c>
      <c r="C441" s="4">
        <f t="shared" si="145"/>
        <v>1</v>
      </c>
      <c r="D441" s="4">
        <f t="shared" si="146"/>
        <v>0</v>
      </c>
      <c r="E441" s="4">
        <f t="shared" si="147"/>
        <v>0</v>
      </c>
      <c r="F441" s="4">
        <f t="shared" si="148"/>
        <v>0</v>
      </c>
      <c r="G441" s="4">
        <f t="shared" si="149"/>
        <v>0</v>
      </c>
      <c r="I441" s="8" t="s">
        <v>988</v>
      </c>
      <c r="J441" s="9">
        <f t="shared" si="150"/>
        <v>0</v>
      </c>
      <c r="K441" s="9">
        <f t="shared" si="167"/>
        <v>0</v>
      </c>
      <c r="L441" s="9">
        <f t="shared" si="151"/>
        <v>1</v>
      </c>
      <c r="M441" s="9">
        <f t="shared" si="152"/>
        <v>0</v>
      </c>
      <c r="N441" s="9">
        <f t="shared" si="153"/>
        <v>0</v>
      </c>
      <c r="O441" s="9">
        <f t="shared" si="154"/>
        <v>0</v>
      </c>
      <c r="P441" s="9">
        <f t="shared" si="155"/>
        <v>0</v>
      </c>
      <c r="Q441" s="9">
        <f t="shared" si="156"/>
        <v>0</v>
      </c>
      <c r="R441" s="9">
        <f t="shared" si="157"/>
        <v>0</v>
      </c>
      <c r="S441" s="9">
        <f t="shared" si="158"/>
        <v>0</v>
      </c>
      <c r="T441" s="9">
        <f t="shared" si="159"/>
        <v>0</v>
      </c>
      <c r="U441" s="9">
        <f t="shared" si="160"/>
        <v>0</v>
      </c>
      <c r="V441" s="9">
        <f t="shared" si="161"/>
        <v>0</v>
      </c>
      <c r="W441" s="9">
        <f t="shared" si="162"/>
        <v>0</v>
      </c>
      <c r="X441" s="9">
        <f t="shared" si="163"/>
        <v>0</v>
      </c>
      <c r="Y441" s="9">
        <f t="shared" si="164"/>
        <v>0</v>
      </c>
      <c r="Z441" s="9">
        <f t="shared" si="165"/>
        <v>0</v>
      </c>
      <c r="AA441" s="10">
        <f t="shared" si="166"/>
        <v>0</v>
      </c>
    </row>
    <row r="442" spans="1:27" x14ac:dyDescent="0.3">
      <c r="A442" s="4" t="s">
        <v>1294</v>
      </c>
      <c r="B442" s="4">
        <f t="shared" si="144"/>
        <v>0</v>
      </c>
      <c r="C442" s="4">
        <f t="shared" si="145"/>
        <v>0</v>
      </c>
      <c r="D442" s="4">
        <f t="shared" si="146"/>
        <v>0</v>
      </c>
      <c r="E442" s="4">
        <f t="shared" si="147"/>
        <v>0</v>
      </c>
      <c r="F442" s="4">
        <f t="shared" si="148"/>
        <v>0</v>
      </c>
      <c r="G442" s="4">
        <f t="shared" si="149"/>
        <v>0</v>
      </c>
      <c r="I442" s="11" t="s">
        <v>996</v>
      </c>
      <c r="J442" s="9">
        <f t="shared" si="150"/>
        <v>0</v>
      </c>
      <c r="K442" s="9">
        <f t="shared" si="167"/>
        <v>0</v>
      </c>
      <c r="L442" s="9">
        <f t="shared" si="151"/>
        <v>0</v>
      </c>
      <c r="M442" s="9">
        <f t="shared" si="152"/>
        <v>0</v>
      </c>
      <c r="N442" s="9">
        <f t="shared" si="153"/>
        <v>0</v>
      </c>
      <c r="O442" s="9">
        <f t="shared" si="154"/>
        <v>0</v>
      </c>
      <c r="P442" s="9">
        <f t="shared" si="155"/>
        <v>0</v>
      </c>
      <c r="Q442" s="9">
        <f t="shared" si="156"/>
        <v>1</v>
      </c>
      <c r="R442" s="9">
        <f t="shared" si="157"/>
        <v>0</v>
      </c>
      <c r="S442" s="9">
        <f t="shared" si="158"/>
        <v>0</v>
      </c>
      <c r="T442" s="9">
        <f t="shared" si="159"/>
        <v>0</v>
      </c>
      <c r="U442" s="9">
        <f t="shared" si="160"/>
        <v>0</v>
      </c>
      <c r="V442" s="9">
        <f t="shared" si="161"/>
        <v>0</v>
      </c>
      <c r="W442" s="9">
        <f t="shared" si="162"/>
        <v>0</v>
      </c>
      <c r="X442" s="9">
        <f t="shared" si="163"/>
        <v>0</v>
      </c>
      <c r="Y442" s="9">
        <f t="shared" si="164"/>
        <v>0</v>
      </c>
      <c r="Z442" s="9">
        <f t="shared" si="165"/>
        <v>0</v>
      </c>
      <c r="AA442" s="10">
        <f t="shared" si="166"/>
        <v>0</v>
      </c>
    </row>
    <row r="443" spans="1:27" x14ac:dyDescent="0.3">
      <c r="A443" s="18" t="s">
        <v>1304</v>
      </c>
      <c r="B443" s="4">
        <f t="shared" si="144"/>
        <v>0</v>
      </c>
      <c r="C443" s="4">
        <f t="shared" si="145"/>
        <v>1</v>
      </c>
      <c r="D443" s="4">
        <f t="shared" si="146"/>
        <v>0</v>
      </c>
      <c r="E443" s="4">
        <f t="shared" si="147"/>
        <v>0</v>
      </c>
      <c r="F443" s="4">
        <f t="shared" si="148"/>
        <v>0</v>
      </c>
      <c r="G443" s="4">
        <f t="shared" si="149"/>
        <v>0</v>
      </c>
      <c r="I443" s="8" t="s">
        <v>988</v>
      </c>
      <c r="J443" s="9">
        <f t="shared" si="150"/>
        <v>0</v>
      </c>
      <c r="K443" s="9">
        <f t="shared" si="167"/>
        <v>0</v>
      </c>
      <c r="L443" s="9">
        <f t="shared" si="151"/>
        <v>1</v>
      </c>
      <c r="M443" s="9">
        <f t="shared" si="152"/>
        <v>0</v>
      </c>
      <c r="N443" s="9">
        <f t="shared" si="153"/>
        <v>0</v>
      </c>
      <c r="O443" s="9">
        <f t="shared" si="154"/>
        <v>0</v>
      </c>
      <c r="P443" s="9">
        <f t="shared" si="155"/>
        <v>0</v>
      </c>
      <c r="Q443" s="9">
        <f t="shared" si="156"/>
        <v>0</v>
      </c>
      <c r="R443" s="9">
        <f t="shared" si="157"/>
        <v>0</v>
      </c>
      <c r="S443" s="9">
        <f t="shared" si="158"/>
        <v>0</v>
      </c>
      <c r="T443" s="9">
        <f t="shared" si="159"/>
        <v>0</v>
      </c>
      <c r="U443" s="9">
        <f t="shared" si="160"/>
        <v>0</v>
      </c>
      <c r="V443" s="9">
        <f t="shared" si="161"/>
        <v>0</v>
      </c>
      <c r="W443" s="9">
        <f t="shared" si="162"/>
        <v>0</v>
      </c>
      <c r="X443" s="9">
        <f t="shared" si="163"/>
        <v>0</v>
      </c>
      <c r="Y443" s="9">
        <f t="shared" si="164"/>
        <v>0</v>
      </c>
      <c r="Z443" s="9">
        <f t="shared" si="165"/>
        <v>0</v>
      </c>
      <c r="AA443" s="10">
        <f t="shared" si="166"/>
        <v>0</v>
      </c>
    </row>
    <row r="444" spans="1:27" x14ac:dyDescent="0.3">
      <c r="A444" s="4" t="s">
        <v>1302</v>
      </c>
      <c r="B444" s="4">
        <f t="shared" si="144"/>
        <v>1</v>
      </c>
      <c r="C444" s="4">
        <f t="shared" si="145"/>
        <v>0</v>
      </c>
      <c r="D444" s="4">
        <f t="shared" si="146"/>
        <v>0</v>
      </c>
      <c r="E444" s="4">
        <f t="shared" si="147"/>
        <v>0</v>
      </c>
      <c r="F444" s="4">
        <f t="shared" si="148"/>
        <v>0</v>
      </c>
      <c r="G444" s="4">
        <f t="shared" si="149"/>
        <v>0</v>
      </c>
      <c r="I444" s="11" t="s">
        <v>988</v>
      </c>
      <c r="J444" s="9">
        <f t="shared" si="150"/>
        <v>0</v>
      </c>
      <c r="K444" s="9">
        <f t="shared" si="167"/>
        <v>0</v>
      </c>
      <c r="L444" s="9">
        <f t="shared" si="151"/>
        <v>1</v>
      </c>
      <c r="M444" s="9">
        <f t="shared" si="152"/>
        <v>0</v>
      </c>
      <c r="N444" s="9">
        <f t="shared" si="153"/>
        <v>0</v>
      </c>
      <c r="O444" s="9">
        <f t="shared" si="154"/>
        <v>0</v>
      </c>
      <c r="P444" s="9">
        <f t="shared" si="155"/>
        <v>0</v>
      </c>
      <c r="Q444" s="9">
        <f t="shared" si="156"/>
        <v>0</v>
      </c>
      <c r="R444" s="9">
        <f t="shared" si="157"/>
        <v>0</v>
      </c>
      <c r="S444" s="9">
        <f t="shared" si="158"/>
        <v>0</v>
      </c>
      <c r="T444" s="9">
        <f t="shared" si="159"/>
        <v>0</v>
      </c>
      <c r="U444" s="9">
        <f t="shared" si="160"/>
        <v>0</v>
      </c>
      <c r="V444" s="9">
        <f t="shared" si="161"/>
        <v>0</v>
      </c>
      <c r="W444" s="9">
        <f t="shared" si="162"/>
        <v>0</v>
      </c>
      <c r="X444" s="9">
        <f t="shared" si="163"/>
        <v>0</v>
      </c>
      <c r="Y444" s="9">
        <f t="shared" si="164"/>
        <v>0</v>
      </c>
      <c r="Z444" s="9">
        <f t="shared" si="165"/>
        <v>0</v>
      </c>
      <c r="AA444" s="10">
        <f t="shared" si="166"/>
        <v>0</v>
      </c>
    </row>
    <row r="445" spans="1:27" x14ac:dyDescent="0.3">
      <c r="A445" s="18" t="s">
        <v>1303</v>
      </c>
      <c r="B445" s="4">
        <f t="shared" si="144"/>
        <v>0</v>
      </c>
      <c r="C445" s="4">
        <f t="shared" si="145"/>
        <v>0</v>
      </c>
      <c r="D445" s="4">
        <f t="shared" si="146"/>
        <v>0</v>
      </c>
      <c r="E445" s="4">
        <f t="shared" si="147"/>
        <v>0</v>
      </c>
      <c r="F445" s="4">
        <f t="shared" si="148"/>
        <v>1</v>
      </c>
      <c r="G445" s="4">
        <f t="shared" si="149"/>
        <v>0</v>
      </c>
      <c r="I445" s="8" t="s">
        <v>1294</v>
      </c>
      <c r="J445" s="9">
        <f t="shared" si="150"/>
        <v>0</v>
      </c>
      <c r="K445" s="9">
        <f t="shared" si="167"/>
        <v>0</v>
      </c>
      <c r="L445" s="9">
        <f t="shared" si="151"/>
        <v>0</v>
      </c>
      <c r="M445" s="9">
        <f t="shared" si="152"/>
        <v>0</v>
      </c>
      <c r="N445" s="9">
        <f t="shared" si="153"/>
        <v>0</v>
      </c>
      <c r="O445" s="9">
        <f t="shared" si="154"/>
        <v>0</v>
      </c>
      <c r="P445" s="9">
        <f t="shared" si="155"/>
        <v>0</v>
      </c>
      <c r="Q445" s="9">
        <f t="shared" si="156"/>
        <v>0</v>
      </c>
      <c r="R445" s="9">
        <f t="shared" si="157"/>
        <v>0</v>
      </c>
      <c r="S445" s="9">
        <f t="shared" si="158"/>
        <v>0</v>
      </c>
      <c r="T445" s="9">
        <f t="shared" si="159"/>
        <v>0</v>
      </c>
      <c r="U445" s="9">
        <f t="shared" si="160"/>
        <v>0</v>
      </c>
      <c r="V445" s="9">
        <f t="shared" si="161"/>
        <v>0</v>
      </c>
      <c r="W445" s="9">
        <f t="shared" si="162"/>
        <v>0</v>
      </c>
      <c r="X445" s="9">
        <f t="shared" si="163"/>
        <v>0</v>
      </c>
      <c r="Y445" s="9">
        <f t="shared" si="164"/>
        <v>0</v>
      </c>
      <c r="Z445" s="9">
        <f t="shared" si="165"/>
        <v>0</v>
      </c>
      <c r="AA445" s="10">
        <f t="shared" si="166"/>
        <v>0</v>
      </c>
    </row>
    <row r="446" spans="1:27" x14ac:dyDescent="0.3">
      <c r="A446" s="4" t="s">
        <v>1302</v>
      </c>
      <c r="B446" s="4">
        <f t="shared" si="144"/>
        <v>1</v>
      </c>
      <c r="C446" s="4">
        <f t="shared" si="145"/>
        <v>0</v>
      </c>
      <c r="D446" s="4">
        <f t="shared" si="146"/>
        <v>0</v>
      </c>
      <c r="E446" s="4">
        <f t="shared" si="147"/>
        <v>0</v>
      </c>
      <c r="F446" s="4">
        <f t="shared" si="148"/>
        <v>0</v>
      </c>
      <c r="G446" s="4">
        <f t="shared" si="149"/>
        <v>0</v>
      </c>
      <c r="I446" s="11" t="s">
        <v>977</v>
      </c>
      <c r="J446" s="9">
        <f t="shared" si="150"/>
        <v>1</v>
      </c>
      <c r="K446" s="9">
        <f t="shared" si="167"/>
        <v>0</v>
      </c>
      <c r="L446" s="9">
        <f t="shared" si="151"/>
        <v>0</v>
      </c>
      <c r="M446" s="9">
        <f t="shared" si="152"/>
        <v>0</v>
      </c>
      <c r="N446" s="9">
        <f t="shared" si="153"/>
        <v>0</v>
      </c>
      <c r="O446" s="9">
        <f t="shared" si="154"/>
        <v>0</v>
      </c>
      <c r="P446" s="9">
        <f t="shared" si="155"/>
        <v>0</v>
      </c>
      <c r="Q446" s="9">
        <f t="shared" si="156"/>
        <v>0</v>
      </c>
      <c r="R446" s="9">
        <f t="shared" si="157"/>
        <v>0</v>
      </c>
      <c r="S446" s="9">
        <f t="shared" si="158"/>
        <v>0</v>
      </c>
      <c r="T446" s="9">
        <f t="shared" si="159"/>
        <v>0</v>
      </c>
      <c r="U446" s="9">
        <f t="shared" si="160"/>
        <v>0</v>
      </c>
      <c r="V446" s="9">
        <f t="shared" si="161"/>
        <v>0</v>
      </c>
      <c r="W446" s="9">
        <f t="shared" si="162"/>
        <v>0</v>
      </c>
      <c r="X446" s="9">
        <f t="shared" si="163"/>
        <v>0</v>
      </c>
      <c r="Y446" s="9">
        <f t="shared" si="164"/>
        <v>0</v>
      </c>
      <c r="Z446" s="9">
        <f t="shared" si="165"/>
        <v>0</v>
      </c>
      <c r="AA446" s="10">
        <f t="shared" si="166"/>
        <v>0</v>
      </c>
    </row>
    <row r="447" spans="1:27" x14ac:dyDescent="0.3">
      <c r="A447" s="18" t="s">
        <v>1294</v>
      </c>
      <c r="B447" s="4">
        <f t="shared" si="144"/>
        <v>0</v>
      </c>
      <c r="C447" s="4">
        <f t="shared" si="145"/>
        <v>0</v>
      </c>
      <c r="D447" s="4">
        <f t="shared" si="146"/>
        <v>0</v>
      </c>
      <c r="E447" s="4">
        <f t="shared" si="147"/>
        <v>0</v>
      </c>
      <c r="F447" s="4">
        <f t="shared" si="148"/>
        <v>0</v>
      </c>
      <c r="G447" s="4">
        <f t="shared" si="149"/>
        <v>0</v>
      </c>
      <c r="I447" s="8" t="s">
        <v>994</v>
      </c>
      <c r="J447" s="9">
        <f t="shared" si="150"/>
        <v>0</v>
      </c>
      <c r="K447" s="9">
        <f t="shared" si="167"/>
        <v>0</v>
      </c>
      <c r="L447" s="9">
        <f t="shared" si="151"/>
        <v>0</v>
      </c>
      <c r="M447" s="9">
        <f t="shared" si="152"/>
        <v>0</v>
      </c>
      <c r="N447" s="9">
        <f t="shared" si="153"/>
        <v>0</v>
      </c>
      <c r="O447" s="9">
        <f t="shared" si="154"/>
        <v>0</v>
      </c>
      <c r="P447" s="9">
        <f t="shared" si="155"/>
        <v>1</v>
      </c>
      <c r="Q447" s="9">
        <f t="shared" si="156"/>
        <v>0</v>
      </c>
      <c r="R447" s="9">
        <f t="shared" si="157"/>
        <v>0</v>
      </c>
      <c r="S447" s="9">
        <f t="shared" si="158"/>
        <v>0</v>
      </c>
      <c r="T447" s="9">
        <f t="shared" si="159"/>
        <v>0</v>
      </c>
      <c r="U447" s="9">
        <f t="shared" si="160"/>
        <v>0</v>
      </c>
      <c r="V447" s="9">
        <f t="shared" si="161"/>
        <v>0</v>
      </c>
      <c r="W447" s="9">
        <f t="shared" si="162"/>
        <v>0</v>
      </c>
      <c r="X447" s="9">
        <f t="shared" si="163"/>
        <v>0</v>
      </c>
      <c r="Y447" s="9">
        <f t="shared" si="164"/>
        <v>0</v>
      </c>
      <c r="Z447" s="9">
        <f t="shared" si="165"/>
        <v>0</v>
      </c>
      <c r="AA447" s="10">
        <f t="shared" si="166"/>
        <v>0</v>
      </c>
    </row>
    <row r="448" spans="1:27" x14ac:dyDescent="0.3">
      <c r="A448" s="4" t="s">
        <v>1302</v>
      </c>
      <c r="B448" s="4">
        <f t="shared" si="144"/>
        <v>1</v>
      </c>
      <c r="C448" s="4">
        <f t="shared" si="145"/>
        <v>0</v>
      </c>
      <c r="D448" s="4">
        <f t="shared" si="146"/>
        <v>0</v>
      </c>
      <c r="E448" s="4">
        <f t="shared" si="147"/>
        <v>0</v>
      </c>
      <c r="F448" s="4">
        <f t="shared" si="148"/>
        <v>0</v>
      </c>
      <c r="G448" s="4">
        <f t="shared" si="149"/>
        <v>0</v>
      </c>
      <c r="I448" s="11" t="s">
        <v>994</v>
      </c>
      <c r="J448" s="9">
        <f t="shared" si="150"/>
        <v>0</v>
      </c>
      <c r="K448" s="9">
        <f t="shared" si="167"/>
        <v>0</v>
      </c>
      <c r="L448" s="9">
        <f t="shared" si="151"/>
        <v>0</v>
      </c>
      <c r="M448" s="9">
        <f t="shared" si="152"/>
        <v>0</v>
      </c>
      <c r="N448" s="9">
        <f t="shared" si="153"/>
        <v>0</v>
      </c>
      <c r="O448" s="9">
        <f t="shared" si="154"/>
        <v>0</v>
      </c>
      <c r="P448" s="9">
        <f t="shared" si="155"/>
        <v>1</v>
      </c>
      <c r="Q448" s="9">
        <f t="shared" si="156"/>
        <v>0</v>
      </c>
      <c r="R448" s="9">
        <f t="shared" si="157"/>
        <v>0</v>
      </c>
      <c r="S448" s="9">
        <f t="shared" si="158"/>
        <v>0</v>
      </c>
      <c r="T448" s="9">
        <f t="shared" si="159"/>
        <v>0</v>
      </c>
      <c r="U448" s="9">
        <f t="shared" si="160"/>
        <v>0</v>
      </c>
      <c r="V448" s="9">
        <f t="shared" si="161"/>
        <v>0</v>
      </c>
      <c r="W448" s="9">
        <f t="shared" si="162"/>
        <v>0</v>
      </c>
      <c r="X448" s="9">
        <f t="shared" si="163"/>
        <v>0</v>
      </c>
      <c r="Y448" s="9">
        <f t="shared" si="164"/>
        <v>0</v>
      </c>
      <c r="Z448" s="9">
        <f t="shared" si="165"/>
        <v>0</v>
      </c>
      <c r="AA448" s="10">
        <f t="shared" si="166"/>
        <v>0</v>
      </c>
    </row>
    <row r="449" spans="1:27" x14ac:dyDescent="0.3">
      <c r="A449" s="18" t="s">
        <v>1305</v>
      </c>
      <c r="B449" s="4">
        <f t="shared" si="144"/>
        <v>0</v>
      </c>
      <c r="C449" s="4">
        <f t="shared" si="145"/>
        <v>0</v>
      </c>
      <c r="D449" s="4">
        <f t="shared" si="146"/>
        <v>0</v>
      </c>
      <c r="E449" s="4">
        <f t="shared" si="147"/>
        <v>0</v>
      </c>
      <c r="F449" s="4">
        <f t="shared" si="148"/>
        <v>0</v>
      </c>
      <c r="G449" s="4">
        <f t="shared" si="149"/>
        <v>1</v>
      </c>
      <c r="I449" s="8" t="s">
        <v>977</v>
      </c>
      <c r="J449" s="9">
        <f t="shared" si="150"/>
        <v>1</v>
      </c>
      <c r="K449" s="9">
        <f t="shared" si="167"/>
        <v>0</v>
      </c>
      <c r="L449" s="9">
        <f t="shared" si="151"/>
        <v>0</v>
      </c>
      <c r="M449" s="9">
        <f t="shared" si="152"/>
        <v>0</v>
      </c>
      <c r="N449" s="9">
        <f t="shared" si="153"/>
        <v>0</v>
      </c>
      <c r="O449" s="9">
        <f t="shared" si="154"/>
        <v>0</v>
      </c>
      <c r="P449" s="9">
        <f t="shared" si="155"/>
        <v>0</v>
      </c>
      <c r="Q449" s="9">
        <f t="shared" si="156"/>
        <v>0</v>
      </c>
      <c r="R449" s="9">
        <f t="shared" si="157"/>
        <v>0</v>
      </c>
      <c r="S449" s="9">
        <f t="shared" si="158"/>
        <v>0</v>
      </c>
      <c r="T449" s="9">
        <f t="shared" si="159"/>
        <v>0</v>
      </c>
      <c r="U449" s="9">
        <f t="shared" si="160"/>
        <v>0</v>
      </c>
      <c r="V449" s="9">
        <f t="shared" si="161"/>
        <v>0</v>
      </c>
      <c r="W449" s="9">
        <f t="shared" si="162"/>
        <v>0</v>
      </c>
      <c r="X449" s="9">
        <f t="shared" si="163"/>
        <v>0</v>
      </c>
      <c r="Y449" s="9">
        <f t="shared" si="164"/>
        <v>0</v>
      </c>
      <c r="Z449" s="9">
        <f t="shared" si="165"/>
        <v>0</v>
      </c>
      <c r="AA449" s="10">
        <f t="shared" si="166"/>
        <v>0</v>
      </c>
    </row>
    <row r="450" spans="1:27" x14ac:dyDescent="0.3">
      <c r="A450" s="4" t="s">
        <v>1302</v>
      </c>
      <c r="B450" s="4">
        <f t="shared" si="144"/>
        <v>1</v>
      </c>
      <c r="C450" s="4">
        <f t="shared" si="145"/>
        <v>0</v>
      </c>
      <c r="D450" s="4">
        <f t="shared" si="146"/>
        <v>0</v>
      </c>
      <c r="E450" s="4">
        <f t="shared" si="147"/>
        <v>0</v>
      </c>
      <c r="F450" s="4">
        <f t="shared" si="148"/>
        <v>0</v>
      </c>
      <c r="G450" s="4">
        <f t="shared" si="149"/>
        <v>0</v>
      </c>
      <c r="I450" s="11" t="s">
        <v>994</v>
      </c>
      <c r="J450" s="9">
        <f t="shared" si="150"/>
        <v>0</v>
      </c>
      <c r="K450" s="9">
        <f t="shared" si="167"/>
        <v>0</v>
      </c>
      <c r="L450" s="9">
        <f t="shared" si="151"/>
        <v>0</v>
      </c>
      <c r="M450" s="9">
        <f t="shared" si="152"/>
        <v>0</v>
      </c>
      <c r="N450" s="9">
        <f t="shared" si="153"/>
        <v>0</v>
      </c>
      <c r="O450" s="9">
        <f t="shared" si="154"/>
        <v>0</v>
      </c>
      <c r="P450" s="9">
        <f t="shared" si="155"/>
        <v>1</v>
      </c>
      <c r="Q450" s="9">
        <f t="shared" si="156"/>
        <v>0</v>
      </c>
      <c r="R450" s="9">
        <f t="shared" si="157"/>
        <v>0</v>
      </c>
      <c r="S450" s="9">
        <f t="shared" si="158"/>
        <v>0</v>
      </c>
      <c r="T450" s="9">
        <f t="shared" si="159"/>
        <v>0</v>
      </c>
      <c r="U450" s="9">
        <f t="shared" si="160"/>
        <v>0</v>
      </c>
      <c r="V450" s="9">
        <f t="shared" si="161"/>
        <v>0</v>
      </c>
      <c r="W450" s="9">
        <f t="shared" si="162"/>
        <v>0</v>
      </c>
      <c r="X450" s="9">
        <f t="shared" si="163"/>
        <v>0</v>
      </c>
      <c r="Y450" s="9">
        <f t="shared" si="164"/>
        <v>0</v>
      </c>
      <c r="Z450" s="9">
        <f t="shared" si="165"/>
        <v>0</v>
      </c>
      <c r="AA450" s="10">
        <f t="shared" si="166"/>
        <v>0</v>
      </c>
    </row>
    <row r="451" spans="1:27" x14ac:dyDescent="0.3">
      <c r="A451" s="18" t="s">
        <v>1302</v>
      </c>
      <c r="B451" s="4">
        <f t="shared" si="144"/>
        <v>1</v>
      </c>
      <c r="C451" s="4">
        <f t="shared" si="145"/>
        <v>0</v>
      </c>
      <c r="D451" s="4">
        <f t="shared" si="146"/>
        <v>0</v>
      </c>
      <c r="E451" s="4">
        <f t="shared" si="147"/>
        <v>0</v>
      </c>
      <c r="F451" s="4">
        <f t="shared" si="148"/>
        <v>0</v>
      </c>
      <c r="G451" s="4">
        <f t="shared" si="149"/>
        <v>0</v>
      </c>
      <c r="I451" s="8" t="s">
        <v>996</v>
      </c>
      <c r="J451" s="9">
        <f t="shared" si="150"/>
        <v>0</v>
      </c>
      <c r="K451" s="9">
        <f t="shared" si="167"/>
        <v>0</v>
      </c>
      <c r="L451" s="9">
        <f t="shared" si="151"/>
        <v>0</v>
      </c>
      <c r="M451" s="9">
        <f t="shared" si="152"/>
        <v>0</v>
      </c>
      <c r="N451" s="9">
        <f t="shared" si="153"/>
        <v>0</v>
      </c>
      <c r="O451" s="9">
        <f t="shared" si="154"/>
        <v>0</v>
      </c>
      <c r="P451" s="9">
        <f t="shared" si="155"/>
        <v>0</v>
      </c>
      <c r="Q451" s="9">
        <f t="shared" si="156"/>
        <v>1</v>
      </c>
      <c r="R451" s="9">
        <f t="shared" si="157"/>
        <v>0</v>
      </c>
      <c r="S451" s="9">
        <f t="shared" si="158"/>
        <v>0</v>
      </c>
      <c r="T451" s="9">
        <f t="shared" si="159"/>
        <v>0</v>
      </c>
      <c r="U451" s="9">
        <f t="shared" si="160"/>
        <v>0</v>
      </c>
      <c r="V451" s="9">
        <f t="shared" si="161"/>
        <v>0</v>
      </c>
      <c r="W451" s="9">
        <f t="shared" si="162"/>
        <v>0</v>
      </c>
      <c r="X451" s="9">
        <f t="shared" si="163"/>
        <v>0</v>
      </c>
      <c r="Y451" s="9">
        <f t="shared" si="164"/>
        <v>0</v>
      </c>
      <c r="Z451" s="9">
        <f t="shared" si="165"/>
        <v>0</v>
      </c>
      <c r="AA451" s="10">
        <f t="shared" si="166"/>
        <v>0</v>
      </c>
    </row>
    <row r="452" spans="1:27" x14ac:dyDescent="0.3">
      <c r="A452" s="4" t="s">
        <v>1294</v>
      </c>
      <c r="B452" s="4">
        <f t="shared" ref="B452:B515" si="168">IF($A452="Asia",1,0)</f>
        <v>0</v>
      </c>
      <c r="C452" s="4">
        <f t="shared" ref="C452:C515" si="169">IF(A452="Europe",1,0)</f>
        <v>0</v>
      </c>
      <c r="D452" s="4">
        <f t="shared" ref="D452:D515" si="170">IF(A452="Africa",1,0)</f>
        <v>0</v>
      </c>
      <c r="E452" s="4">
        <f t="shared" ref="E452:E515" si="171">IF($A452="Australia",1,0)</f>
        <v>0</v>
      </c>
      <c r="F452" s="4">
        <f t="shared" ref="F452:F515" si="172">IF($A452="North America",1,0)</f>
        <v>0</v>
      </c>
      <c r="G452" s="4">
        <f t="shared" ref="G452:G515" si="173">IF($A452="South America",1,0)</f>
        <v>0</v>
      </c>
      <c r="I452" s="11" t="s">
        <v>994</v>
      </c>
      <c r="J452" s="9">
        <f t="shared" ref="J452:J515" si="174">IF(I452="Music",1,0)</f>
        <v>0</v>
      </c>
      <c r="K452" s="9">
        <f t="shared" si="167"/>
        <v>0</v>
      </c>
      <c r="L452" s="9">
        <f t="shared" ref="L452:L515" si="175">IF(I452="Entertainment",1,0)</f>
        <v>0</v>
      </c>
      <c r="M452" s="9">
        <f t="shared" ref="M452:M515" si="176">IF(I452="Nonprofits &amp; Activism",1,0)</f>
        <v>0</v>
      </c>
      <c r="N452" s="9">
        <f t="shared" ref="N452:N515" si="177">IF(I452="Education",1,0)</f>
        <v>0</v>
      </c>
      <c r="O452" s="9">
        <f t="shared" ref="O452:O515" si="178">IF(I452="Shows",1,0)</f>
        <v>0</v>
      </c>
      <c r="P452" s="9">
        <f t="shared" ref="P452:P515" si="179">IF(I452="People &amp; Blogs",1,0)</f>
        <v>1</v>
      </c>
      <c r="Q452" s="9">
        <f t="shared" ref="Q452:Q515" si="180">IF(I452="Gaming",1,0)</f>
        <v>0</v>
      </c>
      <c r="R452" s="9">
        <f t="shared" ref="R452:R515" si="181">IF(I452="Sports",1,0)</f>
        <v>0</v>
      </c>
      <c r="S452" s="9">
        <f t="shared" ref="S452:S515" si="182">IF(I452="Howto &amp; Style",1,0)</f>
        <v>0</v>
      </c>
      <c r="T452" s="9">
        <f t="shared" ref="T452:T515" si="183">IF(I452="News &amp; Politics",1,0)</f>
        <v>0</v>
      </c>
      <c r="U452" s="9">
        <f t="shared" ref="U452:U515" si="184">IF(I452="Comedy",1,0)</f>
        <v>0</v>
      </c>
      <c r="V452" s="9">
        <f t="shared" ref="V452:V515" si="185">IF(I452="Trailers",1,0)</f>
        <v>0</v>
      </c>
      <c r="W452" s="9">
        <f t="shared" ref="W452:W515" si="186">IF(I452="Movies",1,0)</f>
        <v>0</v>
      </c>
      <c r="X452" s="9">
        <f t="shared" ref="X452:X515" si="187">IF(I452="Autos &amp; Vehicles",1,0)</f>
        <v>0</v>
      </c>
      <c r="Y452" s="9">
        <f t="shared" ref="Y452:Y515" si="188">IF(I452="Pets &amp; Animals",1,0)</f>
        <v>0</v>
      </c>
      <c r="Z452" s="9">
        <f t="shared" ref="Z452:Z515" si="189">IF(I452="Science &amp; Technology",1,0)</f>
        <v>0</v>
      </c>
      <c r="AA452" s="10">
        <f t="shared" ref="AA452:AA515" si="190">IF(I452="Travel &amp; Events",1,0)</f>
        <v>0</v>
      </c>
    </row>
    <row r="453" spans="1:27" x14ac:dyDescent="0.3">
      <c r="A453" s="18" t="s">
        <v>1303</v>
      </c>
      <c r="B453" s="4">
        <f t="shared" si="168"/>
        <v>0</v>
      </c>
      <c r="C453" s="4">
        <f t="shared" si="169"/>
        <v>0</v>
      </c>
      <c r="D453" s="4">
        <f t="shared" si="170"/>
        <v>0</v>
      </c>
      <c r="E453" s="4">
        <f t="shared" si="171"/>
        <v>0</v>
      </c>
      <c r="F453" s="4">
        <f t="shared" si="172"/>
        <v>1</v>
      </c>
      <c r="G453" s="4">
        <f t="shared" si="173"/>
        <v>0</v>
      </c>
      <c r="I453" s="8" t="s">
        <v>977</v>
      </c>
      <c r="J453" s="9">
        <f t="shared" si="174"/>
        <v>1</v>
      </c>
      <c r="K453" s="9">
        <f t="shared" ref="K453:K516" si="191">IF(I453="Film &amp; Animation",1,0)</f>
        <v>0</v>
      </c>
      <c r="L453" s="9">
        <f t="shared" si="175"/>
        <v>0</v>
      </c>
      <c r="M453" s="9">
        <f t="shared" si="176"/>
        <v>0</v>
      </c>
      <c r="N453" s="9">
        <f t="shared" si="177"/>
        <v>0</v>
      </c>
      <c r="O453" s="9">
        <f t="shared" si="178"/>
        <v>0</v>
      </c>
      <c r="P453" s="9">
        <f t="shared" si="179"/>
        <v>0</v>
      </c>
      <c r="Q453" s="9">
        <f t="shared" si="180"/>
        <v>0</v>
      </c>
      <c r="R453" s="9">
        <f t="shared" si="181"/>
        <v>0</v>
      </c>
      <c r="S453" s="9">
        <f t="shared" si="182"/>
        <v>0</v>
      </c>
      <c r="T453" s="9">
        <f t="shared" si="183"/>
        <v>0</v>
      </c>
      <c r="U453" s="9">
        <f t="shared" si="184"/>
        <v>0</v>
      </c>
      <c r="V453" s="9">
        <f t="shared" si="185"/>
        <v>0</v>
      </c>
      <c r="W453" s="9">
        <f t="shared" si="186"/>
        <v>0</v>
      </c>
      <c r="X453" s="9">
        <f t="shared" si="187"/>
        <v>0</v>
      </c>
      <c r="Y453" s="9">
        <f t="shared" si="188"/>
        <v>0</v>
      </c>
      <c r="Z453" s="9">
        <f t="shared" si="189"/>
        <v>0</v>
      </c>
      <c r="AA453" s="10">
        <f t="shared" si="190"/>
        <v>0</v>
      </c>
    </row>
    <row r="454" spans="1:27" x14ac:dyDescent="0.3">
      <c r="A454" s="4" t="s">
        <v>1303</v>
      </c>
      <c r="B454" s="4">
        <f t="shared" si="168"/>
        <v>0</v>
      </c>
      <c r="C454" s="4">
        <f t="shared" si="169"/>
        <v>0</v>
      </c>
      <c r="D454" s="4">
        <f t="shared" si="170"/>
        <v>0</v>
      </c>
      <c r="E454" s="4">
        <f t="shared" si="171"/>
        <v>0</v>
      </c>
      <c r="F454" s="4">
        <f t="shared" si="172"/>
        <v>1</v>
      </c>
      <c r="G454" s="4">
        <f t="shared" si="173"/>
        <v>0</v>
      </c>
      <c r="I454" s="11" t="s">
        <v>988</v>
      </c>
      <c r="J454" s="9">
        <f t="shared" si="174"/>
        <v>0</v>
      </c>
      <c r="K454" s="9">
        <f t="shared" si="191"/>
        <v>0</v>
      </c>
      <c r="L454" s="9">
        <f t="shared" si="175"/>
        <v>1</v>
      </c>
      <c r="M454" s="9">
        <f t="shared" si="176"/>
        <v>0</v>
      </c>
      <c r="N454" s="9">
        <f t="shared" si="177"/>
        <v>0</v>
      </c>
      <c r="O454" s="9">
        <f t="shared" si="178"/>
        <v>0</v>
      </c>
      <c r="P454" s="9">
        <f t="shared" si="179"/>
        <v>0</v>
      </c>
      <c r="Q454" s="9">
        <f t="shared" si="180"/>
        <v>0</v>
      </c>
      <c r="R454" s="9">
        <f t="shared" si="181"/>
        <v>0</v>
      </c>
      <c r="S454" s="9">
        <f t="shared" si="182"/>
        <v>0</v>
      </c>
      <c r="T454" s="9">
        <f t="shared" si="183"/>
        <v>0</v>
      </c>
      <c r="U454" s="9">
        <f t="shared" si="184"/>
        <v>0</v>
      </c>
      <c r="V454" s="9">
        <f t="shared" si="185"/>
        <v>0</v>
      </c>
      <c r="W454" s="9">
        <f t="shared" si="186"/>
        <v>0</v>
      </c>
      <c r="X454" s="9">
        <f t="shared" si="187"/>
        <v>0</v>
      </c>
      <c r="Y454" s="9">
        <f t="shared" si="188"/>
        <v>0</v>
      </c>
      <c r="Z454" s="9">
        <f t="shared" si="189"/>
        <v>0</v>
      </c>
      <c r="AA454" s="10">
        <f t="shared" si="190"/>
        <v>0</v>
      </c>
    </row>
    <row r="455" spans="1:27" x14ac:dyDescent="0.3">
      <c r="A455" s="18" t="s">
        <v>1302</v>
      </c>
      <c r="B455" s="4">
        <f t="shared" si="168"/>
        <v>1</v>
      </c>
      <c r="C455" s="4">
        <f t="shared" si="169"/>
        <v>0</v>
      </c>
      <c r="D455" s="4">
        <f t="shared" si="170"/>
        <v>0</v>
      </c>
      <c r="E455" s="4">
        <f t="shared" si="171"/>
        <v>0</v>
      </c>
      <c r="F455" s="4">
        <f t="shared" si="172"/>
        <v>0</v>
      </c>
      <c r="G455" s="4">
        <f t="shared" si="173"/>
        <v>0</v>
      </c>
      <c r="I455" s="8" t="s">
        <v>977</v>
      </c>
      <c r="J455" s="9">
        <f t="shared" si="174"/>
        <v>1</v>
      </c>
      <c r="K455" s="9">
        <f t="shared" si="191"/>
        <v>0</v>
      </c>
      <c r="L455" s="9">
        <f t="shared" si="175"/>
        <v>0</v>
      </c>
      <c r="M455" s="9">
        <f t="shared" si="176"/>
        <v>0</v>
      </c>
      <c r="N455" s="9">
        <f t="shared" si="177"/>
        <v>0</v>
      </c>
      <c r="O455" s="9">
        <f t="shared" si="178"/>
        <v>0</v>
      </c>
      <c r="P455" s="9">
        <f t="shared" si="179"/>
        <v>0</v>
      </c>
      <c r="Q455" s="9">
        <f t="shared" si="180"/>
        <v>0</v>
      </c>
      <c r="R455" s="9">
        <f t="shared" si="181"/>
        <v>0</v>
      </c>
      <c r="S455" s="9">
        <f t="shared" si="182"/>
        <v>0</v>
      </c>
      <c r="T455" s="9">
        <f t="shared" si="183"/>
        <v>0</v>
      </c>
      <c r="U455" s="9">
        <f t="shared" si="184"/>
        <v>0</v>
      </c>
      <c r="V455" s="9">
        <f t="shared" si="185"/>
        <v>0</v>
      </c>
      <c r="W455" s="9">
        <f t="shared" si="186"/>
        <v>0</v>
      </c>
      <c r="X455" s="9">
        <f t="shared" si="187"/>
        <v>0</v>
      </c>
      <c r="Y455" s="9">
        <f t="shared" si="188"/>
        <v>0</v>
      </c>
      <c r="Z455" s="9">
        <f t="shared" si="189"/>
        <v>0</v>
      </c>
      <c r="AA455" s="10">
        <f t="shared" si="190"/>
        <v>0</v>
      </c>
    </row>
    <row r="456" spans="1:27" x14ac:dyDescent="0.3">
      <c r="A456" s="4" t="s">
        <v>1304</v>
      </c>
      <c r="B456" s="4">
        <f t="shared" si="168"/>
        <v>0</v>
      </c>
      <c r="C456" s="4">
        <f t="shared" si="169"/>
        <v>1</v>
      </c>
      <c r="D456" s="4">
        <f t="shared" si="170"/>
        <v>0</v>
      </c>
      <c r="E456" s="4">
        <f t="shared" si="171"/>
        <v>0</v>
      </c>
      <c r="F456" s="4">
        <f t="shared" si="172"/>
        <v>0</v>
      </c>
      <c r="G456" s="4">
        <f t="shared" si="173"/>
        <v>0</v>
      </c>
      <c r="I456" s="11" t="s">
        <v>1044</v>
      </c>
      <c r="J456" s="9">
        <f t="shared" si="174"/>
        <v>0</v>
      </c>
      <c r="K456" s="9">
        <f t="shared" si="191"/>
        <v>0</v>
      </c>
      <c r="L456" s="9">
        <f t="shared" si="175"/>
        <v>0</v>
      </c>
      <c r="M456" s="9">
        <f t="shared" si="176"/>
        <v>0</v>
      </c>
      <c r="N456" s="9">
        <f t="shared" si="177"/>
        <v>0</v>
      </c>
      <c r="O456" s="9">
        <f t="shared" si="178"/>
        <v>0</v>
      </c>
      <c r="P456" s="9">
        <f t="shared" si="179"/>
        <v>0</v>
      </c>
      <c r="Q456" s="9">
        <f t="shared" si="180"/>
        <v>0</v>
      </c>
      <c r="R456" s="9">
        <f t="shared" si="181"/>
        <v>0</v>
      </c>
      <c r="S456" s="9">
        <f t="shared" si="182"/>
        <v>0</v>
      </c>
      <c r="T456" s="9">
        <f t="shared" si="183"/>
        <v>0</v>
      </c>
      <c r="U456" s="9">
        <f t="shared" si="184"/>
        <v>1</v>
      </c>
      <c r="V456" s="9">
        <f t="shared" si="185"/>
        <v>0</v>
      </c>
      <c r="W456" s="9">
        <f t="shared" si="186"/>
        <v>0</v>
      </c>
      <c r="X456" s="9">
        <f t="shared" si="187"/>
        <v>0</v>
      </c>
      <c r="Y456" s="9">
        <f t="shared" si="188"/>
        <v>0</v>
      </c>
      <c r="Z456" s="9">
        <f t="shared" si="189"/>
        <v>0</v>
      </c>
      <c r="AA456" s="10">
        <f t="shared" si="190"/>
        <v>0</v>
      </c>
    </row>
    <row r="457" spans="1:27" x14ac:dyDescent="0.3">
      <c r="A457" s="18" t="s">
        <v>1303</v>
      </c>
      <c r="B457" s="4">
        <f t="shared" si="168"/>
        <v>0</v>
      </c>
      <c r="C457" s="4">
        <f t="shared" si="169"/>
        <v>0</v>
      </c>
      <c r="D457" s="4">
        <f t="shared" si="170"/>
        <v>0</v>
      </c>
      <c r="E457" s="4">
        <f t="shared" si="171"/>
        <v>0</v>
      </c>
      <c r="F457" s="4">
        <f t="shared" si="172"/>
        <v>1</v>
      </c>
      <c r="G457" s="4">
        <f t="shared" si="173"/>
        <v>0</v>
      </c>
      <c r="I457" s="8" t="s">
        <v>996</v>
      </c>
      <c r="J457" s="9">
        <f t="shared" si="174"/>
        <v>0</v>
      </c>
      <c r="K457" s="9">
        <f t="shared" si="191"/>
        <v>0</v>
      </c>
      <c r="L457" s="9">
        <f t="shared" si="175"/>
        <v>0</v>
      </c>
      <c r="M457" s="9">
        <f t="shared" si="176"/>
        <v>0</v>
      </c>
      <c r="N457" s="9">
        <f t="shared" si="177"/>
        <v>0</v>
      </c>
      <c r="O457" s="9">
        <f t="shared" si="178"/>
        <v>0</v>
      </c>
      <c r="P457" s="9">
        <f t="shared" si="179"/>
        <v>0</v>
      </c>
      <c r="Q457" s="9">
        <f t="shared" si="180"/>
        <v>1</v>
      </c>
      <c r="R457" s="9">
        <f t="shared" si="181"/>
        <v>0</v>
      </c>
      <c r="S457" s="9">
        <f t="shared" si="182"/>
        <v>0</v>
      </c>
      <c r="T457" s="9">
        <f t="shared" si="183"/>
        <v>0</v>
      </c>
      <c r="U457" s="9">
        <f t="shared" si="184"/>
        <v>0</v>
      </c>
      <c r="V457" s="9">
        <f t="shared" si="185"/>
        <v>0</v>
      </c>
      <c r="W457" s="9">
        <f t="shared" si="186"/>
        <v>0</v>
      </c>
      <c r="X457" s="9">
        <f t="shared" si="187"/>
        <v>0</v>
      </c>
      <c r="Y457" s="9">
        <f t="shared" si="188"/>
        <v>0</v>
      </c>
      <c r="Z457" s="9">
        <f t="shared" si="189"/>
        <v>0</v>
      </c>
      <c r="AA457" s="10">
        <f t="shared" si="190"/>
        <v>0</v>
      </c>
    </row>
    <row r="458" spans="1:27" x14ac:dyDescent="0.3">
      <c r="A458" s="4" t="s">
        <v>1303</v>
      </c>
      <c r="B458" s="4">
        <f t="shared" si="168"/>
        <v>0</v>
      </c>
      <c r="C458" s="4">
        <f t="shared" si="169"/>
        <v>0</v>
      </c>
      <c r="D458" s="4">
        <f t="shared" si="170"/>
        <v>0</v>
      </c>
      <c r="E458" s="4">
        <f t="shared" si="171"/>
        <v>0</v>
      </c>
      <c r="F458" s="4">
        <f t="shared" si="172"/>
        <v>1</v>
      </c>
      <c r="G458" s="4">
        <f t="shared" si="173"/>
        <v>0</v>
      </c>
      <c r="I458" s="11" t="s">
        <v>988</v>
      </c>
      <c r="J458" s="9">
        <f t="shared" si="174"/>
        <v>0</v>
      </c>
      <c r="K458" s="9">
        <f t="shared" si="191"/>
        <v>0</v>
      </c>
      <c r="L458" s="9">
        <f t="shared" si="175"/>
        <v>1</v>
      </c>
      <c r="M458" s="9">
        <f t="shared" si="176"/>
        <v>0</v>
      </c>
      <c r="N458" s="9">
        <f t="shared" si="177"/>
        <v>0</v>
      </c>
      <c r="O458" s="9">
        <f t="shared" si="178"/>
        <v>0</v>
      </c>
      <c r="P458" s="9">
        <f t="shared" si="179"/>
        <v>0</v>
      </c>
      <c r="Q458" s="9">
        <f t="shared" si="180"/>
        <v>0</v>
      </c>
      <c r="R458" s="9">
        <f t="shared" si="181"/>
        <v>0</v>
      </c>
      <c r="S458" s="9">
        <f t="shared" si="182"/>
        <v>0</v>
      </c>
      <c r="T458" s="9">
        <f t="shared" si="183"/>
        <v>0</v>
      </c>
      <c r="U458" s="9">
        <f t="shared" si="184"/>
        <v>0</v>
      </c>
      <c r="V458" s="9">
        <f t="shared" si="185"/>
        <v>0</v>
      </c>
      <c r="W458" s="9">
        <f t="shared" si="186"/>
        <v>0</v>
      </c>
      <c r="X458" s="9">
        <f t="shared" si="187"/>
        <v>0</v>
      </c>
      <c r="Y458" s="9">
        <f t="shared" si="188"/>
        <v>0</v>
      </c>
      <c r="Z458" s="9">
        <f t="shared" si="189"/>
        <v>0</v>
      </c>
      <c r="AA458" s="10">
        <f t="shared" si="190"/>
        <v>0</v>
      </c>
    </row>
    <row r="459" spans="1:27" x14ac:dyDescent="0.3">
      <c r="A459" s="18" t="s">
        <v>1302</v>
      </c>
      <c r="B459" s="4">
        <f t="shared" si="168"/>
        <v>1</v>
      </c>
      <c r="C459" s="4">
        <f t="shared" si="169"/>
        <v>0</v>
      </c>
      <c r="D459" s="4">
        <f t="shared" si="170"/>
        <v>0</v>
      </c>
      <c r="E459" s="4">
        <f t="shared" si="171"/>
        <v>0</v>
      </c>
      <c r="F459" s="4">
        <f t="shared" si="172"/>
        <v>0</v>
      </c>
      <c r="G459" s="4">
        <f t="shared" si="173"/>
        <v>0</v>
      </c>
      <c r="I459" s="8" t="s">
        <v>994</v>
      </c>
      <c r="J459" s="9">
        <f t="shared" si="174"/>
        <v>0</v>
      </c>
      <c r="K459" s="9">
        <f t="shared" si="191"/>
        <v>0</v>
      </c>
      <c r="L459" s="9">
        <f t="shared" si="175"/>
        <v>0</v>
      </c>
      <c r="M459" s="9">
        <f t="shared" si="176"/>
        <v>0</v>
      </c>
      <c r="N459" s="9">
        <f t="shared" si="177"/>
        <v>0</v>
      </c>
      <c r="O459" s="9">
        <f t="shared" si="178"/>
        <v>0</v>
      </c>
      <c r="P459" s="9">
        <f t="shared" si="179"/>
        <v>1</v>
      </c>
      <c r="Q459" s="9">
        <f t="shared" si="180"/>
        <v>0</v>
      </c>
      <c r="R459" s="9">
        <f t="shared" si="181"/>
        <v>0</v>
      </c>
      <c r="S459" s="9">
        <f t="shared" si="182"/>
        <v>0</v>
      </c>
      <c r="T459" s="9">
        <f t="shared" si="183"/>
        <v>0</v>
      </c>
      <c r="U459" s="9">
        <f t="shared" si="184"/>
        <v>0</v>
      </c>
      <c r="V459" s="9">
        <f t="shared" si="185"/>
        <v>0</v>
      </c>
      <c r="W459" s="9">
        <f t="shared" si="186"/>
        <v>0</v>
      </c>
      <c r="X459" s="9">
        <f t="shared" si="187"/>
        <v>0</v>
      </c>
      <c r="Y459" s="9">
        <f t="shared" si="188"/>
        <v>0</v>
      </c>
      <c r="Z459" s="9">
        <f t="shared" si="189"/>
        <v>0</v>
      </c>
      <c r="AA459" s="10">
        <f t="shared" si="190"/>
        <v>0</v>
      </c>
    </row>
    <row r="460" spans="1:27" x14ac:dyDescent="0.3">
      <c r="A460" s="4" t="s">
        <v>1294</v>
      </c>
      <c r="B460" s="4">
        <f t="shared" si="168"/>
        <v>0</v>
      </c>
      <c r="C460" s="4">
        <f t="shared" si="169"/>
        <v>0</v>
      </c>
      <c r="D460" s="4">
        <f t="shared" si="170"/>
        <v>0</v>
      </c>
      <c r="E460" s="4">
        <f t="shared" si="171"/>
        <v>0</v>
      </c>
      <c r="F460" s="4">
        <f t="shared" si="172"/>
        <v>0</v>
      </c>
      <c r="G460" s="4">
        <f t="shared" si="173"/>
        <v>0</v>
      </c>
      <c r="I460" s="11" t="s">
        <v>994</v>
      </c>
      <c r="J460" s="9">
        <f t="shared" si="174"/>
        <v>0</v>
      </c>
      <c r="K460" s="9">
        <f t="shared" si="191"/>
        <v>0</v>
      </c>
      <c r="L460" s="9">
        <f t="shared" si="175"/>
        <v>0</v>
      </c>
      <c r="M460" s="9">
        <f t="shared" si="176"/>
        <v>0</v>
      </c>
      <c r="N460" s="9">
        <f t="shared" si="177"/>
        <v>0</v>
      </c>
      <c r="O460" s="9">
        <f t="shared" si="178"/>
        <v>0</v>
      </c>
      <c r="P460" s="9">
        <f t="shared" si="179"/>
        <v>1</v>
      </c>
      <c r="Q460" s="9">
        <f t="shared" si="180"/>
        <v>0</v>
      </c>
      <c r="R460" s="9">
        <f t="shared" si="181"/>
        <v>0</v>
      </c>
      <c r="S460" s="9">
        <f t="shared" si="182"/>
        <v>0</v>
      </c>
      <c r="T460" s="9">
        <f t="shared" si="183"/>
        <v>0</v>
      </c>
      <c r="U460" s="9">
        <f t="shared" si="184"/>
        <v>0</v>
      </c>
      <c r="V460" s="9">
        <f t="shared" si="185"/>
        <v>0</v>
      </c>
      <c r="W460" s="9">
        <f t="shared" si="186"/>
        <v>0</v>
      </c>
      <c r="X460" s="9">
        <f t="shared" si="187"/>
        <v>0</v>
      </c>
      <c r="Y460" s="9">
        <f t="shared" si="188"/>
        <v>0</v>
      </c>
      <c r="Z460" s="9">
        <f t="shared" si="189"/>
        <v>0</v>
      </c>
      <c r="AA460" s="10">
        <f t="shared" si="190"/>
        <v>0</v>
      </c>
    </row>
    <row r="461" spans="1:27" x14ac:dyDescent="0.3">
      <c r="A461" s="18" t="s">
        <v>1305</v>
      </c>
      <c r="B461" s="4">
        <f t="shared" si="168"/>
        <v>0</v>
      </c>
      <c r="C461" s="4">
        <f t="shared" si="169"/>
        <v>0</v>
      </c>
      <c r="D461" s="4">
        <f t="shared" si="170"/>
        <v>0</v>
      </c>
      <c r="E461" s="4">
        <f t="shared" si="171"/>
        <v>0</v>
      </c>
      <c r="F461" s="4">
        <f t="shared" si="172"/>
        <v>0</v>
      </c>
      <c r="G461" s="4">
        <f t="shared" si="173"/>
        <v>1</v>
      </c>
      <c r="I461" s="8" t="s">
        <v>994</v>
      </c>
      <c r="J461" s="9">
        <f t="shared" si="174"/>
        <v>0</v>
      </c>
      <c r="K461" s="9">
        <f t="shared" si="191"/>
        <v>0</v>
      </c>
      <c r="L461" s="9">
        <f t="shared" si="175"/>
        <v>0</v>
      </c>
      <c r="M461" s="9">
        <f t="shared" si="176"/>
        <v>0</v>
      </c>
      <c r="N461" s="9">
        <f t="shared" si="177"/>
        <v>0</v>
      </c>
      <c r="O461" s="9">
        <f t="shared" si="178"/>
        <v>0</v>
      </c>
      <c r="P461" s="9">
        <f t="shared" si="179"/>
        <v>1</v>
      </c>
      <c r="Q461" s="9">
        <f t="shared" si="180"/>
        <v>0</v>
      </c>
      <c r="R461" s="9">
        <f t="shared" si="181"/>
        <v>0</v>
      </c>
      <c r="S461" s="9">
        <f t="shared" si="182"/>
        <v>0</v>
      </c>
      <c r="T461" s="9">
        <f t="shared" si="183"/>
        <v>0</v>
      </c>
      <c r="U461" s="9">
        <f t="shared" si="184"/>
        <v>0</v>
      </c>
      <c r="V461" s="9">
        <f t="shared" si="185"/>
        <v>0</v>
      </c>
      <c r="W461" s="9">
        <f t="shared" si="186"/>
        <v>0</v>
      </c>
      <c r="X461" s="9">
        <f t="shared" si="187"/>
        <v>0</v>
      </c>
      <c r="Y461" s="9">
        <f t="shared" si="188"/>
        <v>0</v>
      </c>
      <c r="Z461" s="9">
        <f t="shared" si="189"/>
        <v>0</v>
      </c>
      <c r="AA461" s="10">
        <f t="shared" si="190"/>
        <v>0</v>
      </c>
    </row>
    <row r="462" spans="1:27" x14ac:dyDescent="0.3">
      <c r="A462" s="4" t="s">
        <v>1294</v>
      </c>
      <c r="B462" s="4">
        <f t="shared" si="168"/>
        <v>0</v>
      </c>
      <c r="C462" s="4">
        <f t="shared" si="169"/>
        <v>0</v>
      </c>
      <c r="D462" s="4">
        <f t="shared" si="170"/>
        <v>0</v>
      </c>
      <c r="E462" s="4">
        <f t="shared" si="171"/>
        <v>0</v>
      </c>
      <c r="F462" s="4">
        <f t="shared" si="172"/>
        <v>0</v>
      </c>
      <c r="G462" s="4">
        <f t="shared" si="173"/>
        <v>0</v>
      </c>
      <c r="I462" s="11" t="s">
        <v>988</v>
      </c>
      <c r="J462" s="9">
        <f t="shared" si="174"/>
        <v>0</v>
      </c>
      <c r="K462" s="9">
        <f t="shared" si="191"/>
        <v>0</v>
      </c>
      <c r="L462" s="9">
        <f t="shared" si="175"/>
        <v>1</v>
      </c>
      <c r="M462" s="9">
        <f t="shared" si="176"/>
        <v>0</v>
      </c>
      <c r="N462" s="9">
        <f t="shared" si="177"/>
        <v>0</v>
      </c>
      <c r="O462" s="9">
        <f t="shared" si="178"/>
        <v>0</v>
      </c>
      <c r="P462" s="9">
        <f t="shared" si="179"/>
        <v>0</v>
      </c>
      <c r="Q462" s="9">
        <f t="shared" si="180"/>
        <v>0</v>
      </c>
      <c r="R462" s="9">
        <f t="shared" si="181"/>
        <v>0</v>
      </c>
      <c r="S462" s="9">
        <f t="shared" si="182"/>
        <v>0</v>
      </c>
      <c r="T462" s="9">
        <f t="shared" si="183"/>
        <v>0</v>
      </c>
      <c r="U462" s="9">
        <f t="shared" si="184"/>
        <v>0</v>
      </c>
      <c r="V462" s="9">
        <f t="shared" si="185"/>
        <v>0</v>
      </c>
      <c r="W462" s="9">
        <f t="shared" si="186"/>
        <v>0</v>
      </c>
      <c r="X462" s="9">
        <f t="shared" si="187"/>
        <v>0</v>
      </c>
      <c r="Y462" s="9">
        <f t="shared" si="188"/>
        <v>0</v>
      </c>
      <c r="Z462" s="9">
        <f t="shared" si="189"/>
        <v>0</v>
      </c>
      <c r="AA462" s="10">
        <f t="shared" si="190"/>
        <v>0</v>
      </c>
    </row>
    <row r="463" spans="1:27" x14ac:dyDescent="0.3">
      <c r="A463" s="18" t="s">
        <v>1303</v>
      </c>
      <c r="B463" s="4">
        <f t="shared" si="168"/>
        <v>0</v>
      </c>
      <c r="C463" s="4">
        <f t="shared" si="169"/>
        <v>0</v>
      </c>
      <c r="D463" s="4">
        <f t="shared" si="170"/>
        <v>0</v>
      </c>
      <c r="E463" s="4">
        <f t="shared" si="171"/>
        <v>0</v>
      </c>
      <c r="F463" s="4">
        <f t="shared" si="172"/>
        <v>1</v>
      </c>
      <c r="G463" s="4">
        <f t="shared" si="173"/>
        <v>0</v>
      </c>
      <c r="I463" s="8" t="s">
        <v>990</v>
      </c>
      <c r="J463" s="9">
        <f t="shared" si="174"/>
        <v>0</v>
      </c>
      <c r="K463" s="9">
        <f t="shared" si="191"/>
        <v>0</v>
      </c>
      <c r="L463" s="9">
        <f t="shared" si="175"/>
        <v>0</v>
      </c>
      <c r="M463" s="9">
        <f t="shared" si="176"/>
        <v>0</v>
      </c>
      <c r="N463" s="9">
        <f t="shared" si="177"/>
        <v>1</v>
      </c>
      <c r="O463" s="9">
        <f t="shared" si="178"/>
        <v>0</v>
      </c>
      <c r="P463" s="9">
        <f t="shared" si="179"/>
        <v>0</v>
      </c>
      <c r="Q463" s="9">
        <f t="shared" si="180"/>
        <v>0</v>
      </c>
      <c r="R463" s="9">
        <f t="shared" si="181"/>
        <v>0</v>
      </c>
      <c r="S463" s="9">
        <f t="shared" si="182"/>
        <v>0</v>
      </c>
      <c r="T463" s="9">
        <f t="shared" si="183"/>
        <v>0</v>
      </c>
      <c r="U463" s="9">
        <f t="shared" si="184"/>
        <v>0</v>
      </c>
      <c r="V463" s="9">
        <f t="shared" si="185"/>
        <v>0</v>
      </c>
      <c r="W463" s="9">
        <f t="shared" si="186"/>
        <v>0</v>
      </c>
      <c r="X463" s="9">
        <f t="shared" si="187"/>
        <v>0</v>
      </c>
      <c r="Y463" s="9">
        <f t="shared" si="188"/>
        <v>0</v>
      </c>
      <c r="Z463" s="9">
        <f t="shared" si="189"/>
        <v>0</v>
      </c>
      <c r="AA463" s="10">
        <f t="shared" si="190"/>
        <v>0</v>
      </c>
    </row>
    <row r="464" spans="1:27" x14ac:dyDescent="0.3">
      <c r="A464" s="4" t="s">
        <v>1303</v>
      </c>
      <c r="B464" s="4">
        <f t="shared" si="168"/>
        <v>0</v>
      </c>
      <c r="C464" s="4">
        <f t="shared" si="169"/>
        <v>0</v>
      </c>
      <c r="D464" s="4">
        <f t="shared" si="170"/>
        <v>0</v>
      </c>
      <c r="E464" s="4">
        <f t="shared" si="171"/>
        <v>0</v>
      </c>
      <c r="F464" s="4">
        <f t="shared" si="172"/>
        <v>1</v>
      </c>
      <c r="G464" s="4">
        <f t="shared" si="173"/>
        <v>0</v>
      </c>
      <c r="I464" s="11" t="s">
        <v>988</v>
      </c>
      <c r="J464" s="9">
        <f t="shared" si="174"/>
        <v>0</v>
      </c>
      <c r="K464" s="9">
        <f t="shared" si="191"/>
        <v>0</v>
      </c>
      <c r="L464" s="9">
        <f t="shared" si="175"/>
        <v>1</v>
      </c>
      <c r="M464" s="9">
        <f t="shared" si="176"/>
        <v>0</v>
      </c>
      <c r="N464" s="9">
        <f t="shared" si="177"/>
        <v>0</v>
      </c>
      <c r="O464" s="9">
        <f t="shared" si="178"/>
        <v>0</v>
      </c>
      <c r="P464" s="9">
        <f t="shared" si="179"/>
        <v>0</v>
      </c>
      <c r="Q464" s="9">
        <f t="shared" si="180"/>
        <v>0</v>
      </c>
      <c r="R464" s="9">
        <f t="shared" si="181"/>
        <v>0</v>
      </c>
      <c r="S464" s="9">
        <f t="shared" si="182"/>
        <v>0</v>
      </c>
      <c r="T464" s="9">
        <f t="shared" si="183"/>
        <v>0</v>
      </c>
      <c r="U464" s="9">
        <f t="shared" si="184"/>
        <v>0</v>
      </c>
      <c r="V464" s="9">
        <f t="shared" si="185"/>
        <v>0</v>
      </c>
      <c r="W464" s="9">
        <f t="shared" si="186"/>
        <v>0</v>
      </c>
      <c r="X464" s="9">
        <f t="shared" si="187"/>
        <v>0</v>
      </c>
      <c r="Y464" s="9">
        <f t="shared" si="188"/>
        <v>0</v>
      </c>
      <c r="Z464" s="9">
        <f t="shared" si="189"/>
        <v>0</v>
      </c>
      <c r="AA464" s="10">
        <f t="shared" si="190"/>
        <v>0</v>
      </c>
    </row>
    <row r="465" spans="1:27" x14ac:dyDescent="0.3">
      <c r="A465" s="18" t="s">
        <v>1302</v>
      </c>
      <c r="B465" s="4">
        <f t="shared" si="168"/>
        <v>1</v>
      </c>
      <c r="C465" s="4">
        <f t="shared" si="169"/>
        <v>0</v>
      </c>
      <c r="D465" s="4">
        <f t="shared" si="170"/>
        <v>0</v>
      </c>
      <c r="E465" s="4">
        <f t="shared" si="171"/>
        <v>0</v>
      </c>
      <c r="F465" s="4">
        <f t="shared" si="172"/>
        <v>0</v>
      </c>
      <c r="G465" s="4">
        <f t="shared" si="173"/>
        <v>0</v>
      </c>
      <c r="I465" s="8" t="s">
        <v>988</v>
      </c>
      <c r="J465" s="9">
        <f t="shared" si="174"/>
        <v>0</v>
      </c>
      <c r="K465" s="9">
        <f t="shared" si="191"/>
        <v>0</v>
      </c>
      <c r="L465" s="9">
        <f t="shared" si="175"/>
        <v>1</v>
      </c>
      <c r="M465" s="9">
        <f t="shared" si="176"/>
        <v>0</v>
      </c>
      <c r="N465" s="9">
        <f t="shared" si="177"/>
        <v>0</v>
      </c>
      <c r="O465" s="9">
        <f t="shared" si="178"/>
        <v>0</v>
      </c>
      <c r="P465" s="9">
        <f t="shared" si="179"/>
        <v>0</v>
      </c>
      <c r="Q465" s="9">
        <f t="shared" si="180"/>
        <v>0</v>
      </c>
      <c r="R465" s="9">
        <f t="shared" si="181"/>
        <v>0</v>
      </c>
      <c r="S465" s="9">
        <f t="shared" si="182"/>
        <v>0</v>
      </c>
      <c r="T465" s="9">
        <f t="shared" si="183"/>
        <v>0</v>
      </c>
      <c r="U465" s="9">
        <f t="shared" si="184"/>
        <v>0</v>
      </c>
      <c r="V465" s="9">
        <f t="shared" si="185"/>
        <v>0</v>
      </c>
      <c r="W465" s="9">
        <f t="shared" si="186"/>
        <v>0</v>
      </c>
      <c r="X465" s="9">
        <f t="shared" si="187"/>
        <v>0</v>
      </c>
      <c r="Y465" s="9">
        <f t="shared" si="188"/>
        <v>0</v>
      </c>
      <c r="Z465" s="9">
        <f t="shared" si="189"/>
        <v>0</v>
      </c>
      <c r="AA465" s="10">
        <f t="shared" si="190"/>
        <v>0</v>
      </c>
    </row>
    <row r="466" spans="1:27" x14ac:dyDescent="0.3">
      <c r="A466" s="4" t="s">
        <v>1304</v>
      </c>
      <c r="B466" s="4">
        <f t="shared" si="168"/>
        <v>0</v>
      </c>
      <c r="C466" s="4">
        <f t="shared" si="169"/>
        <v>1</v>
      </c>
      <c r="D466" s="4">
        <f t="shared" si="170"/>
        <v>0</v>
      </c>
      <c r="E466" s="4">
        <f t="shared" si="171"/>
        <v>0</v>
      </c>
      <c r="F466" s="4">
        <f t="shared" si="172"/>
        <v>0</v>
      </c>
      <c r="G466" s="4">
        <f t="shared" si="173"/>
        <v>0</v>
      </c>
      <c r="I466" s="11" t="s">
        <v>996</v>
      </c>
      <c r="J466" s="9">
        <f t="shared" si="174"/>
        <v>0</v>
      </c>
      <c r="K466" s="9">
        <f t="shared" si="191"/>
        <v>0</v>
      </c>
      <c r="L466" s="9">
        <f t="shared" si="175"/>
        <v>0</v>
      </c>
      <c r="M466" s="9">
        <f t="shared" si="176"/>
        <v>0</v>
      </c>
      <c r="N466" s="9">
        <f t="shared" si="177"/>
        <v>0</v>
      </c>
      <c r="O466" s="9">
        <f t="shared" si="178"/>
        <v>0</v>
      </c>
      <c r="P466" s="9">
        <f t="shared" si="179"/>
        <v>0</v>
      </c>
      <c r="Q466" s="9">
        <f t="shared" si="180"/>
        <v>1</v>
      </c>
      <c r="R466" s="9">
        <f t="shared" si="181"/>
        <v>0</v>
      </c>
      <c r="S466" s="9">
        <f t="shared" si="182"/>
        <v>0</v>
      </c>
      <c r="T466" s="9">
        <f t="shared" si="183"/>
        <v>0</v>
      </c>
      <c r="U466" s="9">
        <f t="shared" si="184"/>
        <v>0</v>
      </c>
      <c r="V466" s="9">
        <f t="shared" si="185"/>
        <v>0</v>
      </c>
      <c r="W466" s="9">
        <f t="shared" si="186"/>
        <v>0</v>
      </c>
      <c r="X466" s="9">
        <f t="shared" si="187"/>
        <v>0</v>
      </c>
      <c r="Y466" s="9">
        <f t="shared" si="188"/>
        <v>0</v>
      </c>
      <c r="Z466" s="9">
        <f t="shared" si="189"/>
        <v>0</v>
      </c>
      <c r="AA466" s="10">
        <f t="shared" si="190"/>
        <v>0</v>
      </c>
    </row>
    <row r="467" spans="1:27" x14ac:dyDescent="0.3">
      <c r="A467" s="18" t="s">
        <v>1302</v>
      </c>
      <c r="B467" s="4">
        <f t="shared" si="168"/>
        <v>1</v>
      </c>
      <c r="C467" s="4">
        <f t="shared" si="169"/>
        <v>0</v>
      </c>
      <c r="D467" s="4">
        <f t="shared" si="170"/>
        <v>0</v>
      </c>
      <c r="E467" s="4">
        <f t="shared" si="171"/>
        <v>0</v>
      </c>
      <c r="F467" s="4">
        <f t="shared" si="172"/>
        <v>0</v>
      </c>
      <c r="G467" s="4">
        <f t="shared" si="173"/>
        <v>0</v>
      </c>
      <c r="I467" s="8" t="s">
        <v>977</v>
      </c>
      <c r="J467" s="9">
        <f t="shared" si="174"/>
        <v>1</v>
      </c>
      <c r="K467" s="9">
        <f t="shared" si="191"/>
        <v>0</v>
      </c>
      <c r="L467" s="9">
        <f t="shared" si="175"/>
        <v>0</v>
      </c>
      <c r="M467" s="9">
        <f t="shared" si="176"/>
        <v>0</v>
      </c>
      <c r="N467" s="9">
        <f t="shared" si="177"/>
        <v>0</v>
      </c>
      <c r="O467" s="9">
        <f t="shared" si="178"/>
        <v>0</v>
      </c>
      <c r="P467" s="9">
        <f t="shared" si="179"/>
        <v>0</v>
      </c>
      <c r="Q467" s="9">
        <f t="shared" si="180"/>
        <v>0</v>
      </c>
      <c r="R467" s="9">
        <f t="shared" si="181"/>
        <v>0</v>
      </c>
      <c r="S467" s="9">
        <f t="shared" si="182"/>
        <v>0</v>
      </c>
      <c r="T467" s="9">
        <f t="shared" si="183"/>
        <v>0</v>
      </c>
      <c r="U467" s="9">
        <f t="shared" si="184"/>
        <v>0</v>
      </c>
      <c r="V467" s="9">
        <f t="shared" si="185"/>
        <v>0</v>
      </c>
      <c r="W467" s="9">
        <f t="shared" si="186"/>
        <v>0</v>
      </c>
      <c r="X467" s="9">
        <f t="shared" si="187"/>
        <v>0</v>
      </c>
      <c r="Y467" s="9">
        <f t="shared" si="188"/>
        <v>0</v>
      </c>
      <c r="Z467" s="9">
        <f t="shared" si="189"/>
        <v>0</v>
      </c>
      <c r="AA467" s="10">
        <f t="shared" si="190"/>
        <v>0</v>
      </c>
    </row>
    <row r="468" spans="1:27" x14ac:dyDescent="0.3">
      <c r="A468" s="4" t="s">
        <v>1294</v>
      </c>
      <c r="B468" s="4">
        <f t="shared" si="168"/>
        <v>0</v>
      </c>
      <c r="C468" s="4">
        <f t="shared" si="169"/>
        <v>0</v>
      </c>
      <c r="D468" s="4">
        <f t="shared" si="170"/>
        <v>0</v>
      </c>
      <c r="E468" s="4">
        <f t="shared" si="171"/>
        <v>0</v>
      </c>
      <c r="F468" s="4">
        <f t="shared" si="172"/>
        <v>0</v>
      </c>
      <c r="G468" s="4">
        <f t="shared" si="173"/>
        <v>0</v>
      </c>
      <c r="I468" s="11" t="s">
        <v>982</v>
      </c>
      <c r="J468" s="9">
        <f t="shared" si="174"/>
        <v>0</v>
      </c>
      <c r="K468" s="9">
        <f t="shared" si="191"/>
        <v>1</v>
      </c>
      <c r="L468" s="9">
        <f t="shared" si="175"/>
        <v>0</v>
      </c>
      <c r="M468" s="9">
        <f t="shared" si="176"/>
        <v>0</v>
      </c>
      <c r="N468" s="9">
        <f t="shared" si="177"/>
        <v>0</v>
      </c>
      <c r="O468" s="9">
        <f t="shared" si="178"/>
        <v>0</v>
      </c>
      <c r="P468" s="9">
        <f t="shared" si="179"/>
        <v>0</v>
      </c>
      <c r="Q468" s="9">
        <f t="shared" si="180"/>
        <v>0</v>
      </c>
      <c r="R468" s="9">
        <f t="shared" si="181"/>
        <v>0</v>
      </c>
      <c r="S468" s="9">
        <f t="shared" si="182"/>
        <v>0</v>
      </c>
      <c r="T468" s="9">
        <f t="shared" si="183"/>
        <v>0</v>
      </c>
      <c r="U468" s="9">
        <f t="shared" si="184"/>
        <v>0</v>
      </c>
      <c r="V468" s="9">
        <f t="shared" si="185"/>
        <v>0</v>
      </c>
      <c r="W468" s="9">
        <f t="shared" si="186"/>
        <v>0</v>
      </c>
      <c r="X468" s="9">
        <f t="shared" si="187"/>
        <v>0</v>
      </c>
      <c r="Y468" s="9">
        <f t="shared" si="188"/>
        <v>0</v>
      </c>
      <c r="Z468" s="9">
        <f t="shared" si="189"/>
        <v>0</v>
      </c>
      <c r="AA468" s="10">
        <f t="shared" si="190"/>
        <v>0</v>
      </c>
    </row>
    <row r="469" spans="1:27" x14ac:dyDescent="0.3">
      <c r="A469" s="18" t="s">
        <v>1303</v>
      </c>
      <c r="B469" s="4">
        <f t="shared" si="168"/>
        <v>0</v>
      </c>
      <c r="C469" s="4">
        <f t="shared" si="169"/>
        <v>0</v>
      </c>
      <c r="D469" s="4">
        <f t="shared" si="170"/>
        <v>0</v>
      </c>
      <c r="E469" s="4">
        <f t="shared" si="171"/>
        <v>0</v>
      </c>
      <c r="F469" s="4">
        <f t="shared" si="172"/>
        <v>1</v>
      </c>
      <c r="G469" s="4">
        <f t="shared" si="173"/>
        <v>0</v>
      </c>
      <c r="I469" s="8" t="s">
        <v>977</v>
      </c>
      <c r="J469" s="9">
        <f t="shared" si="174"/>
        <v>1</v>
      </c>
      <c r="K469" s="9">
        <f t="shared" si="191"/>
        <v>0</v>
      </c>
      <c r="L469" s="9">
        <f t="shared" si="175"/>
        <v>0</v>
      </c>
      <c r="M469" s="9">
        <f t="shared" si="176"/>
        <v>0</v>
      </c>
      <c r="N469" s="9">
        <f t="shared" si="177"/>
        <v>0</v>
      </c>
      <c r="O469" s="9">
        <f t="shared" si="178"/>
        <v>0</v>
      </c>
      <c r="P469" s="9">
        <f t="shared" si="179"/>
        <v>0</v>
      </c>
      <c r="Q469" s="9">
        <f t="shared" si="180"/>
        <v>0</v>
      </c>
      <c r="R469" s="9">
        <f t="shared" si="181"/>
        <v>0</v>
      </c>
      <c r="S469" s="9">
        <f t="shared" si="182"/>
        <v>0</v>
      </c>
      <c r="T469" s="9">
        <f t="shared" si="183"/>
        <v>0</v>
      </c>
      <c r="U469" s="9">
        <f t="shared" si="184"/>
        <v>0</v>
      </c>
      <c r="V469" s="9">
        <f t="shared" si="185"/>
        <v>0</v>
      </c>
      <c r="W469" s="9">
        <f t="shared" si="186"/>
        <v>0</v>
      </c>
      <c r="X469" s="9">
        <f t="shared" si="187"/>
        <v>0</v>
      </c>
      <c r="Y469" s="9">
        <f t="shared" si="188"/>
        <v>0</v>
      </c>
      <c r="Z469" s="9">
        <f t="shared" si="189"/>
        <v>0</v>
      </c>
      <c r="AA469" s="10">
        <f t="shared" si="190"/>
        <v>0</v>
      </c>
    </row>
    <row r="470" spans="1:27" x14ac:dyDescent="0.3">
      <c r="A470" s="4" t="s">
        <v>1303</v>
      </c>
      <c r="B470" s="4">
        <f t="shared" si="168"/>
        <v>0</v>
      </c>
      <c r="C470" s="4">
        <f t="shared" si="169"/>
        <v>0</v>
      </c>
      <c r="D470" s="4">
        <f t="shared" si="170"/>
        <v>0</v>
      </c>
      <c r="E470" s="4">
        <f t="shared" si="171"/>
        <v>0</v>
      </c>
      <c r="F470" s="4">
        <f t="shared" si="172"/>
        <v>1</v>
      </c>
      <c r="G470" s="4">
        <f t="shared" si="173"/>
        <v>0</v>
      </c>
      <c r="I470" s="11" t="s">
        <v>1026</v>
      </c>
      <c r="J470" s="9">
        <f t="shared" si="174"/>
        <v>0</v>
      </c>
      <c r="K470" s="9">
        <f t="shared" si="191"/>
        <v>0</v>
      </c>
      <c r="L470" s="9">
        <f t="shared" si="175"/>
        <v>0</v>
      </c>
      <c r="M470" s="9">
        <f t="shared" si="176"/>
        <v>0</v>
      </c>
      <c r="N470" s="9">
        <f t="shared" si="177"/>
        <v>0</v>
      </c>
      <c r="O470" s="9">
        <f t="shared" si="178"/>
        <v>0</v>
      </c>
      <c r="P470" s="9">
        <f t="shared" si="179"/>
        <v>0</v>
      </c>
      <c r="Q470" s="9">
        <f t="shared" si="180"/>
        <v>0</v>
      </c>
      <c r="R470" s="9">
        <f t="shared" si="181"/>
        <v>0</v>
      </c>
      <c r="S470" s="9">
        <f t="shared" si="182"/>
        <v>0</v>
      </c>
      <c r="T470" s="9">
        <f t="shared" si="183"/>
        <v>1</v>
      </c>
      <c r="U470" s="9">
        <f t="shared" si="184"/>
        <v>0</v>
      </c>
      <c r="V470" s="9">
        <f t="shared" si="185"/>
        <v>0</v>
      </c>
      <c r="W470" s="9">
        <f t="shared" si="186"/>
        <v>0</v>
      </c>
      <c r="X470" s="9">
        <f t="shared" si="187"/>
        <v>0</v>
      </c>
      <c r="Y470" s="9">
        <f t="shared" si="188"/>
        <v>0</v>
      </c>
      <c r="Z470" s="9">
        <f t="shared" si="189"/>
        <v>0</v>
      </c>
      <c r="AA470" s="10">
        <f t="shared" si="190"/>
        <v>0</v>
      </c>
    </row>
    <row r="471" spans="1:27" x14ac:dyDescent="0.3">
      <c r="A471" s="18" t="s">
        <v>1303</v>
      </c>
      <c r="B471" s="4">
        <f t="shared" si="168"/>
        <v>0</v>
      </c>
      <c r="C471" s="4">
        <f t="shared" si="169"/>
        <v>0</v>
      </c>
      <c r="D471" s="4">
        <f t="shared" si="170"/>
        <v>0</v>
      </c>
      <c r="E471" s="4">
        <f t="shared" si="171"/>
        <v>0</v>
      </c>
      <c r="F471" s="4">
        <f t="shared" si="172"/>
        <v>1</v>
      </c>
      <c r="G471" s="4">
        <f t="shared" si="173"/>
        <v>0</v>
      </c>
      <c r="I471" s="8" t="s">
        <v>988</v>
      </c>
      <c r="J471" s="9">
        <f t="shared" si="174"/>
        <v>0</v>
      </c>
      <c r="K471" s="9">
        <f t="shared" si="191"/>
        <v>0</v>
      </c>
      <c r="L471" s="9">
        <f t="shared" si="175"/>
        <v>1</v>
      </c>
      <c r="M471" s="9">
        <f t="shared" si="176"/>
        <v>0</v>
      </c>
      <c r="N471" s="9">
        <f t="shared" si="177"/>
        <v>0</v>
      </c>
      <c r="O471" s="9">
        <f t="shared" si="178"/>
        <v>0</v>
      </c>
      <c r="P471" s="9">
        <f t="shared" si="179"/>
        <v>0</v>
      </c>
      <c r="Q471" s="9">
        <f t="shared" si="180"/>
        <v>0</v>
      </c>
      <c r="R471" s="9">
        <f t="shared" si="181"/>
        <v>0</v>
      </c>
      <c r="S471" s="9">
        <f t="shared" si="182"/>
        <v>0</v>
      </c>
      <c r="T471" s="9">
        <f t="shared" si="183"/>
        <v>0</v>
      </c>
      <c r="U471" s="9">
        <f t="shared" si="184"/>
        <v>0</v>
      </c>
      <c r="V471" s="9">
        <f t="shared" si="185"/>
        <v>0</v>
      </c>
      <c r="W471" s="9">
        <f t="shared" si="186"/>
        <v>0</v>
      </c>
      <c r="X471" s="9">
        <f t="shared" si="187"/>
        <v>0</v>
      </c>
      <c r="Y471" s="9">
        <f t="shared" si="188"/>
        <v>0</v>
      </c>
      <c r="Z471" s="9">
        <f t="shared" si="189"/>
        <v>0</v>
      </c>
      <c r="AA471" s="10">
        <f t="shared" si="190"/>
        <v>0</v>
      </c>
    </row>
    <row r="472" spans="1:27" x14ac:dyDescent="0.3">
      <c r="A472" s="4" t="s">
        <v>1305</v>
      </c>
      <c r="B472" s="4">
        <f t="shared" si="168"/>
        <v>0</v>
      </c>
      <c r="C472" s="4">
        <f t="shared" si="169"/>
        <v>0</v>
      </c>
      <c r="D472" s="4">
        <f t="shared" si="170"/>
        <v>0</v>
      </c>
      <c r="E472" s="4">
        <f t="shared" si="171"/>
        <v>0</v>
      </c>
      <c r="F472" s="4">
        <f t="shared" si="172"/>
        <v>0</v>
      </c>
      <c r="G472" s="4">
        <f t="shared" si="173"/>
        <v>1</v>
      </c>
      <c r="I472" s="11" t="s">
        <v>1011</v>
      </c>
      <c r="J472" s="9">
        <f t="shared" si="174"/>
        <v>0</v>
      </c>
      <c r="K472" s="9">
        <f t="shared" si="191"/>
        <v>0</v>
      </c>
      <c r="L472" s="9">
        <f t="shared" si="175"/>
        <v>0</v>
      </c>
      <c r="M472" s="9">
        <f t="shared" si="176"/>
        <v>0</v>
      </c>
      <c r="N472" s="9">
        <f t="shared" si="177"/>
        <v>0</v>
      </c>
      <c r="O472" s="9">
        <f t="shared" si="178"/>
        <v>0</v>
      </c>
      <c r="P472" s="9">
        <f t="shared" si="179"/>
        <v>0</v>
      </c>
      <c r="Q472" s="9">
        <f t="shared" si="180"/>
        <v>0</v>
      </c>
      <c r="R472" s="9">
        <f t="shared" si="181"/>
        <v>0</v>
      </c>
      <c r="S472" s="9">
        <f t="shared" si="182"/>
        <v>1</v>
      </c>
      <c r="T472" s="9">
        <f t="shared" si="183"/>
        <v>0</v>
      </c>
      <c r="U472" s="9">
        <f t="shared" si="184"/>
        <v>0</v>
      </c>
      <c r="V472" s="9">
        <f t="shared" si="185"/>
        <v>0</v>
      </c>
      <c r="W472" s="9">
        <f t="shared" si="186"/>
        <v>0</v>
      </c>
      <c r="X472" s="9">
        <f t="shared" si="187"/>
        <v>0</v>
      </c>
      <c r="Y472" s="9">
        <f t="shared" si="188"/>
        <v>0</v>
      </c>
      <c r="Z472" s="9">
        <f t="shared" si="189"/>
        <v>0</v>
      </c>
      <c r="AA472" s="10">
        <f t="shared" si="190"/>
        <v>0</v>
      </c>
    </row>
    <row r="473" spans="1:27" x14ac:dyDescent="0.3">
      <c r="A473" s="18" t="s">
        <v>1304</v>
      </c>
      <c r="B473" s="4">
        <f t="shared" si="168"/>
        <v>0</v>
      </c>
      <c r="C473" s="4">
        <f t="shared" si="169"/>
        <v>1</v>
      </c>
      <c r="D473" s="4">
        <f t="shared" si="170"/>
        <v>0</v>
      </c>
      <c r="E473" s="4">
        <f t="shared" si="171"/>
        <v>0</v>
      </c>
      <c r="F473" s="4">
        <f t="shared" si="172"/>
        <v>0</v>
      </c>
      <c r="G473" s="4">
        <f t="shared" si="173"/>
        <v>0</v>
      </c>
      <c r="I473" s="8" t="s">
        <v>996</v>
      </c>
      <c r="J473" s="9">
        <f t="shared" si="174"/>
        <v>0</v>
      </c>
      <c r="K473" s="9">
        <f t="shared" si="191"/>
        <v>0</v>
      </c>
      <c r="L473" s="9">
        <f t="shared" si="175"/>
        <v>0</v>
      </c>
      <c r="M473" s="9">
        <f t="shared" si="176"/>
        <v>0</v>
      </c>
      <c r="N473" s="9">
        <f t="shared" si="177"/>
        <v>0</v>
      </c>
      <c r="O473" s="9">
        <f t="shared" si="178"/>
        <v>0</v>
      </c>
      <c r="P473" s="9">
        <f t="shared" si="179"/>
        <v>0</v>
      </c>
      <c r="Q473" s="9">
        <f t="shared" si="180"/>
        <v>1</v>
      </c>
      <c r="R473" s="9">
        <f t="shared" si="181"/>
        <v>0</v>
      </c>
      <c r="S473" s="9">
        <f t="shared" si="182"/>
        <v>0</v>
      </c>
      <c r="T473" s="9">
        <f t="shared" si="183"/>
        <v>0</v>
      </c>
      <c r="U473" s="9">
        <f t="shared" si="184"/>
        <v>0</v>
      </c>
      <c r="V473" s="9">
        <f t="shared" si="185"/>
        <v>0</v>
      </c>
      <c r="W473" s="9">
        <f t="shared" si="186"/>
        <v>0</v>
      </c>
      <c r="X473" s="9">
        <f t="shared" si="187"/>
        <v>0</v>
      </c>
      <c r="Y473" s="9">
        <f t="shared" si="188"/>
        <v>0</v>
      </c>
      <c r="Z473" s="9">
        <f t="shared" si="189"/>
        <v>0</v>
      </c>
      <c r="AA473" s="10">
        <f t="shared" si="190"/>
        <v>0</v>
      </c>
    </row>
    <row r="474" spans="1:27" x14ac:dyDescent="0.3">
      <c r="A474" s="4" t="s">
        <v>1114</v>
      </c>
      <c r="B474" s="4">
        <f t="shared" si="168"/>
        <v>0</v>
      </c>
      <c r="C474" s="4">
        <f t="shared" si="169"/>
        <v>0</v>
      </c>
      <c r="D474" s="4">
        <f t="shared" si="170"/>
        <v>0</v>
      </c>
      <c r="E474" s="4">
        <f t="shared" si="171"/>
        <v>1</v>
      </c>
      <c r="F474" s="4">
        <f t="shared" si="172"/>
        <v>0</v>
      </c>
      <c r="G474" s="4">
        <f t="shared" si="173"/>
        <v>0</v>
      </c>
      <c r="I474" s="11" t="s">
        <v>1004</v>
      </c>
      <c r="J474" s="9">
        <f t="shared" si="174"/>
        <v>0</v>
      </c>
      <c r="K474" s="9">
        <f t="shared" si="191"/>
        <v>0</v>
      </c>
      <c r="L474" s="9">
        <f t="shared" si="175"/>
        <v>0</v>
      </c>
      <c r="M474" s="9">
        <f t="shared" si="176"/>
        <v>0</v>
      </c>
      <c r="N474" s="9">
        <f t="shared" si="177"/>
        <v>0</v>
      </c>
      <c r="O474" s="9">
        <f t="shared" si="178"/>
        <v>0</v>
      </c>
      <c r="P474" s="9">
        <f t="shared" si="179"/>
        <v>0</v>
      </c>
      <c r="Q474" s="9">
        <f t="shared" si="180"/>
        <v>0</v>
      </c>
      <c r="R474" s="9">
        <f t="shared" si="181"/>
        <v>1</v>
      </c>
      <c r="S474" s="9">
        <f t="shared" si="182"/>
        <v>0</v>
      </c>
      <c r="T474" s="9">
        <f t="shared" si="183"/>
        <v>0</v>
      </c>
      <c r="U474" s="9">
        <f t="shared" si="184"/>
        <v>0</v>
      </c>
      <c r="V474" s="9">
        <f t="shared" si="185"/>
        <v>0</v>
      </c>
      <c r="W474" s="9">
        <f t="shared" si="186"/>
        <v>0</v>
      </c>
      <c r="X474" s="9">
        <f t="shared" si="187"/>
        <v>0</v>
      </c>
      <c r="Y474" s="9">
        <f t="shared" si="188"/>
        <v>0</v>
      </c>
      <c r="Z474" s="9">
        <f t="shared" si="189"/>
        <v>0</v>
      </c>
      <c r="AA474" s="10">
        <f t="shared" si="190"/>
        <v>0</v>
      </c>
    </row>
    <row r="475" spans="1:27" x14ac:dyDescent="0.3">
      <c r="A475" s="18" t="s">
        <v>1294</v>
      </c>
      <c r="B475" s="4">
        <f t="shared" si="168"/>
        <v>0</v>
      </c>
      <c r="C475" s="4">
        <f t="shared" si="169"/>
        <v>0</v>
      </c>
      <c r="D475" s="4">
        <f t="shared" si="170"/>
        <v>0</v>
      </c>
      <c r="E475" s="4">
        <f t="shared" si="171"/>
        <v>0</v>
      </c>
      <c r="F475" s="4">
        <f t="shared" si="172"/>
        <v>0</v>
      </c>
      <c r="G475" s="4">
        <f t="shared" si="173"/>
        <v>0</v>
      </c>
      <c r="I475" s="8" t="s">
        <v>994</v>
      </c>
      <c r="J475" s="9">
        <f t="shared" si="174"/>
        <v>0</v>
      </c>
      <c r="K475" s="9">
        <f t="shared" si="191"/>
        <v>0</v>
      </c>
      <c r="L475" s="9">
        <f t="shared" si="175"/>
        <v>0</v>
      </c>
      <c r="M475" s="9">
        <f t="shared" si="176"/>
        <v>0</v>
      </c>
      <c r="N475" s="9">
        <f t="shared" si="177"/>
        <v>0</v>
      </c>
      <c r="O475" s="9">
        <f t="shared" si="178"/>
        <v>0</v>
      </c>
      <c r="P475" s="9">
        <f t="shared" si="179"/>
        <v>1</v>
      </c>
      <c r="Q475" s="9">
        <f t="shared" si="180"/>
        <v>0</v>
      </c>
      <c r="R475" s="9">
        <f t="shared" si="181"/>
        <v>0</v>
      </c>
      <c r="S475" s="9">
        <f t="shared" si="182"/>
        <v>0</v>
      </c>
      <c r="T475" s="9">
        <f t="shared" si="183"/>
        <v>0</v>
      </c>
      <c r="U475" s="9">
        <f t="shared" si="184"/>
        <v>0</v>
      </c>
      <c r="V475" s="9">
        <f t="shared" si="185"/>
        <v>0</v>
      </c>
      <c r="W475" s="9">
        <f t="shared" si="186"/>
        <v>0</v>
      </c>
      <c r="X475" s="9">
        <f t="shared" si="187"/>
        <v>0</v>
      </c>
      <c r="Y475" s="9">
        <f t="shared" si="188"/>
        <v>0</v>
      </c>
      <c r="Z475" s="9">
        <f t="shared" si="189"/>
        <v>0</v>
      </c>
      <c r="AA475" s="10">
        <f t="shared" si="190"/>
        <v>0</v>
      </c>
    </row>
    <row r="476" spans="1:27" x14ac:dyDescent="0.3">
      <c r="A476" s="4" t="s">
        <v>1303</v>
      </c>
      <c r="B476" s="4">
        <f t="shared" si="168"/>
        <v>0</v>
      </c>
      <c r="C476" s="4">
        <f t="shared" si="169"/>
        <v>0</v>
      </c>
      <c r="D476" s="4">
        <f t="shared" si="170"/>
        <v>0</v>
      </c>
      <c r="E476" s="4">
        <f t="shared" si="171"/>
        <v>0</v>
      </c>
      <c r="F476" s="4">
        <f t="shared" si="172"/>
        <v>1</v>
      </c>
      <c r="G476" s="4">
        <f t="shared" si="173"/>
        <v>0</v>
      </c>
      <c r="I476" s="11" t="s">
        <v>1044</v>
      </c>
      <c r="J476" s="9">
        <f t="shared" si="174"/>
        <v>0</v>
      </c>
      <c r="K476" s="9">
        <f t="shared" si="191"/>
        <v>0</v>
      </c>
      <c r="L476" s="9">
        <f t="shared" si="175"/>
        <v>0</v>
      </c>
      <c r="M476" s="9">
        <f t="shared" si="176"/>
        <v>0</v>
      </c>
      <c r="N476" s="9">
        <f t="shared" si="177"/>
        <v>0</v>
      </c>
      <c r="O476" s="9">
        <f t="shared" si="178"/>
        <v>0</v>
      </c>
      <c r="P476" s="9">
        <f t="shared" si="179"/>
        <v>0</v>
      </c>
      <c r="Q476" s="9">
        <f t="shared" si="180"/>
        <v>0</v>
      </c>
      <c r="R476" s="9">
        <f t="shared" si="181"/>
        <v>0</v>
      </c>
      <c r="S476" s="9">
        <f t="shared" si="182"/>
        <v>0</v>
      </c>
      <c r="T476" s="9">
        <f t="shared" si="183"/>
        <v>0</v>
      </c>
      <c r="U476" s="9">
        <f t="shared" si="184"/>
        <v>1</v>
      </c>
      <c r="V476" s="9">
        <f t="shared" si="185"/>
        <v>0</v>
      </c>
      <c r="W476" s="9">
        <f t="shared" si="186"/>
        <v>0</v>
      </c>
      <c r="X476" s="9">
        <f t="shared" si="187"/>
        <v>0</v>
      </c>
      <c r="Y476" s="9">
        <f t="shared" si="188"/>
        <v>0</v>
      </c>
      <c r="Z476" s="9">
        <f t="shared" si="189"/>
        <v>0</v>
      </c>
      <c r="AA476" s="10">
        <f t="shared" si="190"/>
        <v>0</v>
      </c>
    </row>
    <row r="477" spans="1:27" x14ac:dyDescent="0.3">
      <c r="A477" s="18" t="s">
        <v>1303</v>
      </c>
      <c r="B477" s="4">
        <f t="shared" si="168"/>
        <v>0</v>
      </c>
      <c r="C477" s="4">
        <f t="shared" si="169"/>
        <v>0</v>
      </c>
      <c r="D477" s="4">
        <f t="shared" si="170"/>
        <v>0</v>
      </c>
      <c r="E477" s="4">
        <f t="shared" si="171"/>
        <v>0</v>
      </c>
      <c r="F477" s="4">
        <f t="shared" si="172"/>
        <v>1</v>
      </c>
      <c r="G477" s="4">
        <f t="shared" si="173"/>
        <v>0</v>
      </c>
      <c r="I477" s="8" t="s">
        <v>994</v>
      </c>
      <c r="J477" s="9">
        <f t="shared" si="174"/>
        <v>0</v>
      </c>
      <c r="K477" s="9">
        <f t="shared" si="191"/>
        <v>0</v>
      </c>
      <c r="L477" s="9">
        <f t="shared" si="175"/>
        <v>0</v>
      </c>
      <c r="M477" s="9">
        <f t="shared" si="176"/>
        <v>0</v>
      </c>
      <c r="N477" s="9">
        <f t="shared" si="177"/>
        <v>0</v>
      </c>
      <c r="O477" s="9">
        <f t="shared" si="178"/>
        <v>0</v>
      </c>
      <c r="P477" s="9">
        <f t="shared" si="179"/>
        <v>1</v>
      </c>
      <c r="Q477" s="9">
        <f t="shared" si="180"/>
        <v>0</v>
      </c>
      <c r="R477" s="9">
        <f t="shared" si="181"/>
        <v>0</v>
      </c>
      <c r="S477" s="9">
        <f t="shared" si="182"/>
        <v>0</v>
      </c>
      <c r="T477" s="9">
        <f t="shared" si="183"/>
        <v>0</v>
      </c>
      <c r="U477" s="9">
        <f t="shared" si="184"/>
        <v>0</v>
      </c>
      <c r="V477" s="9">
        <f t="shared" si="185"/>
        <v>0</v>
      </c>
      <c r="W477" s="9">
        <f t="shared" si="186"/>
        <v>0</v>
      </c>
      <c r="X477" s="9">
        <f t="shared" si="187"/>
        <v>0</v>
      </c>
      <c r="Y477" s="9">
        <f t="shared" si="188"/>
        <v>0</v>
      </c>
      <c r="Z477" s="9">
        <f t="shared" si="189"/>
        <v>0</v>
      </c>
      <c r="AA477" s="10">
        <f t="shared" si="190"/>
        <v>0</v>
      </c>
    </row>
    <row r="478" spans="1:27" x14ac:dyDescent="0.3">
      <c r="A478" s="4" t="s">
        <v>1303</v>
      </c>
      <c r="B478" s="4">
        <f t="shared" si="168"/>
        <v>0</v>
      </c>
      <c r="C478" s="4">
        <f t="shared" si="169"/>
        <v>0</v>
      </c>
      <c r="D478" s="4">
        <f t="shared" si="170"/>
        <v>0</v>
      </c>
      <c r="E478" s="4">
        <f t="shared" si="171"/>
        <v>0</v>
      </c>
      <c r="F478" s="4">
        <f t="shared" si="172"/>
        <v>1</v>
      </c>
      <c r="G478" s="4">
        <f t="shared" si="173"/>
        <v>0</v>
      </c>
      <c r="I478" s="11" t="s">
        <v>994</v>
      </c>
      <c r="J478" s="9">
        <f t="shared" si="174"/>
        <v>0</v>
      </c>
      <c r="K478" s="9">
        <f t="shared" si="191"/>
        <v>0</v>
      </c>
      <c r="L478" s="9">
        <f t="shared" si="175"/>
        <v>0</v>
      </c>
      <c r="M478" s="9">
        <f t="shared" si="176"/>
        <v>0</v>
      </c>
      <c r="N478" s="9">
        <f t="shared" si="177"/>
        <v>0</v>
      </c>
      <c r="O478" s="9">
        <f t="shared" si="178"/>
        <v>0</v>
      </c>
      <c r="P478" s="9">
        <f t="shared" si="179"/>
        <v>1</v>
      </c>
      <c r="Q478" s="9">
        <f t="shared" si="180"/>
        <v>0</v>
      </c>
      <c r="R478" s="9">
        <f t="shared" si="181"/>
        <v>0</v>
      </c>
      <c r="S478" s="9">
        <f t="shared" si="182"/>
        <v>0</v>
      </c>
      <c r="T478" s="9">
        <f t="shared" si="183"/>
        <v>0</v>
      </c>
      <c r="U478" s="9">
        <f t="shared" si="184"/>
        <v>0</v>
      </c>
      <c r="V478" s="9">
        <f t="shared" si="185"/>
        <v>0</v>
      </c>
      <c r="W478" s="9">
        <f t="shared" si="186"/>
        <v>0</v>
      </c>
      <c r="X478" s="9">
        <f t="shared" si="187"/>
        <v>0</v>
      </c>
      <c r="Y478" s="9">
        <f t="shared" si="188"/>
        <v>0</v>
      </c>
      <c r="Z478" s="9">
        <f t="shared" si="189"/>
        <v>0</v>
      </c>
      <c r="AA478" s="10">
        <f t="shared" si="190"/>
        <v>0</v>
      </c>
    </row>
    <row r="479" spans="1:27" x14ac:dyDescent="0.3">
      <c r="A479" s="18" t="s">
        <v>1303</v>
      </c>
      <c r="B479" s="4">
        <f t="shared" si="168"/>
        <v>0</v>
      </c>
      <c r="C479" s="4">
        <f t="shared" si="169"/>
        <v>0</v>
      </c>
      <c r="D479" s="4">
        <f t="shared" si="170"/>
        <v>0</v>
      </c>
      <c r="E479" s="4">
        <f t="shared" si="171"/>
        <v>0</v>
      </c>
      <c r="F479" s="4">
        <f t="shared" si="172"/>
        <v>1</v>
      </c>
      <c r="G479" s="4">
        <f t="shared" si="173"/>
        <v>0</v>
      </c>
      <c r="I479" s="8" t="s">
        <v>992</v>
      </c>
      <c r="J479" s="9">
        <f t="shared" si="174"/>
        <v>0</v>
      </c>
      <c r="K479" s="9">
        <f t="shared" si="191"/>
        <v>0</v>
      </c>
      <c r="L479" s="9">
        <f t="shared" si="175"/>
        <v>0</v>
      </c>
      <c r="M479" s="9">
        <f t="shared" si="176"/>
        <v>0</v>
      </c>
      <c r="N479" s="9">
        <f t="shared" si="177"/>
        <v>0</v>
      </c>
      <c r="O479" s="9">
        <f t="shared" si="178"/>
        <v>1</v>
      </c>
      <c r="P479" s="9">
        <f t="shared" si="179"/>
        <v>0</v>
      </c>
      <c r="Q479" s="9">
        <f t="shared" si="180"/>
        <v>0</v>
      </c>
      <c r="R479" s="9">
        <f t="shared" si="181"/>
        <v>0</v>
      </c>
      <c r="S479" s="9">
        <f t="shared" si="182"/>
        <v>0</v>
      </c>
      <c r="T479" s="9">
        <f t="shared" si="183"/>
        <v>0</v>
      </c>
      <c r="U479" s="9">
        <f t="shared" si="184"/>
        <v>0</v>
      </c>
      <c r="V479" s="9">
        <f t="shared" si="185"/>
        <v>0</v>
      </c>
      <c r="W479" s="9">
        <f t="shared" si="186"/>
        <v>0</v>
      </c>
      <c r="X479" s="9">
        <f t="shared" si="187"/>
        <v>0</v>
      </c>
      <c r="Y479" s="9">
        <f t="shared" si="188"/>
        <v>0</v>
      </c>
      <c r="Z479" s="9">
        <f t="shared" si="189"/>
        <v>0</v>
      </c>
      <c r="AA479" s="10">
        <f t="shared" si="190"/>
        <v>0</v>
      </c>
    </row>
    <row r="480" spans="1:27" x14ac:dyDescent="0.3">
      <c r="A480" s="4" t="s">
        <v>1303</v>
      </c>
      <c r="B480" s="4">
        <f t="shared" si="168"/>
        <v>0</v>
      </c>
      <c r="C480" s="4">
        <f t="shared" si="169"/>
        <v>0</v>
      </c>
      <c r="D480" s="4">
        <f t="shared" si="170"/>
        <v>0</v>
      </c>
      <c r="E480" s="4">
        <f t="shared" si="171"/>
        <v>0</v>
      </c>
      <c r="F480" s="4">
        <f t="shared" si="172"/>
        <v>1</v>
      </c>
      <c r="G480" s="4">
        <f t="shared" si="173"/>
        <v>0</v>
      </c>
      <c r="I480" s="11" t="s">
        <v>977</v>
      </c>
      <c r="J480" s="9">
        <f t="shared" si="174"/>
        <v>1</v>
      </c>
      <c r="K480" s="9">
        <f t="shared" si="191"/>
        <v>0</v>
      </c>
      <c r="L480" s="9">
        <f t="shared" si="175"/>
        <v>0</v>
      </c>
      <c r="M480" s="9">
        <f t="shared" si="176"/>
        <v>0</v>
      </c>
      <c r="N480" s="9">
        <f t="shared" si="177"/>
        <v>0</v>
      </c>
      <c r="O480" s="9">
        <f t="shared" si="178"/>
        <v>0</v>
      </c>
      <c r="P480" s="9">
        <f t="shared" si="179"/>
        <v>0</v>
      </c>
      <c r="Q480" s="9">
        <f t="shared" si="180"/>
        <v>0</v>
      </c>
      <c r="R480" s="9">
        <f t="shared" si="181"/>
        <v>0</v>
      </c>
      <c r="S480" s="9">
        <f t="shared" si="182"/>
        <v>0</v>
      </c>
      <c r="T480" s="9">
        <f t="shared" si="183"/>
        <v>0</v>
      </c>
      <c r="U480" s="9">
        <f t="shared" si="184"/>
        <v>0</v>
      </c>
      <c r="V480" s="9">
        <f t="shared" si="185"/>
        <v>0</v>
      </c>
      <c r="W480" s="9">
        <f t="shared" si="186"/>
        <v>0</v>
      </c>
      <c r="X480" s="9">
        <f t="shared" si="187"/>
        <v>0</v>
      </c>
      <c r="Y480" s="9">
        <f t="shared" si="188"/>
        <v>0</v>
      </c>
      <c r="Z480" s="9">
        <f t="shared" si="189"/>
        <v>0</v>
      </c>
      <c r="AA480" s="10">
        <f t="shared" si="190"/>
        <v>0</v>
      </c>
    </row>
    <row r="481" spans="1:27" x14ac:dyDescent="0.3">
      <c r="A481" s="18" t="s">
        <v>1303</v>
      </c>
      <c r="B481" s="4">
        <f t="shared" si="168"/>
        <v>0</v>
      </c>
      <c r="C481" s="4">
        <f t="shared" si="169"/>
        <v>0</v>
      </c>
      <c r="D481" s="4">
        <f t="shared" si="170"/>
        <v>0</v>
      </c>
      <c r="E481" s="4">
        <f t="shared" si="171"/>
        <v>0</v>
      </c>
      <c r="F481" s="4">
        <f t="shared" si="172"/>
        <v>1</v>
      </c>
      <c r="G481" s="4">
        <f t="shared" si="173"/>
        <v>0</v>
      </c>
      <c r="I481" s="8" t="s">
        <v>977</v>
      </c>
      <c r="J481" s="9">
        <f t="shared" si="174"/>
        <v>1</v>
      </c>
      <c r="K481" s="9">
        <f t="shared" si="191"/>
        <v>0</v>
      </c>
      <c r="L481" s="9">
        <f t="shared" si="175"/>
        <v>0</v>
      </c>
      <c r="M481" s="9">
        <f t="shared" si="176"/>
        <v>0</v>
      </c>
      <c r="N481" s="9">
        <f t="shared" si="177"/>
        <v>0</v>
      </c>
      <c r="O481" s="9">
        <f t="shared" si="178"/>
        <v>0</v>
      </c>
      <c r="P481" s="9">
        <f t="shared" si="179"/>
        <v>0</v>
      </c>
      <c r="Q481" s="9">
        <f t="shared" si="180"/>
        <v>0</v>
      </c>
      <c r="R481" s="9">
        <f t="shared" si="181"/>
        <v>0</v>
      </c>
      <c r="S481" s="9">
        <f t="shared" si="182"/>
        <v>0</v>
      </c>
      <c r="T481" s="9">
        <f t="shared" si="183"/>
        <v>0</v>
      </c>
      <c r="U481" s="9">
        <f t="shared" si="184"/>
        <v>0</v>
      </c>
      <c r="V481" s="9">
        <f t="shared" si="185"/>
        <v>0</v>
      </c>
      <c r="W481" s="9">
        <f t="shared" si="186"/>
        <v>0</v>
      </c>
      <c r="X481" s="9">
        <f t="shared" si="187"/>
        <v>0</v>
      </c>
      <c r="Y481" s="9">
        <f t="shared" si="188"/>
        <v>0</v>
      </c>
      <c r="Z481" s="9">
        <f t="shared" si="189"/>
        <v>0</v>
      </c>
      <c r="AA481" s="10">
        <f t="shared" si="190"/>
        <v>0</v>
      </c>
    </row>
    <row r="482" spans="1:27" x14ac:dyDescent="0.3">
      <c r="A482" s="4" t="s">
        <v>1302</v>
      </c>
      <c r="B482" s="4">
        <f t="shared" si="168"/>
        <v>1</v>
      </c>
      <c r="C482" s="4">
        <f t="shared" si="169"/>
        <v>0</v>
      </c>
      <c r="D482" s="4">
        <f t="shared" si="170"/>
        <v>0</v>
      </c>
      <c r="E482" s="4">
        <f t="shared" si="171"/>
        <v>0</v>
      </c>
      <c r="F482" s="4">
        <f t="shared" si="172"/>
        <v>0</v>
      </c>
      <c r="G482" s="4">
        <f t="shared" si="173"/>
        <v>0</v>
      </c>
      <c r="I482" s="11" t="s">
        <v>988</v>
      </c>
      <c r="J482" s="9">
        <f t="shared" si="174"/>
        <v>0</v>
      </c>
      <c r="K482" s="9">
        <f t="shared" si="191"/>
        <v>0</v>
      </c>
      <c r="L482" s="9">
        <f t="shared" si="175"/>
        <v>1</v>
      </c>
      <c r="M482" s="9">
        <f t="shared" si="176"/>
        <v>0</v>
      </c>
      <c r="N482" s="9">
        <f t="shared" si="177"/>
        <v>0</v>
      </c>
      <c r="O482" s="9">
        <f t="shared" si="178"/>
        <v>0</v>
      </c>
      <c r="P482" s="9">
        <f t="shared" si="179"/>
        <v>0</v>
      </c>
      <c r="Q482" s="9">
        <f t="shared" si="180"/>
        <v>0</v>
      </c>
      <c r="R482" s="9">
        <f t="shared" si="181"/>
        <v>0</v>
      </c>
      <c r="S482" s="9">
        <f t="shared" si="182"/>
        <v>0</v>
      </c>
      <c r="T482" s="9">
        <f t="shared" si="183"/>
        <v>0</v>
      </c>
      <c r="U482" s="9">
        <f t="shared" si="184"/>
        <v>0</v>
      </c>
      <c r="V482" s="9">
        <f t="shared" si="185"/>
        <v>0</v>
      </c>
      <c r="W482" s="9">
        <f t="shared" si="186"/>
        <v>0</v>
      </c>
      <c r="X482" s="9">
        <f t="shared" si="187"/>
        <v>0</v>
      </c>
      <c r="Y482" s="9">
        <f t="shared" si="188"/>
        <v>0</v>
      </c>
      <c r="Z482" s="9">
        <f t="shared" si="189"/>
        <v>0</v>
      </c>
      <c r="AA482" s="10">
        <f t="shared" si="190"/>
        <v>0</v>
      </c>
    </row>
    <row r="483" spans="1:27" x14ac:dyDescent="0.3">
      <c r="A483" s="18" t="s">
        <v>1305</v>
      </c>
      <c r="B483" s="4">
        <f t="shared" si="168"/>
        <v>0</v>
      </c>
      <c r="C483" s="4">
        <f t="shared" si="169"/>
        <v>0</v>
      </c>
      <c r="D483" s="4">
        <f t="shared" si="170"/>
        <v>0</v>
      </c>
      <c r="E483" s="4">
        <f t="shared" si="171"/>
        <v>0</v>
      </c>
      <c r="F483" s="4">
        <f t="shared" si="172"/>
        <v>0</v>
      </c>
      <c r="G483" s="4">
        <f t="shared" si="173"/>
        <v>1</v>
      </c>
      <c r="I483" s="8" t="s">
        <v>988</v>
      </c>
      <c r="J483" s="9">
        <f t="shared" si="174"/>
        <v>0</v>
      </c>
      <c r="K483" s="9">
        <f t="shared" si="191"/>
        <v>0</v>
      </c>
      <c r="L483" s="9">
        <f t="shared" si="175"/>
        <v>1</v>
      </c>
      <c r="M483" s="9">
        <f t="shared" si="176"/>
        <v>0</v>
      </c>
      <c r="N483" s="9">
        <f t="shared" si="177"/>
        <v>0</v>
      </c>
      <c r="O483" s="9">
        <f t="shared" si="178"/>
        <v>0</v>
      </c>
      <c r="P483" s="9">
        <f t="shared" si="179"/>
        <v>0</v>
      </c>
      <c r="Q483" s="9">
        <f t="shared" si="180"/>
        <v>0</v>
      </c>
      <c r="R483" s="9">
        <f t="shared" si="181"/>
        <v>0</v>
      </c>
      <c r="S483" s="9">
        <f t="shared" si="182"/>
        <v>0</v>
      </c>
      <c r="T483" s="9">
        <f t="shared" si="183"/>
        <v>0</v>
      </c>
      <c r="U483" s="9">
        <f t="shared" si="184"/>
        <v>0</v>
      </c>
      <c r="V483" s="9">
        <f t="shared" si="185"/>
        <v>0</v>
      </c>
      <c r="W483" s="9">
        <f t="shared" si="186"/>
        <v>0</v>
      </c>
      <c r="X483" s="9">
        <f t="shared" si="187"/>
        <v>0</v>
      </c>
      <c r="Y483" s="9">
        <f t="shared" si="188"/>
        <v>0</v>
      </c>
      <c r="Z483" s="9">
        <f t="shared" si="189"/>
        <v>0</v>
      </c>
      <c r="AA483" s="10">
        <f t="shared" si="190"/>
        <v>0</v>
      </c>
    </row>
    <row r="484" spans="1:27" x14ac:dyDescent="0.3">
      <c r="A484" s="4" t="s">
        <v>1302</v>
      </c>
      <c r="B484" s="4">
        <f t="shared" si="168"/>
        <v>1</v>
      </c>
      <c r="C484" s="4">
        <f t="shared" si="169"/>
        <v>0</v>
      </c>
      <c r="D484" s="4">
        <f t="shared" si="170"/>
        <v>0</v>
      </c>
      <c r="E484" s="4">
        <f t="shared" si="171"/>
        <v>0</v>
      </c>
      <c r="F484" s="4">
        <f t="shared" si="172"/>
        <v>0</v>
      </c>
      <c r="G484" s="4">
        <f t="shared" si="173"/>
        <v>0</v>
      </c>
      <c r="I484" s="11" t="s">
        <v>994</v>
      </c>
      <c r="J484" s="9">
        <f t="shared" si="174"/>
        <v>0</v>
      </c>
      <c r="K484" s="9">
        <f t="shared" si="191"/>
        <v>0</v>
      </c>
      <c r="L484" s="9">
        <f t="shared" si="175"/>
        <v>0</v>
      </c>
      <c r="M484" s="9">
        <f t="shared" si="176"/>
        <v>0</v>
      </c>
      <c r="N484" s="9">
        <f t="shared" si="177"/>
        <v>0</v>
      </c>
      <c r="O484" s="9">
        <f t="shared" si="178"/>
        <v>0</v>
      </c>
      <c r="P484" s="9">
        <f t="shared" si="179"/>
        <v>1</v>
      </c>
      <c r="Q484" s="9">
        <f t="shared" si="180"/>
        <v>0</v>
      </c>
      <c r="R484" s="9">
        <f t="shared" si="181"/>
        <v>0</v>
      </c>
      <c r="S484" s="9">
        <f t="shared" si="182"/>
        <v>0</v>
      </c>
      <c r="T484" s="9">
        <f t="shared" si="183"/>
        <v>0</v>
      </c>
      <c r="U484" s="9">
        <f t="shared" si="184"/>
        <v>0</v>
      </c>
      <c r="V484" s="9">
        <f t="shared" si="185"/>
        <v>0</v>
      </c>
      <c r="W484" s="9">
        <f t="shared" si="186"/>
        <v>0</v>
      </c>
      <c r="X484" s="9">
        <f t="shared" si="187"/>
        <v>0</v>
      </c>
      <c r="Y484" s="9">
        <f t="shared" si="188"/>
        <v>0</v>
      </c>
      <c r="Z484" s="9">
        <f t="shared" si="189"/>
        <v>0</v>
      </c>
      <c r="AA484" s="10">
        <f t="shared" si="190"/>
        <v>0</v>
      </c>
    </row>
    <row r="485" spans="1:27" x14ac:dyDescent="0.3">
      <c r="A485" s="18" t="s">
        <v>1303</v>
      </c>
      <c r="B485" s="4">
        <f t="shared" si="168"/>
        <v>0</v>
      </c>
      <c r="C485" s="4">
        <f t="shared" si="169"/>
        <v>0</v>
      </c>
      <c r="D485" s="4">
        <f t="shared" si="170"/>
        <v>0</v>
      </c>
      <c r="E485" s="4">
        <f t="shared" si="171"/>
        <v>0</v>
      </c>
      <c r="F485" s="4">
        <f t="shared" si="172"/>
        <v>1</v>
      </c>
      <c r="G485" s="4">
        <f t="shared" si="173"/>
        <v>0</v>
      </c>
      <c r="I485" s="8" t="s">
        <v>982</v>
      </c>
      <c r="J485" s="9">
        <f t="shared" si="174"/>
        <v>0</v>
      </c>
      <c r="K485" s="9">
        <f t="shared" si="191"/>
        <v>1</v>
      </c>
      <c r="L485" s="9">
        <f t="shared" si="175"/>
        <v>0</v>
      </c>
      <c r="M485" s="9">
        <f t="shared" si="176"/>
        <v>0</v>
      </c>
      <c r="N485" s="9">
        <f t="shared" si="177"/>
        <v>0</v>
      </c>
      <c r="O485" s="9">
        <f t="shared" si="178"/>
        <v>0</v>
      </c>
      <c r="P485" s="9">
        <f t="shared" si="179"/>
        <v>0</v>
      </c>
      <c r="Q485" s="9">
        <f t="shared" si="180"/>
        <v>0</v>
      </c>
      <c r="R485" s="9">
        <f t="shared" si="181"/>
        <v>0</v>
      </c>
      <c r="S485" s="9">
        <f t="shared" si="182"/>
        <v>0</v>
      </c>
      <c r="T485" s="9">
        <f t="shared" si="183"/>
        <v>0</v>
      </c>
      <c r="U485" s="9">
        <f t="shared" si="184"/>
        <v>0</v>
      </c>
      <c r="V485" s="9">
        <f t="shared" si="185"/>
        <v>0</v>
      </c>
      <c r="W485" s="9">
        <f t="shared" si="186"/>
        <v>0</v>
      </c>
      <c r="X485" s="9">
        <f t="shared" si="187"/>
        <v>0</v>
      </c>
      <c r="Y485" s="9">
        <f t="shared" si="188"/>
        <v>0</v>
      </c>
      <c r="Z485" s="9">
        <f t="shared" si="189"/>
        <v>0</v>
      </c>
      <c r="AA485" s="10">
        <f t="shared" si="190"/>
        <v>0</v>
      </c>
    </row>
    <row r="486" spans="1:27" x14ac:dyDescent="0.3">
      <c r="A486" s="4" t="s">
        <v>1294</v>
      </c>
      <c r="B486" s="4">
        <f t="shared" si="168"/>
        <v>0</v>
      </c>
      <c r="C486" s="4">
        <f t="shared" si="169"/>
        <v>0</v>
      </c>
      <c r="D486" s="4">
        <f t="shared" si="170"/>
        <v>0</v>
      </c>
      <c r="E486" s="4">
        <f t="shared" si="171"/>
        <v>0</v>
      </c>
      <c r="F486" s="4">
        <f t="shared" si="172"/>
        <v>0</v>
      </c>
      <c r="G486" s="4">
        <f t="shared" si="173"/>
        <v>0</v>
      </c>
      <c r="I486" s="11" t="s">
        <v>977</v>
      </c>
      <c r="J486" s="9">
        <f t="shared" si="174"/>
        <v>1</v>
      </c>
      <c r="K486" s="9">
        <f t="shared" si="191"/>
        <v>0</v>
      </c>
      <c r="L486" s="9">
        <f t="shared" si="175"/>
        <v>0</v>
      </c>
      <c r="M486" s="9">
        <f t="shared" si="176"/>
        <v>0</v>
      </c>
      <c r="N486" s="9">
        <f t="shared" si="177"/>
        <v>0</v>
      </c>
      <c r="O486" s="9">
        <f t="shared" si="178"/>
        <v>0</v>
      </c>
      <c r="P486" s="9">
        <f t="shared" si="179"/>
        <v>0</v>
      </c>
      <c r="Q486" s="9">
        <f t="shared" si="180"/>
        <v>0</v>
      </c>
      <c r="R486" s="9">
        <f t="shared" si="181"/>
        <v>0</v>
      </c>
      <c r="S486" s="9">
        <f t="shared" si="182"/>
        <v>0</v>
      </c>
      <c r="T486" s="9">
        <f t="shared" si="183"/>
        <v>0</v>
      </c>
      <c r="U486" s="9">
        <f t="shared" si="184"/>
        <v>0</v>
      </c>
      <c r="V486" s="9">
        <f t="shared" si="185"/>
        <v>0</v>
      </c>
      <c r="W486" s="9">
        <f t="shared" si="186"/>
        <v>0</v>
      </c>
      <c r="X486" s="9">
        <f t="shared" si="187"/>
        <v>0</v>
      </c>
      <c r="Y486" s="9">
        <f t="shared" si="188"/>
        <v>0</v>
      </c>
      <c r="Z486" s="9">
        <f t="shared" si="189"/>
        <v>0</v>
      </c>
      <c r="AA486" s="10">
        <f t="shared" si="190"/>
        <v>0</v>
      </c>
    </row>
    <row r="487" spans="1:27" x14ac:dyDescent="0.3">
      <c r="A487" s="18" t="s">
        <v>1302</v>
      </c>
      <c r="B487" s="4">
        <f t="shared" si="168"/>
        <v>1</v>
      </c>
      <c r="C487" s="4">
        <f t="shared" si="169"/>
        <v>0</v>
      </c>
      <c r="D487" s="4">
        <f t="shared" si="170"/>
        <v>0</v>
      </c>
      <c r="E487" s="4">
        <f t="shared" si="171"/>
        <v>0</v>
      </c>
      <c r="F487" s="4">
        <f t="shared" si="172"/>
        <v>0</v>
      </c>
      <c r="G487" s="4">
        <f t="shared" si="173"/>
        <v>0</v>
      </c>
      <c r="I487" s="8" t="s">
        <v>994</v>
      </c>
      <c r="J487" s="9">
        <f t="shared" si="174"/>
        <v>0</v>
      </c>
      <c r="K487" s="9">
        <f t="shared" si="191"/>
        <v>0</v>
      </c>
      <c r="L487" s="9">
        <f t="shared" si="175"/>
        <v>0</v>
      </c>
      <c r="M487" s="9">
        <f t="shared" si="176"/>
        <v>0</v>
      </c>
      <c r="N487" s="9">
        <f t="shared" si="177"/>
        <v>0</v>
      </c>
      <c r="O487" s="9">
        <f t="shared" si="178"/>
        <v>0</v>
      </c>
      <c r="P487" s="9">
        <f t="shared" si="179"/>
        <v>1</v>
      </c>
      <c r="Q487" s="9">
        <f t="shared" si="180"/>
        <v>0</v>
      </c>
      <c r="R487" s="9">
        <f t="shared" si="181"/>
        <v>0</v>
      </c>
      <c r="S487" s="9">
        <f t="shared" si="182"/>
        <v>0</v>
      </c>
      <c r="T487" s="9">
        <f t="shared" si="183"/>
        <v>0</v>
      </c>
      <c r="U487" s="9">
        <f t="shared" si="184"/>
        <v>0</v>
      </c>
      <c r="V487" s="9">
        <f t="shared" si="185"/>
        <v>0</v>
      </c>
      <c r="W487" s="9">
        <f t="shared" si="186"/>
        <v>0</v>
      </c>
      <c r="X487" s="9">
        <f t="shared" si="187"/>
        <v>0</v>
      </c>
      <c r="Y487" s="9">
        <f t="shared" si="188"/>
        <v>0</v>
      </c>
      <c r="Z487" s="9">
        <f t="shared" si="189"/>
        <v>0</v>
      </c>
      <c r="AA487" s="10">
        <f t="shared" si="190"/>
        <v>0</v>
      </c>
    </row>
    <row r="488" spans="1:27" x14ac:dyDescent="0.3">
      <c r="A488" s="4" t="s">
        <v>1303</v>
      </c>
      <c r="B488" s="4">
        <f t="shared" si="168"/>
        <v>0</v>
      </c>
      <c r="C488" s="4">
        <f t="shared" si="169"/>
        <v>0</v>
      </c>
      <c r="D488" s="4">
        <f t="shared" si="170"/>
        <v>0</v>
      </c>
      <c r="E488" s="4">
        <f t="shared" si="171"/>
        <v>0</v>
      </c>
      <c r="F488" s="4">
        <f t="shared" si="172"/>
        <v>1</v>
      </c>
      <c r="G488" s="4">
        <f t="shared" si="173"/>
        <v>0</v>
      </c>
      <c r="I488" s="11" t="s">
        <v>977</v>
      </c>
      <c r="J488" s="9">
        <f t="shared" si="174"/>
        <v>1</v>
      </c>
      <c r="K488" s="9">
        <f t="shared" si="191"/>
        <v>0</v>
      </c>
      <c r="L488" s="9">
        <f t="shared" si="175"/>
        <v>0</v>
      </c>
      <c r="M488" s="9">
        <f t="shared" si="176"/>
        <v>0</v>
      </c>
      <c r="N488" s="9">
        <f t="shared" si="177"/>
        <v>0</v>
      </c>
      <c r="O488" s="9">
        <f t="shared" si="178"/>
        <v>0</v>
      </c>
      <c r="P488" s="9">
        <f t="shared" si="179"/>
        <v>0</v>
      </c>
      <c r="Q488" s="9">
        <f t="shared" si="180"/>
        <v>0</v>
      </c>
      <c r="R488" s="9">
        <f t="shared" si="181"/>
        <v>0</v>
      </c>
      <c r="S488" s="9">
        <f t="shared" si="182"/>
        <v>0</v>
      </c>
      <c r="T488" s="9">
        <f t="shared" si="183"/>
        <v>0</v>
      </c>
      <c r="U488" s="9">
        <f t="shared" si="184"/>
        <v>0</v>
      </c>
      <c r="V488" s="9">
        <f t="shared" si="185"/>
        <v>0</v>
      </c>
      <c r="W488" s="9">
        <f t="shared" si="186"/>
        <v>0</v>
      </c>
      <c r="X488" s="9">
        <f t="shared" si="187"/>
        <v>0</v>
      </c>
      <c r="Y488" s="9">
        <f t="shared" si="188"/>
        <v>0</v>
      </c>
      <c r="Z488" s="9">
        <f t="shared" si="189"/>
        <v>0</v>
      </c>
      <c r="AA488" s="10">
        <f t="shared" si="190"/>
        <v>0</v>
      </c>
    </row>
    <row r="489" spans="1:27" x14ac:dyDescent="0.3">
      <c r="A489" s="18" t="s">
        <v>1302</v>
      </c>
      <c r="B489" s="4">
        <f t="shared" si="168"/>
        <v>1</v>
      </c>
      <c r="C489" s="4">
        <f t="shared" si="169"/>
        <v>0</v>
      </c>
      <c r="D489" s="4">
        <f t="shared" si="170"/>
        <v>0</v>
      </c>
      <c r="E489" s="4">
        <f t="shared" si="171"/>
        <v>0</v>
      </c>
      <c r="F489" s="4">
        <f t="shared" si="172"/>
        <v>0</v>
      </c>
      <c r="G489" s="4">
        <f t="shared" si="173"/>
        <v>0</v>
      </c>
      <c r="I489" s="8" t="s">
        <v>994</v>
      </c>
      <c r="J489" s="9">
        <f t="shared" si="174"/>
        <v>0</v>
      </c>
      <c r="K489" s="9">
        <f t="shared" si="191"/>
        <v>0</v>
      </c>
      <c r="L489" s="9">
        <f t="shared" si="175"/>
        <v>0</v>
      </c>
      <c r="M489" s="9">
        <f t="shared" si="176"/>
        <v>0</v>
      </c>
      <c r="N489" s="9">
        <f t="shared" si="177"/>
        <v>0</v>
      </c>
      <c r="O489" s="9">
        <f t="shared" si="178"/>
        <v>0</v>
      </c>
      <c r="P489" s="9">
        <f t="shared" si="179"/>
        <v>1</v>
      </c>
      <c r="Q489" s="9">
        <f t="shared" si="180"/>
        <v>0</v>
      </c>
      <c r="R489" s="9">
        <f t="shared" si="181"/>
        <v>0</v>
      </c>
      <c r="S489" s="9">
        <f t="shared" si="182"/>
        <v>0</v>
      </c>
      <c r="T489" s="9">
        <f t="shared" si="183"/>
        <v>0</v>
      </c>
      <c r="U489" s="9">
        <f t="shared" si="184"/>
        <v>0</v>
      </c>
      <c r="V489" s="9">
        <f t="shared" si="185"/>
        <v>0</v>
      </c>
      <c r="W489" s="9">
        <f t="shared" si="186"/>
        <v>0</v>
      </c>
      <c r="X489" s="9">
        <f t="shared" si="187"/>
        <v>0</v>
      </c>
      <c r="Y489" s="9">
        <f t="shared" si="188"/>
        <v>0</v>
      </c>
      <c r="Z489" s="9">
        <f t="shared" si="189"/>
        <v>0</v>
      </c>
      <c r="AA489" s="10">
        <f t="shared" si="190"/>
        <v>0</v>
      </c>
    </row>
    <row r="490" spans="1:27" x14ac:dyDescent="0.3">
      <c r="A490" s="4" t="s">
        <v>1305</v>
      </c>
      <c r="B490" s="4">
        <f t="shared" si="168"/>
        <v>0</v>
      </c>
      <c r="C490" s="4">
        <f t="shared" si="169"/>
        <v>0</v>
      </c>
      <c r="D490" s="4">
        <f t="shared" si="170"/>
        <v>0</v>
      </c>
      <c r="E490" s="4">
        <f t="shared" si="171"/>
        <v>0</v>
      </c>
      <c r="F490" s="4">
        <f t="shared" si="172"/>
        <v>0</v>
      </c>
      <c r="G490" s="4">
        <f t="shared" si="173"/>
        <v>1</v>
      </c>
      <c r="I490" s="11" t="s">
        <v>988</v>
      </c>
      <c r="J490" s="9">
        <f t="shared" si="174"/>
        <v>0</v>
      </c>
      <c r="K490" s="9">
        <f t="shared" si="191"/>
        <v>0</v>
      </c>
      <c r="L490" s="9">
        <f t="shared" si="175"/>
        <v>1</v>
      </c>
      <c r="M490" s="9">
        <f t="shared" si="176"/>
        <v>0</v>
      </c>
      <c r="N490" s="9">
        <f t="shared" si="177"/>
        <v>0</v>
      </c>
      <c r="O490" s="9">
        <f t="shared" si="178"/>
        <v>0</v>
      </c>
      <c r="P490" s="9">
        <f t="shared" si="179"/>
        <v>0</v>
      </c>
      <c r="Q490" s="9">
        <f t="shared" si="180"/>
        <v>0</v>
      </c>
      <c r="R490" s="9">
        <f t="shared" si="181"/>
        <v>0</v>
      </c>
      <c r="S490" s="9">
        <f t="shared" si="182"/>
        <v>0</v>
      </c>
      <c r="T490" s="9">
        <f t="shared" si="183"/>
        <v>0</v>
      </c>
      <c r="U490" s="9">
        <f t="shared" si="184"/>
        <v>0</v>
      </c>
      <c r="V490" s="9">
        <f t="shared" si="185"/>
        <v>0</v>
      </c>
      <c r="W490" s="9">
        <f t="shared" si="186"/>
        <v>0</v>
      </c>
      <c r="X490" s="9">
        <f t="shared" si="187"/>
        <v>0</v>
      </c>
      <c r="Y490" s="9">
        <f t="shared" si="188"/>
        <v>0</v>
      </c>
      <c r="Z490" s="9">
        <f t="shared" si="189"/>
        <v>0</v>
      </c>
      <c r="AA490" s="10">
        <f t="shared" si="190"/>
        <v>0</v>
      </c>
    </row>
    <row r="491" spans="1:27" x14ac:dyDescent="0.3">
      <c r="A491" s="18" t="s">
        <v>1302</v>
      </c>
      <c r="B491" s="4">
        <f t="shared" si="168"/>
        <v>1</v>
      </c>
      <c r="C491" s="4">
        <f t="shared" si="169"/>
        <v>0</v>
      </c>
      <c r="D491" s="4">
        <f t="shared" si="170"/>
        <v>0</v>
      </c>
      <c r="E491" s="4">
        <f t="shared" si="171"/>
        <v>0</v>
      </c>
      <c r="F491" s="4">
        <f t="shared" si="172"/>
        <v>0</v>
      </c>
      <c r="G491" s="4">
        <f t="shared" si="173"/>
        <v>0</v>
      </c>
      <c r="I491" s="8" t="s">
        <v>1294</v>
      </c>
      <c r="J491" s="9">
        <f t="shared" si="174"/>
        <v>0</v>
      </c>
      <c r="K491" s="9">
        <f t="shared" si="191"/>
        <v>0</v>
      </c>
      <c r="L491" s="9">
        <f t="shared" si="175"/>
        <v>0</v>
      </c>
      <c r="M491" s="9">
        <f t="shared" si="176"/>
        <v>0</v>
      </c>
      <c r="N491" s="9">
        <f t="shared" si="177"/>
        <v>0</v>
      </c>
      <c r="O491" s="9">
        <f t="shared" si="178"/>
        <v>0</v>
      </c>
      <c r="P491" s="9">
        <f t="shared" si="179"/>
        <v>0</v>
      </c>
      <c r="Q491" s="9">
        <f t="shared" si="180"/>
        <v>0</v>
      </c>
      <c r="R491" s="9">
        <f t="shared" si="181"/>
        <v>0</v>
      </c>
      <c r="S491" s="9">
        <f t="shared" si="182"/>
        <v>0</v>
      </c>
      <c r="T491" s="9">
        <f t="shared" si="183"/>
        <v>0</v>
      </c>
      <c r="U491" s="9">
        <f t="shared" si="184"/>
        <v>0</v>
      </c>
      <c r="V491" s="9">
        <f t="shared" si="185"/>
        <v>0</v>
      </c>
      <c r="W491" s="9">
        <f t="shared" si="186"/>
        <v>0</v>
      </c>
      <c r="X491" s="9">
        <f t="shared" si="187"/>
        <v>0</v>
      </c>
      <c r="Y491" s="9">
        <f t="shared" si="188"/>
        <v>0</v>
      </c>
      <c r="Z491" s="9">
        <f t="shared" si="189"/>
        <v>0</v>
      </c>
      <c r="AA491" s="10">
        <f t="shared" si="190"/>
        <v>0</v>
      </c>
    </row>
    <row r="492" spans="1:27" x14ac:dyDescent="0.3">
      <c r="A492" s="4" t="s">
        <v>1305</v>
      </c>
      <c r="B492" s="4">
        <f t="shared" si="168"/>
        <v>0</v>
      </c>
      <c r="C492" s="4">
        <f t="shared" si="169"/>
        <v>0</v>
      </c>
      <c r="D492" s="4">
        <f t="shared" si="170"/>
        <v>0</v>
      </c>
      <c r="E492" s="4">
        <f t="shared" si="171"/>
        <v>0</v>
      </c>
      <c r="F492" s="4">
        <f t="shared" si="172"/>
        <v>0</v>
      </c>
      <c r="G492" s="4">
        <f t="shared" si="173"/>
        <v>1</v>
      </c>
      <c r="I492" s="11" t="s">
        <v>982</v>
      </c>
      <c r="J492" s="9">
        <f t="shared" si="174"/>
        <v>0</v>
      </c>
      <c r="K492" s="9">
        <f t="shared" si="191"/>
        <v>1</v>
      </c>
      <c r="L492" s="9">
        <f t="shared" si="175"/>
        <v>0</v>
      </c>
      <c r="M492" s="9">
        <f t="shared" si="176"/>
        <v>0</v>
      </c>
      <c r="N492" s="9">
        <f t="shared" si="177"/>
        <v>0</v>
      </c>
      <c r="O492" s="9">
        <f t="shared" si="178"/>
        <v>0</v>
      </c>
      <c r="P492" s="9">
        <f t="shared" si="179"/>
        <v>0</v>
      </c>
      <c r="Q492" s="9">
        <f t="shared" si="180"/>
        <v>0</v>
      </c>
      <c r="R492" s="9">
        <f t="shared" si="181"/>
        <v>0</v>
      </c>
      <c r="S492" s="9">
        <f t="shared" si="182"/>
        <v>0</v>
      </c>
      <c r="T492" s="9">
        <f t="shared" si="183"/>
        <v>0</v>
      </c>
      <c r="U492" s="9">
        <f t="shared" si="184"/>
        <v>0</v>
      </c>
      <c r="V492" s="9">
        <f t="shared" si="185"/>
        <v>0</v>
      </c>
      <c r="W492" s="9">
        <f t="shared" si="186"/>
        <v>0</v>
      </c>
      <c r="X492" s="9">
        <f t="shared" si="187"/>
        <v>0</v>
      </c>
      <c r="Y492" s="9">
        <f t="shared" si="188"/>
        <v>0</v>
      </c>
      <c r="Z492" s="9">
        <f t="shared" si="189"/>
        <v>0</v>
      </c>
      <c r="AA492" s="10">
        <f t="shared" si="190"/>
        <v>0</v>
      </c>
    </row>
    <row r="493" spans="1:27" x14ac:dyDescent="0.3">
      <c r="A493" s="18" t="s">
        <v>1304</v>
      </c>
      <c r="B493" s="4">
        <f t="shared" si="168"/>
        <v>0</v>
      </c>
      <c r="C493" s="4">
        <f t="shared" si="169"/>
        <v>1</v>
      </c>
      <c r="D493" s="4">
        <f t="shared" si="170"/>
        <v>0</v>
      </c>
      <c r="E493" s="4">
        <f t="shared" si="171"/>
        <v>0</v>
      </c>
      <c r="F493" s="4">
        <f t="shared" si="172"/>
        <v>0</v>
      </c>
      <c r="G493" s="4">
        <f t="shared" si="173"/>
        <v>0</v>
      </c>
      <c r="I493" s="8" t="s">
        <v>1026</v>
      </c>
      <c r="J493" s="9">
        <f t="shared" si="174"/>
        <v>0</v>
      </c>
      <c r="K493" s="9">
        <f t="shared" si="191"/>
        <v>0</v>
      </c>
      <c r="L493" s="9">
        <f t="shared" si="175"/>
        <v>0</v>
      </c>
      <c r="M493" s="9">
        <f t="shared" si="176"/>
        <v>0</v>
      </c>
      <c r="N493" s="9">
        <f t="shared" si="177"/>
        <v>0</v>
      </c>
      <c r="O493" s="9">
        <f t="shared" si="178"/>
        <v>0</v>
      </c>
      <c r="P493" s="9">
        <f t="shared" si="179"/>
        <v>0</v>
      </c>
      <c r="Q493" s="9">
        <f t="shared" si="180"/>
        <v>0</v>
      </c>
      <c r="R493" s="9">
        <f t="shared" si="181"/>
        <v>0</v>
      </c>
      <c r="S493" s="9">
        <f t="shared" si="182"/>
        <v>0</v>
      </c>
      <c r="T493" s="9">
        <f t="shared" si="183"/>
        <v>1</v>
      </c>
      <c r="U493" s="9">
        <f t="shared" si="184"/>
        <v>0</v>
      </c>
      <c r="V493" s="9">
        <f t="shared" si="185"/>
        <v>0</v>
      </c>
      <c r="W493" s="9">
        <f t="shared" si="186"/>
        <v>0</v>
      </c>
      <c r="X493" s="9">
        <f t="shared" si="187"/>
        <v>0</v>
      </c>
      <c r="Y493" s="9">
        <f t="shared" si="188"/>
        <v>0</v>
      </c>
      <c r="Z493" s="9">
        <f t="shared" si="189"/>
        <v>0</v>
      </c>
      <c r="AA493" s="10">
        <f t="shared" si="190"/>
        <v>0</v>
      </c>
    </row>
    <row r="494" spans="1:27" x14ac:dyDescent="0.3">
      <c r="A494" s="4" t="s">
        <v>1302</v>
      </c>
      <c r="B494" s="4">
        <f t="shared" si="168"/>
        <v>1</v>
      </c>
      <c r="C494" s="4">
        <f t="shared" si="169"/>
        <v>0</v>
      </c>
      <c r="D494" s="4">
        <f t="shared" si="170"/>
        <v>0</v>
      </c>
      <c r="E494" s="4">
        <f t="shared" si="171"/>
        <v>0</v>
      </c>
      <c r="F494" s="4">
        <f t="shared" si="172"/>
        <v>0</v>
      </c>
      <c r="G494" s="4">
        <f t="shared" si="173"/>
        <v>0</v>
      </c>
      <c r="I494" s="11" t="s">
        <v>982</v>
      </c>
      <c r="J494" s="9">
        <f t="shared" si="174"/>
        <v>0</v>
      </c>
      <c r="K494" s="9">
        <f t="shared" si="191"/>
        <v>1</v>
      </c>
      <c r="L494" s="9">
        <f t="shared" si="175"/>
        <v>0</v>
      </c>
      <c r="M494" s="9">
        <f t="shared" si="176"/>
        <v>0</v>
      </c>
      <c r="N494" s="9">
        <f t="shared" si="177"/>
        <v>0</v>
      </c>
      <c r="O494" s="9">
        <f t="shared" si="178"/>
        <v>0</v>
      </c>
      <c r="P494" s="9">
        <f t="shared" si="179"/>
        <v>0</v>
      </c>
      <c r="Q494" s="9">
        <f t="shared" si="180"/>
        <v>0</v>
      </c>
      <c r="R494" s="9">
        <f t="shared" si="181"/>
        <v>0</v>
      </c>
      <c r="S494" s="9">
        <f t="shared" si="182"/>
        <v>0</v>
      </c>
      <c r="T494" s="9">
        <f t="shared" si="183"/>
        <v>0</v>
      </c>
      <c r="U494" s="9">
        <f t="shared" si="184"/>
        <v>0</v>
      </c>
      <c r="V494" s="9">
        <f t="shared" si="185"/>
        <v>0</v>
      </c>
      <c r="W494" s="9">
        <f t="shared" si="186"/>
        <v>0</v>
      </c>
      <c r="X494" s="9">
        <f t="shared" si="187"/>
        <v>0</v>
      </c>
      <c r="Y494" s="9">
        <f t="shared" si="188"/>
        <v>0</v>
      </c>
      <c r="Z494" s="9">
        <f t="shared" si="189"/>
        <v>0</v>
      </c>
      <c r="AA494" s="10">
        <f t="shared" si="190"/>
        <v>0</v>
      </c>
    </row>
    <row r="495" spans="1:27" x14ac:dyDescent="0.3">
      <c r="A495" s="18" t="s">
        <v>1305</v>
      </c>
      <c r="B495" s="4">
        <f t="shared" si="168"/>
        <v>0</v>
      </c>
      <c r="C495" s="4">
        <f t="shared" si="169"/>
        <v>0</v>
      </c>
      <c r="D495" s="4">
        <f t="shared" si="170"/>
        <v>0</v>
      </c>
      <c r="E495" s="4">
        <f t="shared" si="171"/>
        <v>0</v>
      </c>
      <c r="F495" s="4">
        <f t="shared" si="172"/>
        <v>0</v>
      </c>
      <c r="G495" s="4">
        <f t="shared" si="173"/>
        <v>1</v>
      </c>
      <c r="I495" s="8" t="s">
        <v>1044</v>
      </c>
      <c r="J495" s="9">
        <f t="shared" si="174"/>
        <v>0</v>
      </c>
      <c r="K495" s="9">
        <f t="shared" si="191"/>
        <v>0</v>
      </c>
      <c r="L495" s="9">
        <f t="shared" si="175"/>
        <v>0</v>
      </c>
      <c r="M495" s="9">
        <f t="shared" si="176"/>
        <v>0</v>
      </c>
      <c r="N495" s="9">
        <f t="shared" si="177"/>
        <v>0</v>
      </c>
      <c r="O495" s="9">
        <f t="shared" si="178"/>
        <v>0</v>
      </c>
      <c r="P495" s="9">
        <f t="shared" si="179"/>
        <v>0</v>
      </c>
      <c r="Q495" s="9">
        <f t="shared" si="180"/>
        <v>0</v>
      </c>
      <c r="R495" s="9">
        <f t="shared" si="181"/>
        <v>0</v>
      </c>
      <c r="S495" s="9">
        <f t="shared" si="182"/>
        <v>0</v>
      </c>
      <c r="T495" s="9">
        <f t="shared" si="183"/>
        <v>0</v>
      </c>
      <c r="U495" s="9">
        <f t="shared" si="184"/>
        <v>1</v>
      </c>
      <c r="V495" s="9">
        <f t="shared" si="185"/>
        <v>0</v>
      </c>
      <c r="W495" s="9">
        <f t="shared" si="186"/>
        <v>0</v>
      </c>
      <c r="X495" s="9">
        <f t="shared" si="187"/>
        <v>0</v>
      </c>
      <c r="Y495" s="9">
        <f t="shared" si="188"/>
        <v>0</v>
      </c>
      <c r="Z495" s="9">
        <f t="shared" si="189"/>
        <v>0</v>
      </c>
      <c r="AA495" s="10">
        <f t="shared" si="190"/>
        <v>0</v>
      </c>
    </row>
    <row r="496" spans="1:27" x14ac:dyDescent="0.3">
      <c r="A496" s="4" t="s">
        <v>1302</v>
      </c>
      <c r="B496" s="4">
        <f t="shared" si="168"/>
        <v>1</v>
      </c>
      <c r="C496" s="4">
        <f t="shared" si="169"/>
        <v>0</v>
      </c>
      <c r="D496" s="4">
        <f t="shared" si="170"/>
        <v>0</v>
      </c>
      <c r="E496" s="4">
        <f t="shared" si="171"/>
        <v>0</v>
      </c>
      <c r="F496" s="4">
        <f t="shared" si="172"/>
        <v>0</v>
      </c>
      <c r="G496" s="4">
        <f t="shared" si="173"/>
        <v>0</v>
      </c>
      <c r="I496" s="11" t="s">
        <v>996</v>
      </c>
      <c r="J496" s="9">
        <f t="shared" si="174"/>
        <v>0</v>
      </c>
      <c r="K496" s="9">
        <f t="shared" si="191"/>
        <v>0</v>
      </c>
      <c r="L496" s="9">
        <f t="shared" si="175"/>
        <v>0</v>
      </c>
      <c r="M496" s="9">
        <f t="shared" si="176"/>
        <v>0</v>
      </c>
      <c r="N496" s="9">
        <f t="shared" si="177"/>
        <v>0</v>
      </c>
      <c r="O496" s="9">
        <f t="shared" si="178"/>
        <v>0</v>
      </c>
      <c r="P496" s="9">
        <f t="shared" si="179"/>
        <v>0</v>
      </c>
      <c r="Q496" s="9">
        <f t="shared" si="180"/>
        <v>1</v>
      </c>
      <c r="R496" s="9">
        <f t="shared" si="181"/>
        <v>0</v>
      </c>
      <c r="S496" s="9">
        <f t="shared" si="182"/>
        <v>0</v>
      </c>
      <c r="T496" s="9">
        <f t="shared" si="183"/>
        <v>0</v>
      </c>
      <c r="U496" s="9">
        <f t="shared" si="184"/>
        <v>0</v>
      </c>
      <c r="V496" s="9">
        <f t="shared" si="185"/>
        <v>0</v>
      </c>
      <c r="W496" s="9">
        <f t="shared" si="186"/>
        <v>0</v>
      </c>
      <c r="X496" s="9">
        <f t="shared" si="187"/>
        <v>0</v>
      </c>
      <c r="Y496" s="9">
        <f t="shared" si="188"/>
        <v>0</v>
      </c>
      <c r="Z496" s="9">
        <f t="shared" si="189"/>
        <v>0</v>
      </c>
      <c r="AA496" s="10">
        <f t="shared" si="190"/>
        <v>0</v>
      </c>
    </row>
    <row r="497" spans="1:27" x14ac:dyDescent="0.3">
      <c r="A497" s="18" t="s">
        <v>1302</v>
      </c>
      <c r="B497" s="4">
        <f t="shared" si="168"/>
        <v>1</v>
      </c>
      <c r="C497" s="4">
        <f t="shared" si="169"/>
        <v>0</v>
      </c>
      <c r="D497" s="4">
        <f t="shared" si="170"/>
        <v>0</v>
      </c>
      <c r="E497" s="4">
        <f t="shared" si="171"/>
        <v>0</v>
      </c>
      <c r="F497" s="4">
        <f t="shared" si="172"/>
        <v>0</v>
      </c>
      <c r="G497" s="4">
        <f t="shared" si="173"/>
        <v>0</v>
      </c>
      <c r="I497" s="8" t="s">
        <v>977</v>
      </c>
      <c r="J497" s="9">
        <f t="shared" si="174"/>
        <v>1</v>
      </c>
      <c r="K497" s="9">
        <f t="shared" si="191"/>
        <v>0</v>
      </c>
      <c r="L497" s="9">
        <f t="shared" si="175"/>
        <v>0</v>
      </c>
      <c r="M497" s="9">
        <f t="shared" si="176"/>
        <v>0</v>
      </c>
      <c r="N497" s="9">
        <f t="shared" si="177"/>
        <v>0</v>
      </c>
      <c r="O497" s="9">
        <f t="shared" si="178"/>
        <v>0</v>
      </c>
      <c r="P497" s="9">
        <f t="shared" si="179"/>
        <v>0</v>
      </c>
      <c r="Q497" s="9">
        <f t="shared" si="180"/>
        <v>0</v>
      </c>
      <c r="R497" s="9">
        <f t="shared" si="181"/>
        <v>0</v>
      </c>
      <c r="S497" s="9">
        <f t="shared" si="182"/>
        <v>0</v>
      </c>
      <c r="T497" s="9">
        <f t="shared" si="183"/>
        <v>0</v>
      </c>
      <c r="U497" s="9">
        <f t="shared" si="184"/>
        <v>0</v>
      </c>
      <c r="V497" s="9">
        <f t="shared" si="185"/>
        <v>0</v>
      </c>
      <c r="W497" s="9">
        <f t="shared" si="186"/>
        <v>0</v>
      </c>
      <c r="X497" s="9">
        <f t="shared" si="187"/>
        <v>0</v>
      </c>
      <c r="Y497" s="9">
        <f t="shared" si="188"/>
        <v>0</v>
      </c>
      <c r="Z497" s="9">
        <f t="shared" si="189"/>
        <v>0</v>
      </c>
      <c r="AA497" s="10">
        <f t="shared" si="190"/>
        <v>0</v>
      </c>
    </row>
    <row r="498" spans="1:27" x14ac:dyDescent="0.3">
      <c r="A498" s="4" t="s">
        <v>1305</v>
      </c>
      <c r="B498" s="4">
        <f t="shared" si="168"/>
        <v>0</v>
      </c>
      <c r="C498" s="4">
        <f t="shared" si="169"/>
        <v>0</v>
      </c>
      <c r="D498" s="4">
        <f t="shared" si="170"/>
        <v>0</v>
      </c>
      <c r="E498" s="4">
        <f t="shared" si="171"/>
        <v>0</v>
      </c>
      <c r="F498" s="4">
        <f t="shared" si="172"/>
        <v>0</v>
      </c>
      <c r="G498" s="4">
        <f t="shared" si="173"/>
        <v>1</v>
      </c>
      <c r="I498" s="11" t="s">
        <v>996</v>
      </c>
      <c r="J498" s="9">
        <f t="shared" si="174"/>
        <v>0</v>
      </c>
      <c r="K498" s="9">
        <f t="shared" si="191"/>
        <v>0</v>
      </c>
      <c r="L498" s="9">
        <f t="shared" si="175"/>
        <v>0</v>
      </c>
      <c r="M498" s="9">
        <f t="shared" si="176"/>
        <v>0</v>
      </c>
      <c r="N498" s="9">
        <f t="shared" si="177"/>
        <v>0</v>
      </c>
      <c r="O498" s="9">
        <f t="shared" si="178"/>
        <v>0</v>
      </c>
      <c r="P498" s="9">
        <f t="shared" si="179"/>
        <v>0</v>
      </c>
      <c r="Q498" s="9">
        <f t="shared" si="180"/>
        <v>1</v>
      </c>
      <c r="R498" s="9">
        <f t="shared" si="181"/>
        <v>0</v>
      </c>
      <c r="S498" s="9">
        <f t="shared" si="182"/>
        <v>0</v>
      </c>
      <c r="T498" s="9">
        <f t="shared" si="183"/>
        <v>0</v>
      </c>
      <c r="U498" s="9">
        <f t="shared" si="184"/>
        <v>0</v>
      </c>
      <c r="V498" s="9">
        <f t="shared" si="185"/>
        <v>0</v>
      </c>
      <c r="W498" s="9">
        <f t="shared" si="186"/>
        <v>0</v>
      </c>
      <c r="X498" s="9">
        <f t="shared" si="187"/>
        <v>0</v>
      </c>
      <c r="Y498" s="9">
        <f t="shared" si="188"/>
        <v>0</v>
      </c>
      <c r="Z498" s="9">
        <f t="shared" si="189"/>
        <v>0</v>
      </c>
      <c r="AA498" s="10">
        <f t="shared" si="190"/>
        <v>0</v>
      </c>
    </row>
    <row r="499" spans="1:27" x14ac:dyDescent="0.3">
      <c r="A499" s="18" t="s">
        <v>1302</v>
      </c>
      <c r="B499" s="4">
        <f t="shared" si="168"/>
        <v>1</v>
      </c>
      <c r="C499" s="4">
        <f t="shared" si="169"/>
        <v>0</v>
      </c>
      <c r="D499" s="4">
        <f t="shared" si="170"/>
        <v>0</v>
      </c>
      <c r="E499" s="4">
        <f t="shared" si="171"/>
        <v>0</v>
      </c>
      <c r="F499" s="4">
        <f t="shared" si="172"/>
        <v>0</v>
      </c>
      <c r="G499" s="4">
        <f t="shared" si="173"/>
        <v>0</v>
      </c>
      <c r="I499" s="8" t="s">
        <v>988</v>
      </c>
      <c r="J499" s="9">
        <f t="shared" si="174"/>
        <v>0</v>
      </c>
      <c r="K499" s="9">
        <f t="shared" si="191"/>
        <v>0</v>
      </c>
      <c r="L499" s="9">
        <f t="shared" si="175"/>
        <v>1</v>
      </c>
      <c r="M499" s="9">
        <f t="shared" si="176"/>
        <v>0</v>
      </c>
      <c r="N499" s="9">
        <f t="shared" si="177"/>
        <v>0</v>
      </c>
      <c r="O499" s="9">
        <f t="shared" si="178"/>
        <v>0</v>
      </c>
      <c r="P499" s="9">
        <f t="shared" si="179"/>
        <v>0</v>
      </c>
      <c r="Q499" s="9">
        <f t="shared" si="180"/>
        <v>0</v>
      </c>
      <c r="R499" s="9">
        <f t="shared" si="181"/>
        <v>0</v>
      </c>
      <c r="S499" s="9">
        <f t="shared" si="182"/>
        <v>0</v>
      </c>
      <c r="T499" s="9">
        <f t="shared" si="183"/>
        <v>0</v>
      </c>
      <c r="U499" s="9">
        <f t="shared" si="184"/>
        <v>0</v>
      </c>
      <c r="V499" s="9">
        <f t="shared" si="185"/>
        <v>0</v>
      </c>
      <c r="W499" s="9">
        <f t="shared" si="186"/>
        <v>0</v>
      </c>
      <c r="X499" s="9">
        <f t="shared" si="187"/>
        <v>0</v>
      </c>
      <c r="Y499" s="9">
        <f t="shared" si="188"/>
        <v>0</v>
      </c>
      <c r="Z499" s="9">
        <f t="shared" si="189"/>
        <v>0</v>
      </c>
      <c r="AA499" s="10">
        <f t="shared" si="190"/>
        <v>0</v>
      </c>
    </row>
    <row r="500" spans="1:27" x14ac:dyDescent="0.3">
      <c r="A500" s="4" t="s">
        <v>1302</v>
      </c>
      <c r="B500" s="4">
        <f t="shared" si="168"/>
        <v>1</v>
      </c>
      <c r="C500" s="4">
        <f t="shared" si="169"/>
        <v>0</v>
      </c>
      <c r="D500" s="4">
        <f t="shared" si="170"/>
        <v>0</v>
      </c>
      <c r="E500" s="4">
        <f t="shared" si="171"/>
        <v>0</v>
      </c>
      <c r="F500" s="4">
        <f t="shared" si="172"/>
        <v>0</v>
      </c>
      <c r="G500" s="4">
        <f t="shared" si="173"/>
        <v>0</v>
      </c>
      <c r="I500" s="11" t="s">
        <v>988</v>
      </c>
      <c r="J500" s="9">
        <f t="shared" si="174"/>
        <v>0</v>
      </c>
      <c r="K500" s="9">
        <f t="shared" si="191"/>
        <v>0</v>
      </c>
      <c r="L500" s="9">
        <f t="shared" si="175"/>
        <v>1</v>
      </c>
      <c r="M500" s="9">
        <f t="shared" si="176"/>
        <v>0</v>
      </c>
      <c r="N500" s="9">
        <f t="shared" si="177"/>
        <v>0</v>
      </c>
      <c r="O500" s="9">
        <f t="shared" si="178"/>
        <v>0</v>
      </c>
      <c r="P500" s="9">
        <f t="shared" si="179"/>
        <v>0</v>
      </c>
      <c r="Q500" s="9">
        <f t="shared" si="180"/>
        <v>0</v>
      </c>
      <c r="R500" s="9">
        <f t="shared" si="181"/>
        <v>0</v>
      </c>
      <c r="S500" s="9">
        <f t="shared" si="182"/>
        <v>0</v>
      </c>
      <c r="T500" s="9">
        <f t="shared" si="183"/>
        <v>0</v>
      </c>
      <c r="U500" s="9">
        <f t="shared" si="184"/>
        <v>0</v>
      </c>
      <c r="V500" s="9">
        <f t="shared" si="185"/>
        <v>0</v>
      </c>
      <c r="W500" s="9">
        <f t="shared" si="186"/>
        <v>0</v>
      </c>
      <c r="X500" s="9">
        <f t="shared" si="187"/>
        <v>0</v>
      </c>
      <c r="Y500" s="9">
        <f t="shared" si="188"/>
        <v>0</v>
      </c>
      <c r="Z500" s="9">
        <f t="shared" si="189"/>
        <v>0</v>
      </c>
      <c r="AA500" s="10">
        <f t="shared" si="190"/>
        <v>0</v>
      </c>
    </row>
    <row r="501" spans="1:27" x14ac:dyDescent="0.3">
      <c r="A501" s="18" t="s">
        <v>1302</v>
      </c>
      <c r="B501" s="4">
        <f t="shared" si="168"/>
        <v>1</v>
      </c>
      <c r="C501" s="4">
        <f t="shared" si="169"/>
        <v>0</v>
      </c>
      <c r="D501" s="4">
        <f t="shared" si="170"/>
        <v>0</v>
      </c>
      <c r="E501" s="4">
        <f t="shared" si="171"/>
        <v>0</v>
      </c>
      <c r="F501" s="4">
        <f t="shared" si="172"/>
        <v>0</v>
      </c>
      <c r="G501" s="4">
        <f t="shared" si="173"/>
        <v>0</v>
      </c>
      <c r="I501" s="8" t="s">
        <v>1026</v>
      </c>
      <c r="J501" s="9">
        <f t="shared" si="174"/>
        <v>0</v>
      </c>
      <c r="K501" s="9">
        <f t="shared" si="191"/>
        <v>0</v>
      </c>
      <c r="L501" s="9">
        <f t="shared" si="175"/>
        <v>0</v>
      </c>
      <c r="M501" s="9">
        <f t="shared" si="176"/>
        <v>0</v>
      </c>
      <c r="N501" s="9">
        <f t="shared" si="177"/>
        <v>0</v>
      </c>
      <c r="O501" s="9">
        <f t="shared" si="178"/>
        <v>0</v>
      </c>
      <c r="P501" s="9">
        <f t="shared" si="179"/>
        <v>0</v>
      </c>
      <c r="Q501" s="9">
        <f t="shared" si="180"/>
        <v>0</v>
      </c>
      <c r="R501" s="9">
        <f t="shared" si="181"/>
        <v>0</v>
      </c>
      <c r="S501" s="9">
        <f t="shared" si="182"/>
        <v>0</v>
      </c>
      <c r="T501" s="9">
        <f t="shared" si="183"/>
        <v>1</v>
      </c>
      <c r="U501" s="9">
        <f t="shared" si="184"/>
        <v>0</v>
      </c>
      <c r="V501" s="9">
        <f t="shared" si="185"/>
        <v>0</v>
      </c>
      <c r="W501" s="9">
        <f t="shared" si="186"/>
        <v>0</v>
      </c>
      <c r="X501" s="9">
        <f t="shared" si="187"/>
        <v>0</v>
      </c>
      <c r="Y501" s="9">
        <f t="shared" si="188"/>
        <v>0</v>
      </c>
      <c r="Z501" s="9">
        <f t="shared" si="189"/>
        <v>0</v>
      </c>
      <c r="AA501" s="10">
        <f t="shared" si="190"/>
        <v>0</v>
      </c>
    </row>
    <row r="502" spans="1:27" x14ac:dyDescent="0.3">
      <c r="A502" s="4" t="s">
        <v>1303</v>
      </c>
      <c r="B502" s="4">
        <f t="shared" si="168"/>
        <v>0</v>
      </c>
      <c r="C502" s="4">
        <f t="shared" si="169"/>
        <v>0</v>
      </c>
      <c r="D502" s="4">
        <f t="shared" si="170"/>
        <v>0</v>
      </c>
      <c r="E502" s="4">
        <f t="shared" si="171"/>
        <v>0</v>
      </c>
      <c r="F502" s="4">
        <f t="shared" si="172"/>
        <v>1</v>
      </c>
      <c r="G502" s="4">
        <f t="shared" si="173"/>
        <v>0</v>
      </c>
      <c r="I502" s="11" t="s">
        <v>996</v>
      </c>
      <c r="J502" s="9">
        <f t="shared" si="174"/>
        <v>0</v>
      </c>
      <c r="K502" s="9">
        <f t="shared" si="191"/>
        <v>0</v>
      </c>
      <c r="L502" s="9">
        <f t="shared" si="175"/>
        <v>0</v>
      </c>
      <c r="M502" s="9">
        <f t="shared" si="176"/>
        <v>0</v>
      </c>
      <c r="N502" s="9">
        <f t="shared" si="177"/>
        <v>0</v>
      </c>
      <c r="O502" s="9">
        <f t="shared" si="178"/>
        <v>0</v>
      </c>
      <c r="P502" s="9">
        <f t="shared" si="179"/>
        <v>0</v>
      </c>
      <c r="Q502" s="9">
        <f t="shared" si="180"/>
        <v>1</v>
      </c>
      <c r="R502" s="9">
        <f t="shared" si="181"/>
        <v>0</v>
      </c>
      <c r="S502" s="9">
        <f t="shared" si="182"/>
        <v>0</v>
      </c>
      <c r="T502" s="9">
        <f t="shared" si="183"/>
        <v>0</v>
      </c>
      <c r="U502" s="9">
        <f t="shared" si="184"/>
        <v>0</v>
      </c>
      <c r="V502" s="9">
        <f t="shared" si="185"/>
        <v>0</v>
      </c>
      <c r="W502" s="9">
        <f t="shared" si="186"/>
        <v>0</v>
      </c>
      <c r="X502" s="9">
        <f t="shared" si="187"/>
        <v>0</v>
      </c>
      <c r="Y502" s="9">
        <f t="shared" si="188"/>
        <v>0</v>
      </c>
      <c r="Z502" s="9">
        <f t="shared" si="189"/>
        <v>0</v>
      </c>
      <c r="AA502" s="10">
        <f t="shared" si="190"/>
        <v>0</v>
      </c>
    </row>
    <row r="503" spans="1:27" x14ac:dyDescent="0.3">
      <c r="A503" s="18" t="s">
        <v>1294</v>
      </c>
      <c r="B503" s="4">
        <f t="shared" si="168"/>
        <v>0</v>
      </c>
      <c r="C503" s="4">
        <f t="shared" si="169"/>
        <v>0</v>
      </c>
      <c r="D503" s="4">
        <f t="shared" si="170"/>
        <v>0</v>
      </c>
      <c r="E503" s="4">
        <f t="shared" si="171"/>
        <v>0</v>
      </c>
      <c r="F503" s="4">
        <f t="shared" si="172"/>
        <v>0</v>
      </c>
      <c r="G503" s="4">
        <f t="shared" si="173"/>
        <v>0</v>
      </c>
      <c r="I503" s="8" t="s">
        <v>994</v>
      </c>
      <c r="J503" s="9">
        <f t="shared" si="174"/>
        <v>0</v>
      </c>
      <c r="K503" s="9">
        <f t="shared" si="191"/>
        <v>0</v>
      </c>
      <c r="L503" s="9">
        <f t="shared" si="175"/>
        <v>0</v>
      </c>
      <c r="M503" s="9">
        <f t="shared" si="176"/>
        <v>0</v>
      </c>
      <c r="N503" s="9">
        <f t="shared" si="177"/>
        <v>0</v>
      </c>
      <c r="O503" s="9">
        <f t="shared" si="178"/>
        <v>0</v>
      </c>
      <c r="P503" s="9">
        <f t="shared" si="179"/>
        <v>1</v>
      </c>
      <c r="Q503" s="9">
        <f t="shared" si="180"/>
        <v>0</v>
      </c>
      <c r="R503" s="9">
        <f t="shared" si="181"/>
        <v>0</v>
      </c>
      <c r="S503" s="9">
        <f t="shared" si="182"/>
        <v>0</v>
      </c>
      <c r="T503" s="9">
        <f t="shared" si="183"/>
        <v>0</v>
      </c>
      <c r="U503" s="9">
        <f t="shared" si="184"/>
        <v>0</v>
      </c>
      <c r="V503" s="9">
        <f t="shared" si="185"/>
        <v>0</v>
      </c>
      <c r="W503" s="9">
        <f t="shared" si="186"/>
        <v>0</v>
      </c>
      <c r="X503" s="9">
        <f t="shared" si="187"/>
        <v>0</v>
      </c>
      <c r="Y503" s="9">
        <f t="shared" si="188"/>
        <v>0</v>
      </c>
      <c r="Z503" s="9">
        <f t="shared" si="189"/>
        <v>0</v>
      </c>
      <c r="AA503" s="10">
        <f t="shared" si="190"/>
        <v>0</v>
      </c>
    </row>
    <row r="504" spans="1:27" x14ac:dyDescent="0.3">
      <c r="A504" s="4" t="s">
        <v>1303</v>
      </c>
      <c r="B504" s="4">
        <f t="shared" si="168"/>
        <v>0</v>
      </c>
      <c r="C504" s="4">
        <f t="shared" si="169"/>
        <v>0</v>
      </c>
      <c r="D504" s="4">
        <f t="shared" si="170"/>
        <v>0</v>
      </c>
      <c r="E504" s="4">
        <f t="shared" si="171"/>
        <v>0</v>
      </c>
      <c r="F504" s="4">
        <f t="shared" si="172"/>
        <v>1</v>
      </c>
      <c r="G504" s="4">
        <f t="shared" si="173"/>
        <v>0</v>
      </c>
      <c r="I504" s="11" t="s">
        <v>996</v>
      </c>
      <c r="J504" s="9">
        <f t="shared" si="174"/>
        <v>0</v>
      </c>
      <c r="K504" s="9">
        <f t="shared" si="191"/>
        <v>0</v>
      </c>
      <c r="L504" s="9">
        <f t="shared" si="175"/>
        <v>0</v>
      </c>
      <c r="M504" s="9">
        <f t="shared" si="176"/>
        <v>0</v>
      </c>
      <c r="N504" s="9">
        <f t="shared" si="177"/>
        <v>0</v>
      </c>
      <c r="O504" s="9">
        <f t="shared" si="178"/>
        <v>0</v>
      </c>
      <c r="P504" s="9">
        <f t="shared" si="179"/>
        <v>0</v>
      </c>
      <c r="Q504" s="9">
        <f t="shared" si="180"/>
        <v>1</v>
      </c>
      <c r="R504" s="9">
        <f t="shared" si="181"/>
        <v>0</v>
      </c>
      <c r="S504" s="9">
        <f t="shared" si="182"/>
        <v>0</v>
      </c>
      <c r="T504" s="9">
        <f t="shared" si="183"/>
        <v>0</v>
      </c>
      <c r="U504" s="9">
        <f t="shared" si="184"/>
        <v>0</v>
      </c>
      <c r="V504" s="9">
        <f t="shared" si="185"/>
        <v>0</v>
      </c>
      <c r="W504" s="9">
        <f t="shared" si="186"/>
        <v>0</v>
      </c>
      <c r="X504" s="9">
        <f t="shared" si="187"/>
        <v>0</v>
      </c>
      <c r="Y504" s="9">
        <f t="shared" si="188"/>
        <v>0</v>
      </c>
      <c r="Z504" s="9">
        <f t="shared" si="189"/>
        <v>0</v>
      </c>
      <c r="AA504" s="10">
        <f t="shared" si="190"/>
        <v>0</v>
      </c>
    </row>
    <row r="505" spans="1:27" x14ac:dyDescent="0.3">
      <c r="A505" s="18" t="s">
        <v>1302</v>
      </c>
      <c r="B505" s="4">
        <f t="shared" si="168"/>
        <v>1</v>
      </c>
      <c r="C505" s="4">
        <f t="shared" si="169"/>
        <v>0</v>
      </c>
      <c r="D505" s="4">
        <f t="shared" si="170"/>
        <v>0</v>
      </c>
      <c r="E505" s="4">
        <f t="shared" si="171"/>
        <v>0</v>
      </c>
      <c r="F505" s="4">
        <f t="shared" si="172"/>
        <v>0</v>
      </c>
      <c r="G505" s="4">
        <f t="shared" si="173"/>
        <v>0</v>
      </c>
      <c r="I505" s="8" t="s">
        <v>988</v>
      </c>
      <c r="J505" s="9">
        <f t="shared" si="174"/>
        <v>0</v>
      </c>
      <c r="K505" s="9">
        <f t="shared" si="191"/>
        <v>0</v>
      </c>
      <c r="L505" s="9">
        <f t="shared" si="175"/>
        <v>1</v>
      </c>
      <c r="M505" s="9">
        <f t="shared" si="176"/>
        <v>0</v>
      </c>
      <c r="N505" s="9">
        <f t="shared" si="177"/>
        <v>0</v>
      </c>
      <c r="O505" s="9">
        <f t="shared" si="178"/>
        <v>0</v>
      </c>
      <c r="P505" s="9">
        <f t="shared" si="179"/>
        <v>0</v>
      </c>
      <c r="Q505" s="9">
        <f t="shared" si="180"/>
        <v>0</v>
      </c>
      <c r="R505" s="9">
        <f t="shared" si="181"/>
        <v>0</v>
      </c>
      <c r="S505" s="9">
        <f t="shared" si="182"/>
        <v>0</v>
      </c>
      <c r="T505" s="9">
        <f t="shared" si="183"/>
        <v>0</v>
      </c>
      <c r="U505" s="9">
        <f t="shared" si="184"/>
        <v>0</v>
      </c>
      <c r="V505" s="9">
        <f t="shared" si="185"/>
        <v>0</v>
      </c>
      <c r="W505" s="9">
        <f t="shared" si="186"/>
        <v>0</v>
      </c>
      <c r="X505" s="9">
        <f t="shared" si="187"/>
        <v>0</v>
      </c>
      <c r="Y505" s="9">
        <f t="shared" si="188"/>
        <v>0</v>
      </c>
      <c r="Z505" s="9">
        <f t="shared" si="189"/>
        <v>0</v>
      </c>
      <c r="AA505" s="10">
        <f t="shared" si="190"/>
        <v>0</v>
      </c>
    </row>
    <row r="506" spans="1:27" x14ac:dyDescent="0.3">
      <c r="A506" s="4" t="s">
        <v>1302</v>
      </c>
      <c r="B506" s="4">
        <f t="shared" si="168"/>
        <v>1</v>
      </c>
      <c r="C506" s="4">
        <f t="shared" si="169"/>
        <v>0</v>
      </c>
      <c r="D506" s="4">
        <f t="shared" si="170"/>
        <v>0</v>
      </c>
      <c r="E506" s="4">
        <f t="shared" si="171"/>
        <v>0</v>
      </c>
      <c r="F506" s="4">
        <f t="shared" si="172"/>
        <v>0</v>
      </c>
      <c r="G506" s="4">
        <f t="shared" si="173"/>
        <v>0</v>
      </c>
      <c r="I506" s="11" t="s">
        <v>982</v>
      </c>
      <c r="J506" s="9">
        <f t="shared" si="174"/>
        <v>0</v>
      </c>
      <c r="K506" s="9">
        <f t="shared" si="191"/>
        <v>1</v>
      </c>
      <c r="L506" s="9">
        <f t="shared" si="175"/>
        <v>0</v>
      </c>
      <c r="M506" s="9">
        <f t="shared" si="176"/>
        <v>0</v>
      </c>
      <c r="N506" s="9">
        <f t="shared" si="177"/>
        <v>0</v>
      </c>
      <c r="O506" s="9">
        <f t="shared" si="178"/>
        <v>0</v>
      </c>
      <c r="P506" s="9">
        <f t="shared" si="179"/>
        <v>0</v>
      </c>
      <c r="Q506" s="9">
        <f t="shared" si="180"/>
        <v>0</v>
      </c>
      <c r="R506" s="9">
        <f t="shared" si="181"/>
        <v>0</v>
      </c>
      <c r="S506" s="9">
        <f t="shared" si="182"/>
        <v>0</v>
      </c>
      <c r="T506" s="9">
        <f t="shared" si="183"/>
        <v>0</v>
      </c>
      <c r="U506" s="9">
        <f t="shared" si="184"/>
        <v>0</v>
      </c>
      <c r="V506" s="9">
        <f t="shared" si="185"/>
        <v>0</v>
      </c>
      <c r="W506" s="9">
        <f t="shared" si="186"/>
        <v>0</v>
      </c>
      <c r="X506" s="9">
        <f t="shared" si="187"/>
        <v>0</v>
      </c>
      <c r="Y506" s="9">
        <f t="shared" si="188"/>
        <v>0</v>
      </c>
      <c r="Z506" s="9">
        <f t="shared" si="189"/>
        <v>0</v>
      </c>
      <c r="AA506" s="10">
        <f t="shared" si="190"/>
        <v>0</v>
      </c>
    </row>
    <row r="507" spans="1:27" x14ac:dyDescent="0.3">
      <c r="A507" s="18" t="s">
        <v>1302</v>
      </c>
      <c r="B507" s="4">
        <f t="shared" si="168"/>
        <v>1</v>
      </c>
      <c r="C507" s="4">
        <f t="shared" si="169"/>
        <v>0</v>
      </c>
      <c r="D507" s="4">
        <f t="shared" si="170"/>
        <v>0</v>
      </c>
      <c r="E507" s="4">
        <f t="shared" si="171"/>
        <v>0</v>
      </c>
      <c r="F507" s="4">
        <f t="shared" si="172"/>
        <v>0</v>
      </c>
      <c r="G507" s="4">
        <f t="shared" si="173"/>
        <v>0</v>
      </c>
      <c r="I507" s="8" t="s">
        <v>988</v>
      </c>
      <c r="J507" s="9">
        <f t="shared" si="174"/>
        <v>0</v>
      </c>
      <c r="K507" s="9">
        <f t="shared" si="191"/>
        <v>0</v>
      </c>
      <c r="L507" s="9">
        <f t="shared" si="175"/>
        <v>1</v>
      </c>
      <c r="M507" s="9">
        <f t="shared" si="176"/>
        <v>0</v>
      </c>
      <c r="N507" s="9">
        <f t="shared" si="177"/>
        <v>0</v>
      </c>
      <c r="O507" s="9">
        <f t="shared" si="178"/>
        <v>0</v>
      </c>
      <c r="P507" s="9">
        <f t="shared" si="179"/>
        <v>0</v>
      </c>
      <c r="Q507" s="9">
        <f t="shared" si="180"/>
        <v>0</v>
      </c>
      <c r="R507" s="9">
        <f t="shared" si="181"/>
        <v>0</v>
      </c>
      <c r="S507" s="9">
        <f t="shared" si="182"/>
        <v>0</v>
      </c>
      <c r="T507" s="9">
        <f t="shared" si="183"/>
        <v>0</v>
      </c>
      <c r="U507" s="9">
        <f t="shared" si="184"/>
        <v>0</v>
      </c>
      <c r="V507" s="9">
        <f t="shared" si="185"/>
        <v>0</v>
      </c>
      <c r="W507" s="9">
        <f t="shared" si="186"/>
        <v>0</v>
      </c>
      <c r="X507" s="9">
        <f t="shared" si="187"/>
        <v>0</v>
      </c>
      <c r="Y507" s="9">
        <f t="shared" si="188"/>
        <v>0</v>
      </c>
      <c r="Z507" s="9">
        <f t="shared" si="189"/>
        <v>0</v>
      </c>
      <c r="AA507" s="10">
        <f t="shared" si="190"/>
        <v>0</v>
      </c>
    </row>
    <row r="508" spans="1:27" x14ac:dyDescent="0.3">
      <c r="A508" s="4" t="s">
        <v>1303</v>
      </c>
      <c r="B508" s="4">
        <f t="shared" si="168"/>
        <v>0</v>
      </c>
      <c r="C508" s="4">
        <f t="shared" si="169"/>
        <v>0</v>
      </c>
      <c r="D508" s="4">
        <f t="shared" si="170"/>
        <v>0</v>
      </c>
      <c r="E508" s="4">
        <f t="shared" si="171"/>
        <v>0</v>
      </c>
      <c r="F508" s="4">
        <f t="shared" si="172"/>
        <v>1</v>
      </c>
      <c r="G508" s="4">
        <f t="shared" si="173"/>
        <v>0</v>
      </c>
      <c r="I508" s="11" t="s">
        <v>1088</v>
      </c>
      <c r="J508" s="9">
        <f t="shared" si="174"/>
        <v>0</v>
      </c>
      <c r="K508" s="9">
        <f t="shared" si="191"/>
        <v>0</v>
      </c>
      <c r="L508" s="9">
        <f t="shared" si="175"/>
        <v>0</v>
      </c>
      <c r="M508" s="9">
        <f t="shared" si="176"/>
        <v>0</v>
      </c>
      <c r="N508" s="9">
        <f t="shared" si="177"/>
        <v>0</v>
      </c>
      <c r="O508" s="9">
        <f t="shared" si="178"/>
        <v>0</v>
      </c>
      <c r="P508" s="9">
        <f t="shared" si="179"/>
        <v>0</v>
      </c>
      <c r="Q508" s="9">
        <f t="shared" si="180"/>
        <v>0</v>
      </c>
      <c r="R508" s="9">
        <f t="shared" si="181"/>
        <v>0</v>
      </c>
      <c r="S508" s="9">
        <f t="shared" si="182"/>
        <v>0</v>
      </c>
      <c r="T508" s="9">
        <f t="shared" si="183"/>
        <v>0</v>
      </c>
      <c r="U508" s="9">
        <f t="shared" si="184"/>
        <v>0</v>
      </c>
      <c r="V508" s="9">
        <f t="shared" si="185"/>
        <v>0</v>
      </c>
      <c r="W508" s="9">
        <f t="shared" si="186"/>
        <v>0</v>
      </c>
      <c r="X508" s="9">
        <f t="shared" si="187"/>
        <v>0</v>
      </c>
      <c r="Y508" s="9">
        <f t="shared" si="188"/>
        <v>0</v>
      </c>
      <c r="Z508" s="9">
        <f t="shared" si="189"/>
        <v>1</v>
      </c>
      <c r="AA508" s="10">
        <f t="shared" si="190"/>
        <v>0</v>
      </c>
    </row>
    <row r="509" spans="1:27" x14ac:dyDescent="0.3">
      <c r="A509" s="18" t="s">
        <v>1114</v>
      </c>
      <c r="B509" s="4">
        <f t="shared" si="168"/>
        <v>0</v>
      </c>
      <c r="C509" s="4">
        <f t="shared" si="169"/>
        <v>0</v>
      </c>
      <c r="D509" s="4">
        <f t="shared" si="170"/>
        <v>0</v>
      </c>
      <c r="E509" s="4">
        <f t="shared" si="171"/>
        <v>1</v>
      </c>
      <c r="F509" s="4">
        <f t="shared" si="172"/>
        <v>0</v>
      </c>
      <c r="G509" s="4">
        <f t="shared" si="173"/>
        <v>0</v>
      </c>
      <c r="I509" s="8" t="s">
        <v>1011</v>
      </c>
      <c r="J509" s="9">
        <f t="shared" si="174"/>
        <v>0</v>
      </c>
      <c r="K509" s="9">
        <f t="shared" si="191"/>
        <v>0</v>
      </c>
      <c r="L509" s="9">
        <f t="shared" si="175"/>
        <v>0</v>
      </c>
      <c r="M509" s="9">
        <f t="shared" si="176"/>
        <v>0</v>
      </c>
      <c r="N509" s="9">
        <f t="shared" si="177"/>
        <v>0</v>
      </c>
      <c r="O509" s="9">
        <f t="shared" si="178"/>
        <v>0</v>
      </c>
      <c r="P509" s="9">
        <f t="shared" si="179"/>
        <v>0</v>
      </c>
      <c r="Q509" s="9">
        <f t="shared" si="180"/>
        <v>0</v>
      </c>
      <c r="R509" s="9">
        <f t="shared" si="181"/>
        <v>0</v>
      </c>
      <c r="S509" s="9">
        <f t="shared" si="182"/>
        <v>1</v>
      </c>
      <c r="T509" s="9">
        <f t="shared" si="183"/>
        <v>0</v>
      </c>
      <c r="U509" s="9">
        <f t="shared" si="184"/>
        <v>0</v>
      </c>
      <c r="V509" s="9">
        <f t="shared" si="185"/>
        <v>0</v>
      </c>
      <c r="W509" s="9">
        <f t="shared" si="186"/>
        <v>0</v>
      </c>
      <c r="X509" s="9">
        <f t="shared" si="187"/>
        <v>0</v>
      </c>
      <c r="Y509" s="9">
        <f t="shared" si="188"/>
        <v>0</v>
      </c>
      <c r="Z509" s="9">
        <f t="shared" si="189"/>
        <v>0</v>
      </c>
      <c r="AA509" s="10">
        <f t="shared" si="190"/>
        <v>0</v>
      </c>
    </row>
    <row r="510" spans="1:27" x14ac:dyDescent="0.3">
      <c r="A510" s="4" t="s">
        <v>1294</v>
      </c>
      <c r="B510" s="4">
        <f t="shared" si="168"/>
        <v>0</v>
      </c>
      <c r="C510" s="4">
        <f t="shared" si="169"/>
        <v>0</v>
      </c>
      <c r="D510" s="4">
        <f t="shared" si="170"/>
        <v>0</v>
      </c>
      <c r="E510" s="4">
        <f t="shared" si="171"/>
        <v>0</v>
      </c>
      <c r="F510" s="4">
        <f t="shared" si="172"/>
        <v>0</v>
      </c>
      <c r="G510" s="4">
        <f t="shared" si="173"/>
        <v>0</v>
      </c>
      <c r="I510" s="11" t="s">
        <v>996</v>
      </c>
      <c r="J510" s="9">
        <f t="shared" si="174"/>
        <v>0</v>
      </c>
      <c r="K510" s="9">
        <f t="shared" si="191"/>
        <v>0</v>
      </c>
      <c r="L510" s="9">
        <f t="shared" si="175"/>
        <v>0</v>
      </c>
      <c r="M510" s="9">
        <f t="shared" si="176"/>
        <v>0</v>
      </c>
      <c r="N510" s="9">
        <f t="shared" si="177"/>
        <v>0</v>
      </c>
      <c r="O510" s="9">
        <f t="shared" si="178"/>
        <v>0</v>
      </c>
      <c r="P510" s="9">
        <f t="shared" si="179"/>
        <v>0</v>
      </c>
      <c r="Q510" s="9">
        <f t="shared" si="180"/>
        <v>1</v>
      </c>
      <c r="R510" s="9">
        <f t="shared" si="181"/>
        <v>0</v>
      </c>
      <c r="S510" s="9">
        <f t="shared" si="182"/>
        <v>0</v>
      </c>
      <c r="T510" s="9">
        <f t="shared" si="183"/>
        <v>0</v>
      </c>
      <c r="U510" s="9">
        <f t="shared" si="184"/>
        <v>0</v>
      </c>
      <c r="V510" s="9">
        <f t="shared" si="185"/>
        <v>0</v>
      </c>
      <c r="W510" s="9">
        <f t="shared" si="186"/>
        <v>0</v>
      </c>
      <c r="X510" s="9">
        <f t="shared" si="187"/>
        <v>0</v>
      </c>
      <c r="Y510" s="9">
        <f t="shared" si="188"/>
        <v>0</v>
      </c>
      <c r="Z510" s="9">
        <f t="shared" si="189"/>
        <v>0</v>
      </c>
      <c r="AA510" s="10">
        <f t="shared" si="190"/>
        <v>0</v>
      </c>
    </row>
    <row r="511" spans="1:27" x14ac:dyDescent="0.3">
      <c r="A511" s="18" t="s">
        <v>1303</v>
      </c>
      <c r="B511" s="4">
        <f t="shared" si="168"/>
        <v>0</v>
      </c>
      <c r="C511" s="4">
        <f t="shared" si="169"/>
        <v>0</v>
      </c>
      <c r="D511" s="4">
        <f t="shared" si="170"/>
        <v>0</v>
      </c>
      <c r="E511" s="4">
        <f t="shared" si="171"/>
        <v>0</v>
      </c>
      <c r="F511" s="4">
        <f t="shared" si="172"/>
        <v>1</v>
      </c>
      <c r="G511" s="4">
        <f t="shared" si="173"/>
        <v>0</v>
      </c>
      <c r="I511" s="8" t="s">
        <v>1088</v>
      </c>
      <c r="J511" s="9">
        <f t="shared" si="174"/>
        <v>0</v>
      </c>
      <c r="K511" s="9">
        <f t="shared" si="191"/>
        <v>0</v>
      </c>
      <c r="L511" s="9">
        <f t="shared" si="175"/>
        <v>0</v>
      </c>
      <c r="M511" s="9">
        <f t="shared" si="176"/>
        <v>0</v>
      </c>
      <c r="N511" s="9">
        <f t="shared" si="177"/>
        <v>0</v>
      </c>
      <c r="O511" s="9">
        <f t="shared" si="178"/>
        <v>0</v>
      </c>
      <c r="P511" s="9">
        <f t="shared" si="179"/>
        <v>0</v>
      </c>
      <c r="Q511" s="9">
        <f t="shared" si="180"/>
        <v>0</v>
      </c>
      <c r="R511" s="9">
        <f t="shared" si="181"/>
        <v>0</v>
      </c>
      <c r="S511" s="9">
        <f t="shared" si="182"/>
        <v>0</v>
      </c>
      <c r="T511" s="9">
        <f t="shared" si="183"/>
        <v>0</v>
      </c>
      <c r="U511" s="9">
        <f t="shared" si="184"/>
        <v>0</v>
      </c>
      <c r="V511" s="9">
        <f t="shared" si="185"/>
        <v>0</v>
      </c>
      <c r="W511" s="9">
        <f t="shared" si="186"/>
        <v>0</v>
      </c>
      <c r="X511" s="9">
        <f t="shared" si="187"/>
        <v>0</v>
      </c>
      <c r="Y511" s="9">
        <f t="shared" si="188"/>
        <v>0</v>
      </c>
      <c r="Z511" s="9">
        <f t="shared" si="189"/>
        <v>1</v>
      </c>
      <c r="AA511" s="10">
        <f t="shared" si="190"/>
        <v>0</v>
      </c>
    </row>
    <row r="512" spans="1:27" x14ac:dyDescent="0.3">
      <c r="A512" s="4" t="s">
        <v>1305</v>
      </c>
      <c r="B512" s="4">
        <f t="shared" si="168"/>
        <v>0</v>
      </c>
      <c r="C512" s="4">
        <f t="shared" si="169"/>
        <v>0</v>
      </c>
      <c r="D512" s="4">
        <f t="shared" si="170"/>
        <v>0</v>
      </c>
      <c r="E512" s="4">
        <f t="shared" si="171"/>
        <v>0</v>
      </c>
      <c r="F512" s="4">
        <f t="shared" si="172"/>
        <v>0</v>
      </c>
      <c r="G512" s="4">
        <f t="shared" si="173"/>
        <v>1</v>
      </c>
      <c r="I512" s="11" t="s">
        <v>977</v>
      </c>
      <c r="J512" s="9">
        <f t="shared" si="174"/>
        <v>1</v>
      </c>
      <c r="K512" s="9">
        <f t="shared" si="191"/>
        <v>0</v>
      </c>
      <c r="L512" s="9">
        <f t="shared" si="175"/>
        <v>0</v>
      </c>
      <c r="M512" s="9">
        <f t="shared" si="176"/>
        <v>0</v>
      </c>
      <c r="N512" s="9">
        <f t="shared" si="177"/>
        <v>0</v>
      </c>
      <c r="O512" s="9">
        <f t="shared" si="178"/>
        <v>0</v>
      </c>
      <c r="P512" s="9">
        <f t="shared" si="179"/>
        <v>0</v>
      </c>
      <c r="Q512" s="9">
        <f t="shared" si="180"/>
        <v>0</v>
      </c>
      <c r="R512" s="9">
        <f t="shared" si="181"/>
        <v>0</v>
      </c>
      <c r="S512" s="9">
        <f t="shared" si="182"/>
        <v>0</v>
      </c>
      <c r="T512" s="9">
        <f t="shared" si="183"/>
        <v>0</v>
      </c>
      <c r="U512" s="9">
        <f t="shared" si="184"/>
        <v>0</v>
      </c>
      <c r="V512" s="9">
        <f t="shared" si="185"/>
        <v>0</v>
      </c>
      <c r="W512" s="9">
        <f t="shared" si="186"/>
        <v>0</v>
      </c>
      <c r="X512" s="9">
        <f t="shared" si="187"/>
        <v>0</v>
      </c>
      <c r="Y512" s="9">
        <f t="shared" si="188"/>
        <v>0</v>
      </c>
      <c r="Z512" s="9">
        <f t="shared" si="189"/>
        <v>0</v>
      </c>
      <c r="AA512" s="10">
        <f t="shared" si="190"/>
        <v>0</v>
      </c>
    </row>
    <row r="513" spans="1:27" x14ac:dyDescent="0.3">
      <c r="A513" s="18" t="s">
        <v>1304</v>
      </c>
      <c r="B513" s="4">
        <f t="shared" si="168"/>
        <v>0</v>
      </c>
      <c r="C513" s="4">
        <f t="shared" si="169"/>
        <v>1</v>
      </c>
      <c r="D513" s="4">
        <f t="shared" si="170"/>
        <v>0</v>
      </c>
      <c r="E513" s="4">
        <f t="shared" si="171"/>
        <v>0</v>
      </c>
      <c r="F513" s="4">
        <f t="shared" si="172"/>
        <v>0</v>
      </c>
      <c r="G513" s="4">
        <f t="shared" si="173"/>
        <v>0</v>
      </c>
      <c r="I513" s="8" t="s">
        <v>996</v>
      </c>
      <c r="J513" s="9">
        <f t="shared" si="174"/>
        <v>0</v>
      </c>
      <c r="K513" s="9">
        <f t="shared" si="191"/>
        <v>0</v>
      </c>
      <c r="L513" s="9">
        <f t="shared" si="175"/>
        <v>0</v>
      </c>
      <c r="M513" s="9">
        <f t="shared" si="176"/>
        <v>0</v>
      </c>
      <c r="N513" s="9">
        <f t="shared" si="177"/>
        <v>0</v>
      </c>
      <c r="O513" s="9">
        <f t="shared" si="178"/>
        <v>0</v>
      </c>
      <c r="P513" s="9">
        <f t="shared" si="179"/>
        <v>0</v>
      </c>
      <c r="Q513" s="9">
        <f t="shared" si="180"/>
        <v>1</v>
      </c>
      <c r="R513" s="9">
        <f t="shared" si="181"/>
        <v>0</v>
      </c>
      <c r="S513" s="9">
        <f t="shared" si="182"/>
        <v>0</v>
      </c>
      <c r="T513" s="9">
        <f t="shared" si="183"/>
        <v>0</v>
      </c>
      <c r="U513" s="9">
        <f t="shared" si="184"/>
        <v>0</v>
      </c>
      <c r="V513" s="9">
        <f t="shared" si="185"/>
        <v>0</v>
      </c>
      <c r="W513" s="9">
        <f t="shared" si="186"/>
        <v>0</v>
      </c>
      <c r="X513" s="9">
        <f t="shared" si="187"/>
        <v>0</v>
      </c>
      <c r="Y513" s="9">
        <f t="shared" si="188"/>
        <v>0</v>
      </c>
      <c r="Z513" s="9">
        <f t="shared" si="189"/>
        <v>0</v>
      </c>
      <c r="AA513" s="10">
        <f t="shared" si="190"/>
        <v>0</v>
      </c>
    </row>
    <row r="514" spans="1:27" x14ac:dyDescent="0.3">
      <c r="A514" s="4" t="s">
        <v>1305</v>
      </c>
      <c r="B514" s="4">
        <f t="shared" si="168"/>
        <v>0</v>
      </c>
      <c r="C514" s="4">
        <f t="shared" si="169"/>
        <v>0</v>
      </c>
      <c r="D514" s="4">
        <f t="shared" si="170"/>
        <v>0</v>
      </c>
      <c r="E514" s="4">
        <f t="shared" si="171"/>
        <v>0</v>
      </c>
      <c r="F514" s="4">
        <f t="shared" si="172"/>
        <v>0</v>
      </c>
      <c r="G514" s="4">
        <f t="shared" si="173"/>
        <v>1</v>
      </c>
      <c r="I514" s="11" t="s">
        <v>990</v>
      </c>
      <c r="J514" s="9">
        <f t="shared" si="174"/>
        <v>0</v>
      </c>
      <c r="K514" s="9">
        <f t="shared" si="191"/>
        <v>0</v>
      </c>
      <c r="L514" s="9">
        <f t="shared" si="175"/>
        <v>0</v>
      </c>
      <c r="M514" s="9">
        <f t="shared" si="176"/>
        <v>0</v>
      </c>
      <c r="N514" s="9">
        <f t="shared" si="177"/>
        <v>1</v>
      </c>
      <c r="O514" s="9">
        <f t="shared" si="178"/>
        <v>0</v>
      </c>
      <c r="P514" s="9">
        <f t="shared" si="179"/>
        <v>0</v>
      </c>
      <c r="Q514" s="9">
        <f t="shared" si="180"/>
        <v>0</v>
      </c>
      <c r="R514" s="9">
        <f t="shared" si="181"/>
        <v>0</v>
      </c>
      <c r="S514" s="9">
        <f t="shared" si="182"/>
        <v>0</v>
      </c>
      <c r="T514" s="9">
        <f t="shared" si="183"/>
        <v>0</v>
      </c>
      <c r="U514" s="9">
        <f t="shared" si="184"/>
        <v>0</v>
      </c>
      <c r="V514" s="9">
        <f t="shared" si="185"/>
        <v>0</v>
      </c>
      <c r="W514" s="9">
        <f t="shared" si="186"/>
        <v>0</v>
      </c>
      <c r="X514" s="9">
        <f t="shared" si="187"/>
        <v>0</v>
      </c>
      <c r="Y514" s="9">
        <f t="shared" si="188"/>
        <v>0</v>
      </c>
      <c r="Z514" s="9">
        <f t="shared" si="189"/>
        <v>0</v>
      </c>
      <c r="AA514" s="10">
        <f t="shared" si="190"/>
        <v>0</v>
      </c>
    </row>
    <row r="515" spans="1:27" x14ac:dyDescent="0.3">
      <c r="A515" s="18" t="s">
        <v>1114</v>
      </c>
      <c r="B515" s="4">
        <f t="shared" si="168"/>
        <v>0</v>
      </c>
      <c r="C515" s="4">
        <f t="shared" si="169"/>
        <v>0</v>
      </c>
      <c r="D515" s="4">
        <f t="shared" si="170"/>
        <v>0</v>
      </c>
      <c r="E515" s="4">
        <f t="shared" si="171"/>
        <v>1</v>
      </c>
      <c r="F515" s="4">
        <f t="shared" si="172"/>
        <v>0</v>
      </c>
      <c r="G515" s="4">
        <f t="shared" si="173"/>
        <v>0</v>
      </c>
      <c r="I515" s="8" t="s">
        <v>990</v>
      </c>
      <c r="J515" s="9">
        <f t="shared" si="174"/>
        <v>0</v>
      </c>
      <c r="K515" s="9">
        <f t="shared" si="191"/>
        <v>0</v>
      </c>
      <c r="L515" s="9">
        <f t="shared" si="175"/>
        <v>0</v>
      </c>
      <c r="M515" s="9">
        <f t="shared" si="176"/>
        <v>0</v>
      </c>
      <c r="N515" s="9">
        <f t="shared" si="177"/>
        <v>1</v>
      </c>
      <c r="O515" s="9">
        <f t="shared" si="178"/>
        <v>0</v>
      </c>
      <c r="P515" s="9">
        <f t="shared" si="179"/>
        <v>0</v>
      </c>
      <c r="Q515" s="9">
        <f t="shared" si="180"/>
        <v>0</v>
      </c>
      <c r="R515" s="9">
        <f t="shared" si="181"/>
        <v>0</v>
      </c>
      <c r="S515" s="9">
        <f t="shared" si="182"/>
        <v>0</v>
      </c>
      <c r="T515" s="9">
        <f t="shared" si="183"/>
        <v>0</v>
      </c>
      <c r="U515" s="9">
        <f t="shared" si="184"/>
        <v>0</v>
      </c>
      <c r="V515" s="9">
        <f t="shared" si="185"/>
        <v>0</v>
      </c>
      <c r="W515" s="9">
        <f t="shared" si="186"/>
        <v>0</v>
      </c>
      <c r="X515" s="9">
        <f t="shared" si="187"/>
        <v>0</v>
      </c>
      <c r="Y515" s="9">
        <f t="shared" si="188"/>
        <v>0</v>
      </c>
      <c r="Z515" s="9">
        <f t="shared" si="189"/>
        <v>0</v>
      </c>
      <c r="AA515" s="10">
        <f t="shared" si="190"/>
        <v>0</v>
      </c>
    </row>
    <row r="516" spans="1:27" x14ac:dyDescent="0.3">
      <c r="A516" s="4" t="s">
        <v>1303</v>
      </c>
      <c r="B516" s="4">
        <f t="shared" ref="B516:B579" si="192">IF($A516="Asia",1,0)</f>
        <v>0</v>
      </c>
      <c r="C516" s="4">
        <f t="shared" ref="C516:C579" si="193">IF(A516="Europe",1,0)</f>
        <v>0</v>
      </c>
      <c r="D516" s="4">
        <f t="shared" ref="D516:D579" si="194">IF(A516="Africa",1,0)</f>
        <v>0</v>
      </c>
      <c r="E516" s="4">
        <f t="shared" ref="E516:E579" si="195">IF($A516="Australia",1,0)</f>
        <v>0</v>
      </c>
      <c r="F516" s="4">
        <f t="shared" ref="F516:F579" si="196">IF($A516="North America",1,0)</f>
        <v>1</v>
      </c>
      <c r="G516" s="4">
        <f t="shared" ref="G516:G579" si="197">IF($A516="South America",1,0)</f>
        <v>0</v>
      </c>
      <c r="I516" s="11" t="s">
        <v>1044</v>
      </c>
      <c r="J516" s="9">
        <f t="shared" ref="J516:J579" si="198">IF(I516="Music",1,0)</f>
        <v>0</v>
      </c>
      <c r="K516" s="9">
        <f t="shared" si="191"/>
        <v>0</v>
      </c>
      <c r="L516" s="9">
        <f t="shared" ref="L516:L579" si="199">IF(I516="Entertainment",1,0)</f>
        <v>0</v>
      </c>
      <c r="M516" s="9">
        <f t="shared" ref="M516:M579" si="200">IF(I516="Nonprofits &amp; Activism",1,0)</f>
        <v>0</v>
      </c>
      <c r="N516" s="9">
        <f t="shared" ref="N516:N579" si="201">IF(I516="Education",1,0)</f>
        <v>0</v>
      </c>
      <c r="O516" s="9">
        <f t="shared" ref="O516:O579" si="202">IF(I516="Shows",1,0)</f>
        <v>0</v>
      </c>
      <c r="P516" s="9">
        <f t="shared" ref="P516:P579" si="203">IF(I516="People &amp; Blogs",1,0)</f>
        <v>0</v>
      </c>
      <c r="Q516" s="9">
        <f t="shared" ref="Q516:Q579" si="204">IF(I516="Gaming",1,0)</f>
        <v>0</v>
      </c>
      <c r="R516" s="9">
        <f t="shared" ref="R516:R579" si="205">IF(I516="Sports",1,0)</f>
        <v>0</v>
      </c>
      <c r="S516" s="9">
        <f t="shared" ref="S516:S579" si="206">IF(I516="Howto &amp; Style",1,0)</f>
        <v>0</v>
      </c>
      <c r="T516" s="9">
        <f t="shared" ref="T516:T579" si="207">IF(I516="News &amp; Politics",1,0)</f>
        <v>0</v>
      </c>
      <c r="U516" s="9">
        <f t="shared" ref="U516:U579" si="208">IF(I516="Comedy",1,0)</f>
        <v>1</v>
      </c>
      <c r="V516" s="9">
        <f t="shared" ref="V516:V579" si="209">IF(I516="Trailers",1,0)</f>
        <v>0</v>
      </c>
      <c r="W516" s="9">
        <f t="shared" ref="W516:W579" si="210">IF(I516="Movies",1,0)</f>
        <v>0</v>
      </c>
      <c r="X516" s="9">
        <f t="shared" ref="X516:X579" si="211">IF(I516="Autos &amp; Vehicles",1,0)</f>
        <v>0</v>
      </c>
      <c r="Y516" s="9">
        <f t="shared" ref="Y516:Y579" si="212">IF(I516="Pets &amp; Animals",1,0)</f>
        <v>0</v>
      </c>
      <c r="Z516" s="9">
        <f t="shared" ref="Z516:Z579" si="213">IF(I516="Science &amp; Technology",1,0)</f>
        <v>0</v>
      </c>
      <c r="AA516" s="10">
        <f t="shared" ref="AA516:AA579" si="214">IF(I516="Travel &amp; Events",1,0)</f>
        <v>0</v>
      </c>
    </row>
    <row r="517" spans="1:27" x14ac:dyDescent="0.3">
      <c r="A517" s="18" t="s">
        <v>1302</v>
      </c>
      <c r="B517" s="4">
        <f t="shared" si="192"/>
        <v>1</v>
      </c>
      <c r="C517" s="4">
        <f t="shared" si="193"/>
        <v>0</v>
      </c>
      <c r="D517" s="4">
        <f t="shared" si="194"/>
        <v>0</v>
      </c>
      <c r="E517" s="4">
        <f t="shared" si="195"/>
        <v>0</v>
      </c>
      <c r="F517" s="4">
        <f t="shared" si="196"/>
        <v>0</v>
      </c>
      <c r="G517" s="4">
        <f t="shared" si="197"/>
        <v>0</v>
      </c>
      <c r="I517" s="8" t="s">
        <v>988</v>
      </c>
      <c r="J517" s="9">
        <f t="shared" si="198"/>
        <v>0</v>
      </c>
      <c r="K517" s="9">
        <f t="shared" ref="K517:K580" si="215">IF(I517="Film &amp; Animation",1,0)</f>
        <v>0</v>
      </c>
      <c r="L517" s="9">
        <f t="shared" si="199"/>
        <v>1</v>
      </c>
      <c r="M517" s="9">
        <f t="shared" si="200"/>
        <v>0</v>
      </c>
      <c r="N517" s="9">
        <f t="shared" si="201"/>
        <v>0</v>
      </c>
      <c r="O517" s="9">
        <f t="shared" si="202"/>
        <v>0</v>
      </c>
      <c r="P517" s="9">
        <f t="shared" si="203"/>
        <v>0</v>
      </c>
      <c r="Q517" s="9">
        <f t="shared" si="204"/>
        <v>0</v>
      </c>
      <c r="R517" s="9">
        <f t="shared" si="205"/>
        <v>0</v>
      </c>
      <c r="S517" s="9">
        <f t="shared" si="206"/>
        <v>0</v>
      </c>
      <c r="T517" s="9">
        <f t="shared" si="207"/>
        <v>0</v>
      </c>
      <c r="U517" s="9">
        <f t="shared" si="208"/>
        <v>0</v>
      </c>
      <c r="V517" s="9">
        <f t="shared" si="209"/>
        <v>0</v>
      </c>
      <c r="W517" s="9">
        <f t="shared" si="210"/>
        <v>0</v>
      </c>
      <c r="X517" s="9">
        <f t="shared" si="211"/>
        <v>0</v>
      </c>
      <c r="Y517" s="9">
        <f t="shared" si="212"/>
        <v>0</v>
      </c>
      <c r="Z517" s="9">
        <f t="shared" si="213"/>
        <v>0</v>
      </c>
      <c r="AA517" s="10">
        <f t="shared" si="214"/>
        <v>0</v>
      </c>
    </row>
    <row r="518" spans="1:27" x14ac:dyDescent="0.3">
      <c r="A518" s="4" t="s">
        <v>1302</v>
      </c>
      <c r="B518" s="4">
        <f t="shared" si="192"/>
        <v>1</v>
      </c>
      <c r="C518" s="4">
        <f t="shared" si="193"/>
        <v>0</v>
      </c>
      <c r="D518" s="4">
        <f t="shared" si="194"/>
        <v>0</v>
      </c>
      <c r="E518" s="4">
        <f t="shared" si="195"/>
        <v>0</v>
      </c>
      <c r="F518" s="4">
        <f t="shared" si="196"/>
        <v>0</v>
      </c>
      <c r="G518" s="4">
        <f t="shared" si="197"/>
        <v>0</v>
      </c>
      <c r="I518" s="11" t="s">
        <v>1044</v>
      </c>
      <c r="J518" s="9">
        <f t="shared" si="198"/>
        <v>0</v>
      </c>
      <c r="K518" s="9">
        <f t="shared" si="215"/>
        <v>0</v>
      </c>
      <c r="L518" s="9">
        <f t="shared" si="199"/>
        <v>0</v>
      </c>
      <c r="M518" s="9">
        <f t="shared" si="200"/>
        <v>0</v>
      </c>
      <c r="N518" s="9">
        <f t="shared" si="201"/>
        <v>0</v>
      </c>
      <c r="O518" s="9">
        <f t="shared" si="202"/>
        <v>0</v>
      </c>
      <c r="P518" s="9">
        <f t="shared" si="203"/>
        <v>0</v>
      </c>
      <c r="Q518" s="9">
        <f t="shared" si="204"/>
        <v>0</v>
      </c>
      <c r="R518" s="9">
        <f t="shared" si="205"/>
        <v>0</v>
      </c>
      <c r="S518" s="9">
        <f t="shared" si="206"/>
        <v>0</v>
      </c>
      <c r="T518" s="9">
        <f t="shared" si="207"/>
        <v>0</v>
      </c>
      <c r="U518" s="9">
        <f t="shared" si="208"/>
        <v>1</v>
      </c>
      <c r="V518" s="9">
        <f t="shared" si="209"/>
        <v>0</v>
      </c>
      <c r="W518" s="9">
        <f t="shared" si="210"/>
        <v>0</v>
      </c>
      <c r="X518" s="9">
        <f t="shared" si="211"/>
        <v>0</v>
      </c>
      <c r="Y518" s="9">
        <f t="shared" si="212"/>
        <v>0</v>
      </c>
      <c r="Z518" s="9">
        <f t="shared" si="213"/>
        <v>0</v>
      </c>
      <c r="AA518" s="10">
        <f t="shared" si="214"/>
        <v>0</v>
      </c>
    </row>
    <row r="519" spans="1:27" x14ac:dyDescent="0.3">
      <c r="A519" s="18" t="s">
        <v>1294</v>
      </c>
      <c r="B519" s="4">
        <f t="shared" si="192"/>
        <v>0</v>
      </c>
      <c r="C519" s="4">
        <f t="shared" si="193"/>
        <v>0</v>
      </c>
      <c r="D519" s="4">
        <f t="shared" si="194"/>
        <v>0</v>
      </c>
      <c r="E519" s="4">
        <f t="shared" si="195"/>
        <v>0</v>
      </c>
      <c r="F519" s="4">
        <f t="shared" si="196"/>
        <v>0</v>
      </c>
      <c r="G519" s="4">
        <f t="shared" si="197"/>
        <v>0</v>
      </c>
      <c r="I519" s="8" t="s">
        <v>988</v>
      </c>
      <c r="J519" s="9">
        <f t="shared" si="198"/>
        <v>0</v>
      </c>
      <c r="K519" s="9">
        <f t="shared" si="215"/>
        <v>0</v>
      </c>
      <c r="L519" s="9">
        <f t="shared" si="199"/>
        <v>1</v>
      </c>
      <c r="M519" s="9">
        <f t="shared" si="200"/>
        <v>0</v>
      </c>
      <c r="N519" s="9">
        <f t="shared" si="201"/>
        <v>0</v>
      </c>
      <c r="O519" s="9">
        <f t="shared" si="202"/>
        <v>0</v>
      </c>
      <c r="P519" s="9">
        <f t="shared" si="203"/>
        <v>0</v>
      </c>
      <c r="Q519" s="9">
        <f t="shared" si="204"/>
        <v>0</v>
      </c>
      <c r="R519" s="9">
        <f t="shared" si="205"/>
        <v>0</v>
      </c>
      <c r="S519" s="9">
        <f t="shared" si="206"/>
        <v>0</v>
      </c>
      <c r="T519" s="9">
        <f t="shared" si="207"/>
        <v>0</v>
      </c>
      <c r="U519" s="9">
        <f t="shared" si="208"/>
        <v>0</v>
      </c>
      <c r="V519" s="9">
        <f t="shared" si="209"/>
        <v>0</v>
      </c>
      <c r="W519" s="9">
        <f t="shared" si="210"/>
        <v>0</v>
      </c>
      <c r="X519" s="9">
        <f t="shared" si="211"/>
        <v>0</v>
      </c>
      <c r="Y519" s="9">
        <f t="shared" si="212"/>
        <v>0</v>
      </c>
      <c r="Z519" s="9">
        <f t="shared" si="213"/>
        <v>0</v>
      </c>
      <c r="AA519" s="10">
        <f t="shared" si="214"/>
        <v>0</v>
      </c>
    </row>
    <row r="520" spans="1:27" x14ac:dyDescent="0.3">
      <c r="A520" s="4" t="s">
        <v>1302</v>
      </c>
      <c r="B520" s="4">
        <f t="shared" si="192"/>
        <v>1</v>
      </c>
      <c r="C520" s="4">
        <f t="shared" si="193"/>
        <v>0</v>
      </c>
      <c r="D520" s="4">
        <f t="shared" si="194"/>
        <v>0</v>
      </c>
      <c r="E520" s="4">
        <f t="shared" si="195"/>
        <v>0</v>
      </c>
      <c r="F520" s="4">
        <f t="shared" si="196"/>
        <v>0</v>
      </c>
      <c r="G520" s="4">
        <f t="shared" si="197"/>
        <v>0</v>
      </c>
      <c r="I520" s="11" t="s">
        <v>1044</v>
      </c>
      <c r="J520" s="9">
        <f t="shared" si="198"/>
        <v>0</v>
      </c>
      <c r="K520" s="9">
        <f t="shared" si="215"/>
        <v>0</v>
      </c>
      <c r="L520" s="9">
        <f t="shared" si="199"/>
        <v>0</v>
      </c>
      <c r="M520" s="9">
        <f t="shared" si="200"/>
        <v>0</v>
      </c>
      <c r="N520" s="9">
        <f t="shared" si="201"/>
        <v>0</v>
      </c>
      <c r="O520" s="9">
        <f t="shared" si="202"/>
        <v>0</v>
      </c>
      <c r="P520" s="9">
        <f t="shared" si="203"/>
        <v>0</v>
      </c>
      <c r="Q520" s="9">
        <f t="shared" si="204"/>
        <v>0</v>
      </c>
      <c r="R520" s="9">
        <f t="shared" si="205"/>
        <v>0</v>
      </c>
      <c r="S520" s="9">
        <f t="shared" si="206"/>
        <v>0</v>
      </c>
      <c r="T520" s="9">
        <f t="shared" si="207"/>
        <v>0</v>
      </c>
      <c r="U520" s="9">
        <f t="shared" si="208"/>
        <v>1</v>
      </c>
      <c r="V520" s="9">
        <f t="shared" si="209"/>
        <v>0</v>
      </c>
      <c r="W520" s="9">
        <f t="shared" si="210"/>
        <v>0</v>
      </c>
      <c r="X520" s="9">
        <f t="shared" si="211"/>
        <v>0</v>
      </c>
      <c r="Y520" s="9">
        <f t="shared" si="212"/>
        <v>0</v>
      </c>
      <c r="Z520" s="9">
        <f t="shared" si="213"/>
        <v>0</v>
      </c>
      <c r="AA520" s="10">
        <f t="shared" si="214"/>
        <v>0</v>
      </c>
    </row>
    <row r="521" spans="1:27" x14ac:dyDescent="0.3">
      <c r="A521" s="18" t="s">
        <v>1303</v>
      </c>
      <c r="B521" s="4">
        <f t="shared" si="192"/>
        <v>0</v>
      </c>
      <c r="C521" s="4">
        <f t="shared" si="193"/>
        <v>0</v>
      </c>
      <c r="D521" s="4">
        <f t="shared" si="194"/>
        <v>0</v>
      </c>
      <c r="E521" s="4">
        <f t="shared" si="195"/>
        <v>0</v>
      </c>
      <c r="F521" s="4">
        <f t="shared" si="196"/>
        <v>1</v>
      </c>
      <c r="G521" s="4">
        <f t="shared" si="197"/>
        <v>0</v>
      </c>
      <c r="I521" s="8" t="s">
        <v>977</v>
      </c>
      <c r="J521" s="9">
        <f t="shared" si="198"/>
        <v>1</v>
      </c>
      <c r="K521" s="9">
        <f t="shared" si="215"/>
        <v>0</v>
      </c>
      <c r="L521" s="9">
        <f t="shared" si="199"/>
        <v>0</v>
      </c>
      <c r="M521" s="9">
        <f t="shared" si="200"/>
        <v>0</v>
      </c>
      <c r="N521" s="9">
        <f t="shared" si="201"/>
        <v>0</v>
      </c>
      <c r="O521" s="9">
        <f t="shared" si="202"/>
        <v>0</v>
      </c>
      <c r="P521" s="9">
        <f t="shared" si="203"/>
        <v>0</v>
      </c>
      <c r="Q521" s="9">
        <f t="shared" si="204"/>
        <v>0</v>
      </c>
      <c r="R521" s="9">
        <f t="shared" si="205"/>
        <v>0</v>
      </c>
      <c r="S521" s="9">
        <f t="shared" si="206"/>
        <v>0</v>
      </c>
      <c r="T521" s="9">
        <f t="shared" si="207"/>
        <v>0</v>
      </c>
      <c r="U521" s="9">
        <f t="shared" si="208"/>
        <v>0</v>
      </c>
      <c r="V521" s="9">
        <f t="shared" si="209"/>
        <v>0</v>
      </c>
      <c r="W521" s="9">
        <f t="shared" si="210"/>
        <v>0</v>
      </c>
      <c r="X521" s="9">
        <f t="shared" si="211"/>
        <v>0</v>
      </c>
      <c r="Y521" s="9">
        <f t="shared" si="212"/>
        <v>0</v>
      </c>
      <c r="Z521" s="9">
        <f t="shared" si="213"/>
        <v>0</v>
      </c>
      <c r="AA521" s="10">
        <f t="shared" si="214"/>
        <v>0</v>
      </c>
    </row>
    <row r="522" spans="1:27" x14ac:dyDescent="0.3">
      <c r="A522" s="4" t="s">
        <v>1304</v>
      </c>
      <c r="B522" s="4">
        <f t="shared" si="192"/>
        <v>0</v>
      </c>
      <c r="C522" s="4">
        <f t="shared" si="193"/>
        <v>1</v>
      </c>
      <c r="D522" s="4">
        <f t="shared" si="194"/>
        <v>0</v>
      </c>
      <c r="E522" s="4">
        <f t="shared" si="195"/>
        <v>0</v>
      </c>
      <c r="F522" s="4">
        <f t="shared" si="196"/>
        <v>0</v>
      </c>
      <c r="G522" s="4">
        <f t="shared" si="197"/>
        <v>0</v>
      </c>
      <c r="I522" s="11" t="s">
        <v>977</v>
      </c>
      <c r="J522" s="9">
        <f t="shared" si="198"/>
        <v>1</v>
      </c>
      <c r="K522" s="9">
        <f t="shared" si="215"/>
        <v>0</v>
      </c>
      <c r="L522" s="9">
        <f t="shared" si="199"/>
        <v>0</v>
      </c>
      <c r="M522" s="9">
        <f t="shared" si="200"/>
        <v>0</v>
      </c>
      <c r="N522" s="9">
        <f t="shared" si="201"/>
        <v>0</v>
      </c>
      <c r="O522" s="9">
        <f t="shared" si="202"/>
        <v>0</v>
      </c>
      <c r="P522" s="9">
        <f t="shared" si="203"/>
        <v>0</v>
      </c>
      <c r="Q522" s="9">
        <f t="shared" si="204"/>
        <v>0</v>
      </c>
      <c r="R522" s="9">
        <f t="shared" si="205"/>
        <v>0</v>
      </c>
      <c r="S522" s="9">
        <f t="shared" si="206"/>
        <v>0</v>
      </c>
      <c r="T522" s="9">
        <f t="shared" si="207"/>
        <v>0</v>
      </c>
      <c r="U522" s="9">
        <f t="shared" si="208"/>
        <v>0</v>
      </c>
      <c r="V522" s="9">
        <f t="shared" si="209"/>
        <v>0</v>
      </c>
      <c r="W522" s="9">
        <f t="shared" si="210"/>
        <v>0</v>
      </c>
      <c r="X522" s="9">
        <f t="shared" si="211"/>
        <v>0</v>
      </c>
      <c r="Y522" s="9">
        <f t="shared" si="212"/>
        <v>0</v>
      </c>
      <c r="Z522" s="9">
        <f t="shared" si="213"/>
        <v>0</v>
      </c>
      <c r="AA522" s="10">
        <f t="shared" si="214"/>
        <v>0</v>
      </c>
    </row>
    <row r="523" spans="1:27" x14ac:dyDescent="0.3">
      <c r="A523" s="18" t="s">
        <v>1302</v>
      </c>
      <c r="B523" s="4">
        <f t="shared" si="192"/>
        <v>1</v>
      </c>
      <c r="C523" s="4">
        <f t="shared" si="193"/>
        <v>0</v>
      </c>
      <c r="D523" s="4">
        <f t="shared" si="194"/>
        <v>0</v>
      </c>
      <c r="E523" s="4">
        <f t="shared" si="195"/>
        <v>0</v>
      </c>
      <c r="F523" s="4">
        <f t="shared" si="196"/>
        <v>0</v>
      </c>
      <c r="G523" s="4">
        <f t="shared" si="197"/>
        <v>0</v>
      </c>
      <c r="I523" s="8" t="s">
        <v>1044</v>
      </c>
      <c r="J523" s="9">
        <f t="shared" si="198"/>
        <v>0</v>
      </c>
      <c r="K523" s="9">
        <f t="shared" si="215"/>
        <v>0</v>
      </c>
      <c r="L523" s="9">
        <f t="shared" si="199"/>
        <v>0</v>
      </c>
      <c r="M523" s="9">
        <f t="shared" si="200"/>
        <v>0</v>
      </c>
      <c r="N523" s="9">
        <f t="shared" si="201"/>
        <v>0</v>
      </c>
      <c r="O523" s="9">
        <f t="shared" si="202"/>
        <v>0</v>
      </c>
      <c r="P523" s="9">
        <f t="shared" si="203"/>
        <v>0</v>
      </c>
      <c r="Q523" s="9">
        <f t="shared" si="204"/>
        <v>0</v>
      </c>
      <c r="R523" s="9">
        <f t="shared" si="205"/>
        <v>0</v>
      </c>
      <c r="S523" s="9">
        <f t="shared" si="206"/>
        <v>0</v>
      </c>
      <c r="T523" s="9">
        <f t="shared" si="207"/>
        <v>0</v>
      </c>
      <c r="U523" s="9">
        <f t="shared" si="208"/>
        <v>1</v>
      </c>
      <c r="V523" s="9">
        <f t="shared" si="209"/>
        <v>0</v>
      </c>
      <c r="W523" s="9">
        <f t="shared" si="210"/>
        <v>0</v>
      </c>
      <c r="X523" s="9">
        <f t="shared" si="211"/>
        <v>0</v>
      </c>
      <c r="Y523" s="9">
        <f t="shared" si="212"/>
        <v>0</v>
      </c>
      <c r="Z523" s="9">
        <f t="shared" si="213"/>
        <v>0</v>
      </c>
      <c r="AA523" s="10">
        <f t="shared" si="214"/>
        <v>0</v>
      </c>
    </row>
    <row r="524" spans="1:27" x14ac:dyDescent="0.3">
      <c r="A524" s="4" t="s">
        <v>1302</v>
      </c>
      <c r="B524" s="4">
        <f t="shared" si="192"/>
        <v>1</v>
      </c>
      <c r="C524" s="4">
        <f t="shared" si="193"/>
        <v>0</v>
      </c>
      <c r="D524" s="4">
        <f t="shared" si="194"/>
        <v>0</v>
      </c>
      <c r="E524" s="4">
        <f t="shared" si="195"/>
        <v>0</v>
      </c>
      <c r="F524" s="4">
        <f t="shared" si="196"/>
        <v>0</v>
      </c>
      <c r="G524" s="4">
        <f t="shared" si="197"/>
        <v>0</v>
      </c>
      <c r="I524" s="11" t="s">
        <v>977</v>
      </c>
      <c r="J524" s="9">
        <f t="shared" si="198"/>
        <v>1</v>
      </c>
      <c r="K524" s="9">
        <f t="shared" si="215"/>
        <v>0</v>
      </c>
      <c r="L524" s="9">
        <f t="shared" si="199"/>
        <v>0</v>
      </c>
      <c r="M524" s="9">
        <f t="shared" si="200"/>
        <v>0</v>
      </c>
      <c r="N524" s="9">
        <f t="shared" si="201"/>
        <v>0</v>
      </c>
      <c r="O524" s="9">
        <f t="shared" si="202"/>
        <v>0</v>
      </c>
      <c r="P524" s="9">
        <f t="shared" si="203"/>
        <v>0</v>
      </c>
      <c r="Q524" s="9">
        <f t="shared" si="204"/>
        <v>0</v>
      </c>
      <c r="R524" s="9">
        <f t="shared" si="205"/>
        <v>0</v>
      </c>
      <c r="S524" s="9">
        <f t="shared" si="206"/>
        <v>0</v>
      </c>
      <c r="T524" s="9">
        <f t="shared" si="207"/>
        <v>0</v>
      </c>
      <c r="U524" s="9">
        <f t="shared" si="208"/>
        <v>0</v>
      </c>
      <c r="V524" s="9">
        <f t="shared" si="209"/>
        <v>0</v>
      </c>
      <c r="W524" s="9">
        <f t="shared" si="210"/>
        <v>0</v>
      </c>
      <c r="X524" s="9">
        <f t="shared" si="211"/>
        <v>0</v>
      </c>
      <c r="Y524" s="9">
        <f t="shared" si="212"/>
        <v>0</v>
      </c>
      <c r="Z524" s="9">
        <f t="shared" si="213"/>
        <v>0</v>
      </c>
      <c r="AA524" s="10">
        <f t="shared" si="214"/>
        <v>0</v>
      </c>
    </row>
    <row r="525" spans="1:27" x14ac:dyDescent="0.3">
      <c r="A525" s="18" t="s">
        <v>1303</v>
      </c>
      <c r="B525" s="4">
        <f t="shared" si="192"/>
        <v>0</v>
      </c>
      <c r="C525" s="4">
        <f t="shared" si="193"/>
        <v>0</v>
      </c>
      <c r="D525" s="4">
        <f t="shared" si="194"/>
        <v>0</v>
      </c>
      <c r="E525" s="4">
        <f t="shared" si="195"/>
        <v>0</v>
      </c>
      <c r="F525" s="4">
        <f t="shared" si="196"/>
        <v>1</v>
      </c>
      <c r="G525" s="4">
        <f t="shared" si="197"/>
        <v>0</v>
      </c>
      <c r="I525" s="8" t="s">
        <v>994</v>
      </c>
      <c r="J525" s="9">
        <f t="shared" si="198"/>
        <v>0</v>
      </c>
      <c r="K525" s="9">
        <f t="shared" si="215"/>
        <v>0</v>
      </c>
      <c r="L525" s="9">
        <f t="shared" si="199"/>
        <v>0</v>
      </c>
      <c r="M525" s="9">
        <f t="shared" si="200"/>
        <v>0</v>
      </c>
      <c r="N525" s="9">
        <f t="shared" si="201"/>
        <v>0</v>
      </c>
      <c r="O525" s="9">
        <f t="shared" si="202"/>
        <v>0</v>
      </c>
      <c r="P525" s="9">
        <f t="shared" si="203"/>
        <v>1</v>
      </c>
      <c r="Q525" s="9">
        <f t="shared" si="204"/>
        <v>0</v>
      </c>
      <c r="R525" s="9">
        <f t="shared" si="205"/>
        <v>0</v>
      </c>
      <c r="S525" s="9">
        <f t="shared" si="206"/>
        <v>0</v>
      </c>
      <c r="T525" s="9">
        <f t="shared" si="207"/>
        <v>0</v>
      </c>
      <c r="U525" s="9">
        <f t="shared" si="208"/>
        <v>0</v>
      </c>
      <c r="V525" s="9">
        <f t="shared" si="209"/>
        <v>0</v>
      </c>
      <c r="W525" s="9">
        <f t="shared" si="210"/>
        <v>0</v>
      </c>
      <c r="X525" s="9">
        <f t="shared" si="211"/>
        <v>0</v>
      </c>
      <c r="Y525" s="9">
        <f t="shared" si="212"/>
        <v>0</v>
      </c>
      <c r="Z525" s="9">
        <f t="shared" si="213"/>
        <v>0</v>
      </c>
      <c r="AA525" s="10">
        <f t="shared" si="214"/>
        <v>0</v>
      </c>
    </row>
    <row r="526" spans="1:27" x14ac:dyDescent="0.3">
      <c r="A526" s="4" t="s">
        <v>1303</v>
      </c>
      <c r="B526" s="4">
        <f t="shared" si="192"/>
        <v>0</v>
      </c>
      <c r="C526" s="4">
        <f t="shared" si="193"/>
        <v>0</v>
      </c>
      <c r="D526" s="4">
        <f t="shared" si="194"/>
        <v>0</v>
      </c>
      <c r="E526" s="4">
        <f t="shared" si="195"/>
        <v>0</v>
      </c>
      <c r="F526" s="4">
        <f t="shared" si="196"/>
        <v>1</v>
      </c>
      <c r="G526" s="4">
        <f t="shared" si="197"/>
        <v>0</v>
      </c>
      <c r="I526" s="11" t="s">
        <v>988</v>
      </c>
      <c r="J526" s="9">
        <f t="shared" si="198"/>
        <v>0</v>
      </c>
      <c r="K526" s="9">
        <f t="shared" si="215"/>
        <v>0</v>
      </c>
      <c r="L526" s="9">
        <f t="shared" si="199"/>
        <v>1</v>
      </c>
      <c r="M526" s="9">
        <f t="shared" si="200"/>
        <v>0</v>
      </c>
      <c r="N526" s="9">
        <f t="shared" si="201"/>
        <v>0</v>
      </c>
      <c r="O526" s="9">
        <f t="shared" si="202"/>
        <v>0</v>
      </c>
      <c r="P526" s="9">
        <f t="shared" si="203"/>
        <v>0</v>
      </c>
      <c r="Q526" s="9">
        <f t="shared" si="204"/>
        <v>0</v>
      </c>
      <c r="R526" s="9">
        <f t="shared" si="205"/>
        <v>0</v>
      </c>
      <c r="S526" s="9">
        <f t="shared" si="206"/>
        <v>0</v>
      </c>
      <c r="T526" s="9">
        <f t="shared" si="207"/>
        <v>0</v>
      </c>
      <c r="U526" s="9">
        <f t="shared" si="208"/>
        <v>0</v>
      </c>
      <c r="V526" s="9">
        <f t="shared" si="209"/>
        <v>0</v>
      </c>
      <c r="W526" s="9">
        <f t="shared" si="210"/>
        <v>0</v>
      </c>
      <c r="X526" s="9">
        <f t="shared" si="211"/>
        <v>0</v>
      </c>
      <c r="Y526" s="9">
        <f t="shared" si="212"/>
        <v>0</v>
      </c>
      <c r="Z526" s="9">
        <f t="shared" si="213"/>
        <v>0</v>
      </c>
      <c r="AA526" s="10">
        <f t="shared" si="214"/>
        <v>0</v>
      </c>
    </row>
    <row r="527" spans="1:27" x14ac:dyDescent="0.3">
      <c r="A527" s="18" t="s">
        <v>1303</v>
      </c>
      <c r="B527" s="4">
        <f t="shared" si="192"/>
        <v>0</v>
      </c>
      <c r="C527" s="4">
        <f t="shared" si="193"/>
        <v>0</v>
      </c>
      <c r="D527" s="4">
        <f t="shared" si="194"/>
        <v>0</v>
      </c>
      <c r="E527" s="4">
        <f t="shared" si="195"/>
        <v>0</v>
      </c>
      <c r="F527" s="4">
        <f t="shared" si="196"/>
        <v>1</v>
      </c>
      <c r="G527" s="4">
        <f t="shared" si="197"/>
        <v>0</v>
      </c>
      <c r="I527" s="8" t="s">
        <v>996</v>
      </c>
      <c r="J527" s="9">
        <f t="shared" si="198"/>
        <v>0</v>
      </c>
      <c r="K527" s="9">
        <f t="shared" si="215"/>
        <v>0</v>
      </c>
      <c r="L527" s="9">
        <f t="shared" si="199"/>
        <v>0</v>
      </c>
      <c r="M527" s="9">
        <f t="shared" si="200"/>
        <v>0</v>
      </c>
      <c r="N527" s="9">
        <f t="shared" si="201"/>
        <v>0</v>
      </c>
      <c r="O527" s="9">
        <f t="shared" si="202"/>
        <v>0</v>
      </c>
      <c r="P527" s="9">
        <f t="shared" si="203"/>
        <v>0</v>
      </c>
      <c r="Q527" s="9">
        <f t="shared" si="204"/>
        <v>1</v>
      </c>
      <c r="R527" s="9">
        <f t="shared" si="205"/>
        <v>0</v>
      </c>
      <c r="S527" s="9">
        <f t="shared" si="206"/>
        <v>0</v>
      </c>
      <c r="T527" s="9">
        <f t="shared" si="207"/>
        <v>0</v>
      </c>
      <c r="U527" s="9">
        <f t="shared" si="208"/>
        <v>0</v>
      </c>
      <c r="V527" s="9">
        <f t="shared" si="209"/>
        <v>0</v>
      </c>
      <c r="W527" s="9">
        <f t="shared" si="210"/>
        <v>0</v>
      </c>
      <c r="X527" s="9">
        <f t="shared" si="211"/>
        <v>0</v>
      </c>
      <c r="Y527" s="9">
        <f t="shared" si="212"/>
        <v>0</v>
      </c>
      <c r="Z527" s="9">
        <f t="shared" si="213"/>
        <v>0</v>
      </c>
      <c r="AA527" s="10">
        <f t="shared" si="214"/>
        <v>0</v>
      </c>
    </row>
    <row r="528" spans="1:27" x14ac:dyDescent="0.3">
      <c r="A528" s="4" t="s">
        <v>1303</v>
      </c>
      <c r="B528" s="4">
        <f t="shared" si="192"/>
        <v>0</v>
      </c>
      <c r="C528" s="4">
        <f t="shared" si="193"/>
        <v>0</v>
      </c>
      <c r="D528" s="4">
        <f t="shared" si="194"/>
        <v>0</v>
      </c>
      <c r="E528" s="4">
        <f t="shared" si="195"/>
        <v>0</v>
      </c>
      <c r="F528" s="4">
        <f t="shared" si="196"/>
        <v>1</v>
      </c>
      <c r="G528" s="4">
        <f t="shared" si="197"/>
        <v>0</v>
      </c>
      <c r="I528" s="11" t="s">
        <v>988</v>
      </c>
      <c r="J528" s="9">
        <f t="shared" si="198"/>
        <v>0</v>
      </c>
      <c r="K528" s="9">
        <f t="shared" si="215"/>
        <v>0</v>
      </c>
      <c r="L528" s="9">
        <f t="shared" si="199"/>
        <v>1</v>
      </c>
      <c r="M528" s="9">
        <f t="shared" si="200"/>
        <v>0</v>
      </c>
      <c r="N528" s="9">
        <f t="shared" si="201"/>
        <v>0</v>
      </c>
      <c r="O528" s="9">
        <f t="shared" si="202"/>
        <v>0</v>
      </c>
      <c r="P528" s="9">
        <f t="shared" si="203"/>
        <v>0</v>
      </c>
      <c r="Q528" s="9">
        <f t="shared" si="204"/>
        <v>0</v>
      </c>
      <c r="R528" s="9">
        <f t="shared" si="205"/>
        <v>0</v>
      </c>
      <c r="S528" s="9">
        <f t="shared" si="206"/>
        <v>0</v>
      </c>
      <c r="T528" s="9">
        <f t="shared" si="207"/>
        <v>0</v>
      </c>
      <c r="U528" s="9">
        <f t="shared" si="208"/>
        <v>0</v>
      </c>
      <c r="V528" s="9">
        <f t="shared" si="209"/>
        <v>0</v>
      </c>
      <c r="W528" s="9">
        <f t="shared" si="210"/>
        <v>0</v>
      </c>
      <c r="X528" s="9">
        <f t="shared" si="211"/>
        <v>0</v>
      </c>
      <c r="Y528" s="9">
        <f t="shared" si="212"/>
        <v>0</v>
      </c>
      <c r="Z528" s="9">
        <f t="shared" si="213"/>
        <v>0</v>
      </c>
      <c r="AA528" s="10">
        <f t="shared" si="214"/>
        <v>0</v>
      </c>
    </row>
    <row r="529" spans="1:27" x14ac:dyDescent="0.3">
      <c r="A529" s="18" t="s">
        <v>1305</v>
      </c>
      <c r="B529" s="4">
        <f t="shared" si="192"/>
        <v>0</v>
      </c>
      <c r="C529" s="4">
        <f t="shared" si="193"/>
        <v>0</v>
      </c>
      <c r="D529" s="4">
        <f t="shared" si="194"/>
        <v>0</v>
      </c>
      <c r="E529" s="4">
        <f t="shared" si="195"/>
        <v>0</v>
      </c>
      <c r="F529" s="4">
        <f t="shared" si="196"/>
        <v>0</v>
      </c>
      <c r="G529" s="4">
        <f t="shared" si="197"/>
        <v>1</v>
      </c>
      <c r="I529" s="8" t="s">
        <v>1067</v>
      </c>
      <c r="J529" s="9">
        <f t="shared" si="198"/>
        <v>0</v>
      </c>
      <c r="K529" s="9">
        <f t="shared" si="215"/>
        <v>0</v>
      </c>
      <c r="L529" s="9">
        <f t="shared" si="199"/>
        <v>0</v>
      </c>
      <c r="M529" s="9">
        <f t="shared" si="200"/>
        <v>1</v>
      </c>
      <c r="N529" s="9">
        <f t="shared" si="201"/>
        <v>0</v>
      </c>
      <c r="O529" s="9">
        <f t="shared" si="202"/>
        <v>0</v>
      </c>
      <c r="P529" s="9">
        <f t="shared" si="203"/>
        <v>0</v>
      </c>
      <c r="Q529" s="9">
        <f t="shared" si="204"/>
        <v>0</v>
      </c>
      <c r="R529" s="9">
        <f t="shared" si="205"/>
        <v>0</v>
      </c>
      <c r="S529" s="9">
        <f t="shared" si="206"/>
        <v>0</v>
      </c>
      <c r="T529" s="9">
        <f t="shared" si="207"/>
        <v>0</v>
      </c>
      <c r="U529" s="9">
        <f t="shared" si="208"/>
        <v>0</v>
      </c>
      <c r="V529" s="9">
        <f t="shared" si="209"/>
        <v>0</v>
      </c>
      <c r="W529" s="9">
        <f t="shared" si="210"/>
        <v>0</v>
      </c>
      <c r="X529" s="9">
        <f t="shared" si="211"/>
        <v>0</v>
      </c>
      <c r="Y529" s="9">
        <f t="shared" si="212"/>
        <v>0</v>
      </c>
      <c r="Z529" s="9">
        <f t="shared" si="213"/>
        <v>0</v>
      </c>
      <c r="AA529" s="10">
        <f t="shared" si="214"/>
        <v>0</v>
      </c>
    </row>
    <row r="530" spans="1:27" x14ac:dyDescent="0.3">
      <c r="A530" s="4" t="s">
        <v>1294</v>
      </c>
      <c r="B530" s="4">
        <f t="shared" si="192"/>
        <v>0</v>
      </c>
      <c r="C530" s="4">
        <f t="shared" si="193"/>
        <v>0</v>
      </c>
      <c r="D530" s="4">
        <f t="shared" si="194"/>
        <v>0</v>
      </c>
      <c r="E530" s="4">
        <f t="shared" si="195"/>
        <v>0</v>
      </c>
      <c r="F530" s="4">
        <f t="shared" si="196"/>
        <v>0</v>
      </c>
      <c r="G530" s="4">
        <f t="shared" si="197"/>
        <v>0</v>
      </c>
      <c r="I530" s="11" t="s">
        <v>994</v>
      </c>
      <c r="J530" s="9">
        <f t="shared" si="198"/>
        <v>0</v>
      </c>
      <c r="K530" s="9">
        <f t="shared" si="215"/>
        <v>0</v>
      </c>
      <c r="L530" s="9">
        <f t="shared" si="199"/>
        <v>0</v>
      </c>
      <c r="M530" s="9">
        <f t="shared" si="200"/>
        <v>0</v>
      </c>
      <c r="N530" s="9">
        <f t="shared" si="201"/>
        <v>0</v>
      </c>
      <c r="O530" s="9">
        <f t="shared" si="202"/>
        <v>0</v>
      </c>
      <c r="P530" s="9">
        <f t="shared" si="203"/>
        <v>1</v>
      </c>
      <c r="Q530" s="9">
        <f t="shared" si="204"/>
        <v>0</v>
      </c>
      <c r="R530" s="9">
        <f t="shared" si="205"/>
        <v>0</v>
      </c>
      <c r="S530" s="9">
        <f t="shared" si="206"/>
        <v>0</v>
      </c>
      <c r="T530" s="9">
        <f t="shared" si="207"/>
        <v>0</v>
      </c>
      <c r="U530" s="9">
        <f t="shared" si="208"/>
        <v>0</v>
      </c>
      <c r="V530" s="9">
        <f t="shared" si="209"/>
        <v>0</v>
      </c>
      <c r="W530" s="9">
        <f t="shared" si="210"/>
        <v>0</v>
      </c>
      <c r="X530" s="9">
        <f t="shared" si="211"/>
        <v>0</v>
      </c>
      <c r="Y530" s="9">
        <f t="shared" si="212"/>
        <v>0</v>
      </c>
      <c r="Z530" s="9">
        <f t="shared" si="213"/>
        <v>0</v>
      </c>
      <c r="AA530" s="10">
        <f t="shared" si="214"/>
        <v>0</v>
      </c>
    </row>
    <row r="531" spans="1:27" x14ac:dyDescent="0.3">
      <c r="A531" s="18" t="s">
        <v>1294</v>
      </c>
      <c r="B531" s="4">
        <f t="shared" si="192"/>
        <v>0</v>
      </c>
      <c r="C531" s="4">
        <f t="shared" si="193"/>
        <v>0</v>
      </c>
      <c r="D531" s="4">
        <f t="shared" si="194"/>
        <v>0</v>
      </c>
      <c r="E531" s="4">
        <f t="shared" si="195"/>
        <v>0</v>
      </c>
      <c r="F531" s="4">
        <f t="shared" si="196"/>
        <v>0</v>
      </c>
      <c r="G531" s="4">
        <f t="shared" si="197"/>
        <v>0</v>
      </c>
      <c r="I531" s="8" t="s">
        <v>988</v>
      </c>
      <c r="J531" s="9">
        <f t="shared" si="198"/>
        <v>0</v>
      </c>
      <c r="K531" s="9">
        <f t="shared" si="215"/>
        <v>0</v>
      </c>
      <c r="L531" s="9">
        <f t="shared" si="199"/>
        <v>1</v>
      </c>
      <c r="M531" s="9">
        <f t="shared" si="200"/>
        <v>0</v>
      </c>
      <c r="N531" s="9">
        <f t="shared" si="201"/>
        <v>0</v>
      </c>
      <c r="O531" s="9">
        <f t="shared" si="202"/>
        <v>0</v>
      </c>
      <c r="P531" s="9">
        <f t="shared" si="203"/>
        <v>0</v>
      </c>
      <c r="Q531" s="9">
        <f t="shared" si="204"/>
        <v>0</v>
      </c>
      <c r="R531" s="9">
        <f t="shared" si="205"/>
        <v>0</v>
      </c>
      <c r="S531" s="9">
        <f t="shared" si="206"/>
        <v>0</v>
      </c>
      <c r="T531" s="9">
        <f t="shared" si="207"/>
        <v>0</v>
      </c>
      <c r="U531" s="9">
        <f t="shared" si="208"/>
        <v>0</v>
      </c>
      <c r="V531" s="9">
        <f t="shared" si="209"/>
        <v>0</v>
      </c>
      <c r="W531" s="9">
        <f t="shared" si="210"/>
        <v>0</v>
      </c>
      <c r="X531" s="9">
        <f t="shared" si="211"/>
        <v>0</v>
      </c>
      <c r="Y531" s="9">
        <f t="shared" si="212"/>
        <v>0</v>
      </c>
      <c r="Z531" s="9">
        <f t="shared" si="213"/>
        <v>0</v>
      </c>
      <c r="AA531" s="10">
        <f t="shared" si="214"/>
        <v>0</v>
      </c>
    </row>
    <row r="532" spans="1:27" x14ac:dyDescent="0.3">
      <c r="A532" s="4" t="s">
        <v>1294</v>
      </c>
      <c r="B532" s="4">
        <f t="shared" si="192"/>
        <v>0</v>
      </c>
      <c r="C532" s="4">
        <f t="shared" si="193"/>
        <v>0</v>
      </c>
      <c r="D532" s="4">
        <f t="shared" si="194"/>
        <v>0</v>
      </c>
      <c r="E532" s="4">
        <f t="shared" si="195"/>
        <v>0</v>
      </c>
      <c r="F532" s="4">
        <f t="shared" si="196"/>
        <v>0</v>
      </c>
      <c r="G532" s="4">
        <f t="shared" si="197"/>
        <v>0</v>
      </c>
      <c r="I532" s="11" t="s">
        <v>988</v>
      </c>
      <c r="J532" s="9">
        <f t="shared" si="198"/>
        <v>0</v>
      </c>
      <c r="K532" s="9">
        <f t="shared" si="215"/>
        <v>0</v>
      </c>
      <c r="L532" s="9">
        <f t="shared" si="199"/>
        <v>1</v>
      </c>
      <c r="M532" s="9">
        <f t="shared" si="200"/>
        <v>0</v>
      </c>
      <c r="N532" s="9">
        <f t="shared" si="201"/>
        <v>0</v>
      </c>
      <c r="O532" s="9">
        <f t="shared" si="202"/>
        <v>0</v>
      </c>
      <c r="P532" s="9">
        <f t="shared" si="203"/>
        <v>0</v>
      </c>
      <c r="Q532" s="9">
        <f t="shared" si="204"/>
        <v>0</v>
      </c>
      <c r="R532" s="9">
        <f t="shared" si="205"/>
        <v>0</v>
      </c>
      <c r="S532" s="9">
        <f t="shared" si="206"/>
        <v>0</v>
      </c>
      <c r="T532" s="9">
        <f t="shared" si="207"/>
        <v>0</v>
      </c>
      <c r="U532" s="9">
        <f t="shared" si="208"/>
        <v>0</v>
      </c>
      <c r="V532" s="9">
        <f t="shared" si="209"/>
        <v>0</v>
      </c>
      <c r="W532" s="9">
        <f t="shared" si="210"/>
        <v>0</v>
      </c>
      <c r="X532" s="9">
        <f t="shared" si="211"/>
        <v>0</v>
      </c>
      <c r="Y532" s="9">
        <f t="shared" si="212"/>
        <v>0</v>
      </c>
      <c r="Z532" s="9">
        <f t="shared" si="213"/>
        <v>0</v>
      </c>
      <c r="AA532" s="10">
        <f t="shared" si="214"/>
        <v>0</v>
      </c>
    </row>
    <row r="533" spans="1:27" x14ac:dyDescent="0.3">
      <c r="A533" s="18" t="s">
        <v>1302</v>
      </c>
      <c r="B533" s="4">
        <f t="shared" si="192"/>
        <v>1</v>
      </c>
      <c r="C533" s="4">
        <f t="shared" si="193"/>
        <v>0</v>
      </c>
      <c r="D533" s="4">
        <f t="shared" si="194"/>
        <v>0</v>
      </c>
      <c r="E533" s="4">
        <f t="shared" si="195"/>
        <v>0</v>
      </c>
      <c r="F533" s="4">
        <f t="shared" si="196"/>
        <v>0</v>
      </c>
      <c r="G533" s="4">
        <f t="shared" si="197"/>
        <v>0</v>
      </c>
      <c r="I533" s="8" t="s">
        <v>988</v>
      </c>
      <c r="J533" s="9">
        <f t="shared" si="198"/>
        <v>0</v>
      </c>
      <c r="K533" s="9">
        <f t="shared" si="215"/>
        <v>0</v>
      </c>
      <c r="L533" s="9">
        <f t="shared" si="199"/>
        <v>1</v>
      </c>
      <c r="M533" s="9">
        <f t="shared" si="200"/>
        <v>0</v>
      </c>
      <c r="N533" s="9">
        <f t="shared" si="201"/>
        <v>0</v>
      </c>
      <c r="O533" s="9">
        <f t="shared" si="202"/>
        <v>0</v>
      </c>
      <c r="P533" s="9">
        <f t="shared" si="203"/>
        <v>0</v>
      </c>
      <c r="Q533" s="9">
        <f t="shared" si="204"/>
        <v>0</v>
      </c>
      <c r="R533" s="9">
        <f t="shared" si="205"/>
        <v>0</v>
      </c>
      <c r="S533" s="9">
        <f t="shared" si="206"/>
        <v>0</v>
      </c>
      <c r="T533" s="9">
        <f t="shared" si="207"/>
        <v>0</v>
      </c>
      <c r="U533" s="9">
        <f t="shared" si="208"/>
        <v>0</v>
      </c>
      <c r="V533" s="9">
        <f t="shared" si="209"/>
        <v>0</v>
      </c>
      <c r="W533" s="9">
        <f t="shared" si="210"/>
        <v>0</v>
      </c>
      <c r="X533" s="9">
        <f t="shared" si="211"/>
        <v>0</v>
      </c>
      <c r="Y533" s="9">
        <f t="shared" si="212"/>
        <v>0</v>
      </c>
      <c r="Z533" s="9">
        <f t="shared" si="213"/>
        <v>0</v>
      </c>
      <c r="AA533" s="10">
        <f t="shared" si="214"/>
        <v>0</v>
      </c>
    </row>
    <row r="534" spans="1:27" x14ac:dyDescent="0.3">
      <c r="A534" s="4" t="s">
        <v>1305</v>
      </c>
      <c r="B534" s="4">
        <f t="shared" si="192"/>
        <v>0</v>
      </c>
      <c r="C534" s="4">
        <f t="shared" si="193"/>
        <v>0</v>
      </c>
      <c r="D534" s="4">
        <f t="shared" si="194"/>
        <v>0</v>
      </c>
      <c r="E534" s="4">
        <f t="shared" si="195"/>
        <v>0</v>
      </c>
      <c r="F534" s="4">
        <f t="shared" si="196"/>
        <v>0</v>
      </c>
      <c r="G534" s="4">
        <f t="shared" si="197"/>
        <v>1</v>
      </c>
      <c r="I534" s="11" t="s">
        <v>982</v>
      </c>
      <c r="J534" s="9">
        <f t="shared" si="198"/>
        <v>0</v>
      </c>
      <c r="K534" s="9">
        <f t="shared" si="215"/>
        <v>1</v>
      </c>
      <c r="L534" s="9">
        <f t="shared" si="199"/>
        <v>0</v>
      </c>
      <c r="M534" s="9">
        <f t="shared" si="200"/>
        <v>0</v>
      </c>
      <c r="N534" s="9">
        <f t="shared" si="201"/>
        <v>0</v>
      </c>
      <c r="O534" s="9">
        <f t="shared" si="202"/>
        <v>0</v>
      </c>
      <c r="P534" s="9">
        <f t="shared" si="203"/>
        <v>0</v>
      </c>
      <c r="Q534" s="9">
        <f t="shared" si="204"/>
        <v>0</v>
      </c>
      <c r="R534" s="9">
        <f t="shared" si="205"/>
        <v>0</v>
      </c>
      <c r="S534" s="9">
        <f t="shared" si="206"/>
        <v>0</v>
      </c>
      <c r="T534" s="9">
        <f t="shared" si="207"/>
        <v>0</v>
      </c>
      <c r="U534" s="9">
        <f t="shared" si="208"/>
        <v>0</v>
      </c>
      <c r="V534" s="9">
        <f t="shared" si="209"/>
        <v>0</v>
      </c>
      <c r="W534" s="9">
        <f t="shared" si="210"/>
        <v>0</v>
      </c>
      <c r="X534" s="9">
        <f t="shared" si="211"/>
        <v>0</v>
      </c>
      <c r="Y534" s="9">
        <f t="shared" si="212"/>
        <v>0</v>
      </c>
      <c r="Z534" s="9">
        <f t="shared" si="213"/>
        <v>0</v>
      </c>
      <c r="AA534" s="10">
        <f t="shared" si="214"/>
        <v>0</v>
      </c>
    </row>
    <row r="535" spans="1:27" x14ac:dyDescent="0.3">
      <c r="A535" s="18" t="s">
        <v>1294</v>
      </c>
      <c r="B535" s="4">
        <f t="shared" si="192"/>
        <v>0</v>
      </c>
      <c r="C535" s="4">
        <f t="shared" si="193"/>
        <v>0</v>
      </c>
      <c r="D535" s="4">
        <f t="shared" si="194"/>
        <v>0</v>
      </c>
      <c r="E535" s="4">
        <f t="shared" si="195"/>
        <v>0</v>
      </c>
      <c r="F535" s="4">
        <f t="shared" si="196"/>
        <v>0</v>
      </c>
      <c r="G535" s="4">
        <f t="shared" si="197"/>
        <v>0</v>
      </c>
      <c r="I535" s="8" t="s">
        <v>988</v>
      </c>
      <c r="J535" s="9">
        <f t="shared" si="198"/>
        <v>0</v>
      </c>
      <c r="K535" s="9">
        <f t="shared" si="215"/>
        <v>0</v>
      </c>
      <c r="L535" s="9">
        <f t="shared" si="199"/>
        <v>1</v>
      </c>
      <c r="M535" s="9">
        <f t="shared" si="200"/>
        <v>0</v>
      </c>
      <c r="N535" s="9">
        <f t="shared" si="201"/>
        <v>0</v>
      </c>
      <c r="O535" s="9">
        <f t="shared" si="202"/>
        <v>0</v>
      </c>
      <c r="P535" s="9">
        <f t="shared" si="203"/>
        <v>0</v>
      </c>
      <c r="Q535" s="9">
        <f t="shared" si="204"/>
        <v>0</v>
      </c>
      <c r="R535" s="9">
        <f t="shared" si="205"/>
        <v>0</v>
      </c>
      <c r="S535" s="9">
        <f t="shared" si="206"/>
        <v>0</v>
      </c>
      <c r="T535" s="9">
        <f t="shared" si="207"/>
        <v>0</v>
      </c>
      <c r="U535" s="9">
        <f t="shared" si="208"/>
        <v>0</v>
      </c>
      <c r="V535" s="9">
        <f t="shared" si="209"/>
        <v>0</v>
      </c>
      <c r="W535" s="9">
        <f t="shared" si="210"/>
        <v>0</v>
      </c>
      <c r="X535" s="9">
        <f t="shared" si="211"/>
        <v>0</v>
      </c>
      <c r="Y535" s="9">
        <f t="shared" si="212"/>
        <v>0</v>
      </c>
      <c r="Z535" s="9">
        <f t="shared" si="213"/>
        <v>0</v>
      </c>
      <c r="AA535" s="10">
        <f t="shared" si="214"/>
        <v>0</v>
      </c>
    </row>
    <row r="536" spans="1:27" x14ac:dyDescent="0.3">
      <c r="A536" s="4" t="s">
        <v>1303</v>
      </c>
      <c r="B536" s="4">
        <f t="shared" si="192"/>
        <v>0</v>
      </c>
      <c r="C536" s="4">
        <f t="shared" si="193"/>
        <v>0</v>
      </c>
      <c r="D536" s="4">
        <f t="shared" si="194"/>
        <v>0</v>
      </c>
      <c r="E536" s="4">
        <f t="shared" si="195"/>
        <v>0</v>
      </c>
      <c r="F536" s="4">
        <f t="shared" si="196"/>
        <v>1</v>
      </c>
      <c r="G536" s="4">
        <f t="shared" si="197"/>
        <v>0</v>
      </c>
      <c r="I536" s="11" t="s">
        <v>988</v>
      </c>
      <c r="J536" s="9">
        <f t="shared" si="198"/>
        <v>0</v>
      </c>
      <c r="K536" s="9">
        <f t="shared" si="215"/>
        <v>0</v>
      </c>
      <c r="L536" s="9">
        <f t="shared" si="199"/>
        <v>1</v>
      </c>
      <c r="M536" s="9">
        <f t="shared" si="200"/>
        <v>0</v>
      </c>
      <c r="N536" s="9">
        <f t="shared" si="201"/>
        <v>0</v>
      </c>
      <c r="O536" s="9">
        <f t="shared" si="202"/>
        <v>0</v>
      </c>
      <c r="P536" s="9">
        <f t="shared" si="203"/>
        <v>0</v>
      </c>
      <c r="Q536" s="9">
        <f t="shared" si="204"/>
        <v>0</v>
      </c>
      <c r="R536" s="9">
        <f t="shared" si="205"/>
        <v>0</v>
      </c>
      <c r="S536" s="9">
        <f t="shared" si="206"/>
        <v>0</v>
      </c>
      <c r="T536" s="9">
        <f t="shared" si="207"/>
        <v>0</v>
      </c>
      <c r="U536" s="9">
        <f t="shared" si="208"/>
        <v>0</v>
      </c>
      <c r="V536" s="9">
        <f t="shared" si="209"/>
        <v>0</v>
      </c>
      <c r="W536" s="9">
        <f t="shared" si="210"/>
        <v>0</v>
      </c>
      <c r="X536" s="9">
        <f t="shared" si="211"/>
        <v>0</v>
      </c>
      <c r="Y536" s="9">
        <f t="shared" si="212"/>
        <v>0</v>
      </c>
      <c r="Z536" s="9">
        <f t="shared" si="213"/>
        <v>0</v>
      </c>
      <c r="AA536" s="10">
        <f t="shared" si="214"/>
        <v>0</v>
      </c>
    </row>
    <row r="537" spans="1:27" x14ac:dyDescent="0.3">
      <c r="A537" s="18" t="s">
        <v>1303</v>
      </c>
      <c r="B537" s="4">
        <f t="shared" si="192"/>
        <v>0</v>
      </c>
      <c r="C537" s="4">
        <f t="shared" si="193"/>
        <v>0</v>
      </c>
      <c r="D537" s="4">
        <f t="shared" si="194"/>
        <v>0</v>
      </c>
      <c r="E537" s="4">
        <f t="shared" si="195"/>
        <v>0</v>
      </c>
      <c r="F537" s="4">
        <f t="shared" si="196"/>
        <v>1</v>
      </c>
      <c r="G537" s="4">
        <f t="shared" si="197"/>
        <v>0</v>
      </c>
      <c r="I537" s="8" t="s">
        <v>977</v>
      </c>
      <c r="J537" s="9">
        <f t="shared" si="198"/>
        <v>1</v>
      </c>
      <c r="K537" s="9">
        <f t="shared" si="215"/>
        <v>0</v>
      </c>
      <c r="L537" s="9">
        <f t="shared" si="199"/>
        <v>0</v>
      </c>
      <c r="M537" s="9">
        <f t="shared" si="200"/>
        <v>0</v>
      </c>
      <c r="N537" s="9">
        <f t="shared" si="201"/>
        <v>0</v>
      </c>
      <c r="O537" s="9">
        <f t="shared" si="202"/>
        <v>0</v>
      </c>
      <c r="P537" s="9">
        <f t="shared" si="203"/>
        <v>0</v>
      </c>
      <c r="Q537" s="9">
        <f t="shared" si="204"/>
        <v>0</v>
      </c>
      <c r="R537" s="9">
        <f t="shared" si="205"/>
        <v>0</v>
      </c>
      <c r="S537" s="9">
        <f t="shared" si="206"/>
        <v>0</v>
      </c>
      <c r="T537" s="9">
        <f t="shared" si="207"/>
        <v>0</v>
      </c>
      <c r="U537" s="9">
        <f t="shared" si="208"/>
        <v>0</v>
      </c>
      <c r="V537" s="9">
        <f t="shared" si="209"/>
        <v>0</v>
      </c>
      <c r="W537" s="9">
        <f t="shared" si="210"/>
        <v>0</v>
      </c>
      <c r="X537" s="9">
        <f t="shared" si="211"/>
        <v>0</v>
      </c>
      <c r="Y537" s="9">
        <f t="shared" si="212"/>
        <v>0</v>
      </c>
      <c r="Z537" s="9">
        <f t="shared" si="213"/>
        <v>0</v>
      </c>
      <c r="AA537" s="10">
        <f t="shared" si="214"/>
        <v>0</v>
      </c>
    </row>
    <row r="538" spans="1:27" x14ac:dyDescent="0.3">
      <c r="A538" s="4" t="s">
        <v>1303</v>
      </c>
      <c r="B538" s="4">
        <f t="shared" si="192"/>
        <v>0</v>
      </c>
      <c r="C538" s="4">
        <f t="shared" si="193"/>
        <v>0</v>
      </c>
      <c r="D538" s="4">
        <f t="shared" si="194"/>
        <v>0</v>
      </c>
      <c r="E538" s="4">
        <f t="shared" si="195"/>
        <v>0</v>
      </c>
      <c r="F538" s="4">
        <f t="shared" si="196"/>
        <v>1</v>
      </c>
      <c r="G538" s="4">
        <f t="shared" si="197"/>
        <v>0</v>
      </c>
      <c r="I538" s="11" t="s">
        <v>996</v>
      </c>
      <c r="J538" s="9">
        <f t="shared" si="198"/>
        <v>0</v>
      </c>
      <c r="K538" s="9">
        <f t="shared" si="215"/>
        <v>0</v>
      </c>
      <c r="L538" s="9">
        <f t="shared" si="199"/>
        <v>0</v>
      </c>
      <c r="M538" s="9">
        <f t="shared" si="200"/>
        <v>0</v>
      </c>
      <c r="N538" s="9">
        <f t="shared" si="201"/>
        <v>0</v>
      </c>
      <c r="O538" s="9">
        <f t="shared" si="202"/>
        <v>0</v>
      </c>
      <c r="P538" s="9">
        <f t="shared" si="203"/>
        <v>0</v>
      </c>
      <c r="Q538" s="9">
        <f t="shared" si="204"/>
        <v>1</v>
      </c>
      <c r="R538" s="9">
        <f t="shared" si="205"/>
        <v>0</v>
      </c>
      <c r="S538" s="9">
        <f t="shared" si="206"/>
        <v>0</v>
      </c>
      <c r="T538" s="9">
        <f t="shared" si="207"/>
        <v>0</v>
      </c>
      <c r="U538" s="9">
        <f t="shared" si="208"/>
        <v>0</v>
      </c>
      <c r="V538" s="9">
        <f t="shared" si="209"/>
        <v>0</v>
      </c>
      <c r="W538" s="9">
        <f t="shared" si="210"/>
        <v>0</v>
      </c>
      <c r="X538" s="9">
        <f t="shared" si="211"/>
        <v>0</v>
      </c>
      <c r="Y538" s="9">
        <f t="shared" si="212"/>
        <v>0</v>
      </c>
      <c r="Z538" s="9">
        <f t="shared" si="213"/>
        <v>0</v>
      </c>
      <c r="AA538" s="10">
        <f t="shared" si="214"/>
        <v>0</v>
      </c>
    </row>
    <row r="539" spans="1:27" x14ac:dyDescent="0.3">
      <c r="A539" s="18" t="s">
        <v>1305</v>
      </c>
      <c r="B539" s="4">
        <f t="shared" si="192"/>
        <v>0</v>
      </c>
      <c r="C539" s="4">
        <f t="shared" si="193"/>
        <v>0</v>
      </c>
      <c r="D539" s="4">
        <f t="shared" si="194"/>
        <v>0</v>
      </c>
      <c r="E539" s="4">
        <f t="shared" si="195"/>
        <v>0</v>
      </c>
      <c r="F539" s="4">
        <f t="shared" si="196"/>
        <v>0</v>
      </c>
      <c r="G539" s="4">
        <f t="shared" si="197"/>
        <v>1</v>
      </c>
      <c r="I539" s="8" t="s">
        <v>994</v>
      </c>
      <c r="J539" s="9">
        <f t="shared" si="198"/>
        <v>0</v>
      </c>
      <c r="K539" s="9">
        <f t="shared" si="215"/>
        <v>0</v>
      </c>
      <c r="L539" s="9">
        <f t="shared" si="199"/>
        <v>0</v>
      </c>
      <c r="M539" s="9">
        <f t="shared" si="200"/>
        <v>0</v>
      </c>
      <c r="N539" s="9">
        <f t="shared" si="201"/>
        <v>0</v>
      </c>
      <c r="O539" s="9">
        <f t="shared" si="202"/>
        <v>0</v>
      </c>
      <c r="P539" s="9">
        <f t="shared" si="203"/>
        <v>1</v>
      </c>
      <c r="Q539" s="9">
        <f t="shared" si="204"/>
        <v>0</v>
      </c>
      <c r="R539" s="9">
        <f t="shared" si="205"/>
        <v>0</v>
      </c>
      <c r="S539" s="9">
        <f t="shared" si="206"/>
        <v>0</v>
      </c>
      <c r="T539" s="9">
        <f t="shared" si="207"/>
        <v>0</v>
      </c>
      <c r="U539" s="9">
        <f t="shared" si="208"/>
        <v>0</v>
      </c>
      <c r="V539" s="9">
        <f t="shared" si="209"/>
        <v>0</v>
      </c>
      <c r="W539" s="9">
        <f t="shared" si="210"/>
        <v>0</v>
      </c>
      <c r="X539" s="9">
        <f t="shared" si="211"/>
        <v>0</v>
      </c>
      <c r="Y539" s="9">
        <f t="shared" si="212"/>
        <v>0</v>
      </c>
      <c r="Z539" s="9">
        <f t="shared" si="213"/>
        <v>0</v>
      </c>
      <c r="AA539" s="10">
        <f t="shared" si="214"/>
        <v>0</v>
      </c>
    </row>
    <row r="540" spans="1:27" x14ac:dyDescent="0.3">
      <c r="A540" s="4" t="s">
        <v>1302</v>
      </c>
      <c r="B540" s="4">
        <f t="shared" si="192"/>
        <v>1</v>
      </c>
      <c r="C540" s="4">
        <f t="shared" si="193"/>
        <v>0</v>
      </c>
      <c r="D540" s="4">
        <f t="shared" si="194"/>
        <v>0</v>
      </c>
      <c r="E540" s="4">
        <f t="shared" si="195"/>
        <v>0</v>
      </c>
      <c r="F540" s="4">
        <f t="shared" si="196"/>
        <v>0</v>
      </c>
      <c r="G540" s="4">
        <f t="shared" si="197"/>
        <v>0</v>
      </c>
      <c r="I540" s="11" t="s">
        <v>1026</v>
      </c>
      <c r="J540" s="9">
        <f t="shared" si="198"/>
        <v>0</v>
      </c>
      <c r="K540" s="9">
        <f t="shared" si="215"/>
        <v>0</v>
      </c>
      <c r="L540" s="9">
        <f t="shared" si="199"/>
        <v>0</v>
      </c>
      <c r="M540" s="9">
        <f t="shared" si="200"/>
        <v>0</v>
      </c>
      <c r="N540" s="9">
        <f t="shared" si="201"/>
        <v>0</v>
      </c>
      <c r="O540" s="9">
        <f t="shared" si="202"/>
        <v>0</v>
      </c>
      <c r="P540" s="9">
        <f t="shared" si="203"/>
        <v>0</v>
      </c>
      <c r="Q540" s="9">
        <f t="shared" si="204"/>
        <v>0</v>
      </c>
      <c r="R540" s="9">
        <f t="shared" si="205"/>
        <v>0</v>
      </c>
      <c r="S540" s="9">
        <f t="shared" si="206"/>
        <v>0</v>
      </c>
      <c r="T540" s="9">
        <f t="shared" si="207"/>
        <v>1</v>
      </c>
      <c r="U540" s="9">
        <f t="shared" si="208"/>
        <v>0</v>
      </c>
      <c r="V540" s="9">
        <f t="shared" si="209"/>
        <v>0</v>
      </c>
      <c r="W540" s="9">
        <f t="shared" si="210"/>
        <v>0</v>
      </c>
      <c r="X540" s="9">
        <f t="shared" si="211"/>
        <v>0</v>
      </c>
      <c r="Y540" s="9">
        <f t="shared" si="212"/>
        <v>0</v>
      </c>
      <c r="Z540" s="9">
        <f t="shared" si="213"/>
        <v>0</v>
      </c>
      <c r="AA540" s="10">
        <f t="shared" si="214"/>
        <v>0</v>
      </c>
    </row>
    <row r="541" spans="1:27" x14ac:dyDescent="0.3">
      <c r="A541" s="18" t="s">
        <v>1302</v>
      </c>
      <c r="B541" s="4">
        <f t="shared" si="192"/>
        <v>1</v>
      </c>
      <c r="C541" s="4">
        <f t="shared" si="193"/>
        <v>0</v>
      </c>
      <c r="D541" s="4">
        <f t="shared" si="194"/>
        <v>0</v>
      </c>
      <c r="E541" s="4">
        <f t="shared" si="195"/>
        <v>0</v>
      </c>
      <c r="F541" s="4">
        <f t="shared" si="196"/>
        <v>0</v>
      </c>
      <c r="G541" s="4">
        <f t="shared" si="197"/>
        <v>0</v>
      </c>
      <c r="I541" s="8" t="s">
        <v>977</v>
      </c>
      <c r="J541" s="9">
        <f t="shared" si="198"/>
        <v>1</v>
      </c>
      <c r="K541" s="9">
        <f t="shared" si="215"/>
        <v>0</v>
      </c>
      <c r="L541" s="9">
        <f t="shared" si="199"/>
        <v>0</v>
      </c>
      <c r="M541" s="9">
        <f t="shared" si="200"/>
        <v>0</v>
      </c>
      <c r="N541" s="9">
        <f t="shared" si="201"/>
        <v>0</v>
      </c>
      <c r="O541" s="9">
        <f t="shared" si="202"/>
        <v>0</v>
      </c>
      <c r="P541" s="9">
        <f t="shared" si="203"/>
        <v>0</v>
      </c>
      <c r="Q541" s="9">
        <f t="shared" si="204"/>
        <v>0</v>
      </c>
      <c r="R541" s="9">
        <f t="shared" si="205"/>
        <v>0</v>
      </c>
      <c r="S541" s="9">
        <f t="shared" si="206"/>
        <v>0</v>
      </c>
      <c r="T541" s="9">
        <f t="shared" si="207"/>
        <v>0</v>
      </c>
      <c r="U541" s="9">
        <f t="shared" si="208"/>
        <v>0</v>
      </c>
      <c r="V541" s="9">
        <f t="shared" si="209"/>
        <v>0</v>
      </c>
      <c r="W541" s="9">
        <f t="shared" si="210"/>
        <v>0</v>
      </c>
      <c r="X541" s="9">
        <f t="shared" si="211"/>
        <v>0</v>
      </c>
      <c r="Y541" s="9">
        <f t="shared" si="212"/>
        <v>0</v>
      </c>
      <c r="Z541" s="9">
        <f t="shared" si="213"/>
        <v>0</v>
      </c>
      <c r="AA541" s="10">
        <f t="shared" si="214"/>
        <v>0</v>
      </c>
    </row>
    <row r="542" spans="1:27" x14ac:dyDescent="0.3">
      <c r="A542" s="4" t="s">
        <v>1302</v>
      </c>
      <c r="B542" s="4">
        <f t="shared" si="192"/>
        <v>1</v>
      </c>
      <c r="C542" s="4">
        <f t="shared" si="193"/>
        <v>0</v>
      </c>
      <c r="D542" s="4">
        <f t="shared" si="194"/>
        <v>0</v>
      </c>
      <c r="E542" s="4">
        <f t="shared" si="195"/>
        <v>0</v>
      </c>
      <c r="F542" s="4">
        <f t="shared" si="196"/>
        <v>0</v>
      </c>
      <c r="G542" s="4">
        <f t="shared" si="197"/>
        <v>0</v>
      </c>
      <c r="I542" s="11" t="s">
        <v>988</v>
      </c>
      <c r="J542" s="9">
        <f t="shared" si="198"/>
        <v>0</v>
      </c>
      <c r="K542" s="9">
        <f t="shared" si="215"/>
        <v>0</v>
      </c>
      <c r="L542" s="9">
        <f t="shared" si="199"/>
        <v>1</v>
      </c>
      <c r="M542" s="9">
        <f t="shared" si="200"/>
        <v>0</v>
      </c>
      <c r="N542" s="9">
        <f t="shared" si="201"/>
        <v>0</v>
      </c>
      <c r="O542" s="9">
        <f t="shared" si="202"/>
        <v>0</v>
      </c>
      <c r="P542" s="9">
        <f t="shared" si="203"/>
        <v>0</v>
      </c>
      <c r="Q542" s="9">
        <f t="shared" si="204"/>
        <v>0</v>
      </c>
      <c r="R542" s="9">
        <f t="shared" si="205"/>
        <v>0</v>
      </c>
      <c r="S542" s="9">
        <f t="shared" si="206"/>
        <v>0</v>
      </c>
      <c r="T542" s="9">
        <f t="shared" si="207"/>
        <v>0</v>
      </c>
      <c r="U542" s="9">
        <f t="shared" si="208"/>
        <v>0</v>
      </c>
      <c r="V542" s="9">
        <f t="shared" si="209"/>
        <v>0</v>
      </c>
      <c r="W542" s="9">
        <f t="shared" si="210"/>
        <v>0</v>
      </c>
      <c r="X542" s="9">
        <f t="shared" si="211"/>
        <v>0</v>
      </c>
      <c r="Y542" s="9">
        <f t="shared" si="212"/>
        <v>0</v>
      </c>
      <c r="Z542" s="9">
        <f t="shared" si="213"/>
        <v>0</v>
      </c>
      <c r="AA542" s="10">
        <f t="shared" si="214"/>
        <v>0</v>
      </c>
    </row>
    <row r="543" spans="1:27" x14ac:dyDescent="0.3">
      <c r="A543" s="18" t="s">
        <v>1303</v>
      </c>
      <c r="B543" s="4">
        <f t="shared" si="192"/>
        <v>0</v>
      </c>
      <c r="C543" s="4">
        <f t="shared" si="193"/>
        <v>0</v>
      </c>
      <c r="D543" s="4">
        <f t="shared" si="194"/>
        <v>0</v>
      </c>
      <c r="E543" s="4">
        <f t="shared" si="195"/>
        <v>0</v>
      </c>
      <c r="F543" s="4">
        <f t="shared" si="196"/>
        <v>1</v>
      </c>
      <c r="G543" s="4">
        <f t="shared" si="197"/>
        <v>0</v>
      </c>
      <c r="I543" s="8" t="s">
        <v>988</v>
      </c>
      <c r="J543" s="9">
        <f t="shared" si="198"/>
        <v>0</v>
      </c>
      <c r="K543" s="9">
        <f t="shared" si="215"/>
        <v>0</v>
      </c>
      <c r="L543" s="9">
        <f t="shared" si="199"/>
        <v>1</v>
      </c>
      <c r="M543" s="9">
        <f t="shared" si="200"/>
        <v>0</v>
      </c>
      <c r="N543" s="9">
        <f t="shared" si="201"/>
        <v>0</v>
      </c>
      <c r="O543" s="9">
        <f t="shared" si="202"/>
        <v>0</v>
      </c>
      <c r="P543" s="9">
        <f t="shared" si="203"/>
        <v>0</v>
      </c>
      <c r="Q543" s="9">
        <f t="shared" si="204"/>
        <v>0</v>
      </c>
      <c r="R543" s="9">
        <f t="shared" si="205"/>
        <v>0</v>
      </c>
      <c r="S543" s="9">
        <f t="shared" si="206"/>
        <v>0</v>
      </c>
      <c r="T543" s="9">
        <f t="shared" si="207"/>
        <v>0</v>
      </c>
      <c r="U543" s="9">
        <f t="shared" si="208"/>
        <v>0</v>
      </c>
      <c r="V543" s="9">
        <f t="shared" si="209"/>
        <v>0</v>
      </c>
      <c r="W543" s="9">
        <f t="shared" si="210"/>
        <v>0</v>
      </c>
      <c r="X543" s="9">
        <f t="shared" si="211"/>
        <v>0</v>
      </c>
      <c r="Y543" s="9">
        <f t="shared" si="212"/>
        <v>0</v>
      </c>
      <c r="Z543" s="9">
        <f t="shared" si="213"/>
        <v>0</v>
      </c>
      <c r="AA543" s="10">
        <f t="shared" si="214"/>
        <v>0</v>
      </c>
    </row>
    <row r="544" spans="1:27" x14ac:dyDescent="0.3">
      <c r="A544" s="4" t="s">
        <v>1305</v>
      </c>
      <c r="B544" s="4">
        <f t="shared" si="192"/>
        <v>0</v>
      </c>
      <c r="C544" s="4">
        <f t="shared" si="193"/>
        <v>0</v>
      </c>
      <c r="D544" s="4">
        <f t="shared" si="194"/>
        <v>0</v>
      </c>
      <c r="E544" s="4">
        <f t="shared" si="195"/>
        <v>0</v>
      </c>
      <c r="F544" s="4">
        <f t="shared" si="196"/>
        <v>0</v>
      </c>
      <c r="G544" s="4">
        <f t="shared" si="197"/>
        <v>1</v>
      </c>
      <c r="I544" s="11" t="s">
        <v>988</v>
      </c>
      <c r="J544" s="9">
        <f t="shared" si="198"/>
        <v>0</v>
      </c>
      <c r="K544" s="9">
        <f t="shared" si="215"/>
        <v>0</v>
      </c>
      <c r="L544" s="9">
        <f t="shared" si="199"/>
        <v>1</v>
      </c>
      <c r="M544" s="9">
        <f t="shared" si="200"/>
        <v>0</v>
      </c>
      <c r="N544" s="9">
        <f t="shared" si="201"/>
        <v>0</v>
      </c>
      <c r="O544" s="9">
        <f t="shared" si="202"/>
        <v>0</v>
      </c>
      <c r="P544" s="9">
        <f t="shared" si="203"/>
        <v>0</v>
      </c>
      <c r="Q544" s="9">
        <f t="shared" si="204"/>
        <v>0</v>
      </c>
      <c r="R544" s="9">
        <f t="shared" si="205"/>
        <v>0</v>
      </c>
      <c r="S544" s="9">
        <f t="shared" si="206"/>
        <v>0</v>
      </c>
      <c r="T544" s="9">
        <f t="shared" si="207"/>
        <v>0</v>
      </c>
      <c r="U544" s="9">
        <f t="shared" si="208"/>
        <v>0</v>
      </c>
      <c r="V544" s="9">
        <f t="shared" si="209"/>
        <v>0</v>
      </c>
      <c r="W544" s="9">
        <f t="shared" si="210"/>
        <v>0</v>
      </c>
      <c r="X544" s="9">
        <f t="shared" si="211"/>
        <v>0</v>
      </c>
      <c r="Y544" s="9">
        <f t="shared" si="212"/>
        <v>0</v>
      </c>
      <c r="Z544" s="9">
        <f t="shared" si="213"/>
        <v>0</v>
      </c>
      <c r="AA544" s="10">
        <f t="shared" si="214"/>
        <v>0</v>
      </c>
    </row>
    <row r="545" spans="1:27" x14ac:dyDescent="0.3">
      <c r="A545" s="18" t="s">
        <v>1302</v>
      </c>
      <c r="B545" s="4">
        <f t="shared" si="192"/>
        <v>1</v>
      </c>
      <c r="C545" s="4">
        <f t="shared" si="193"/>
        <v>0</v>
      </c>
      <c r="D545" s="4">
        <f t="shared" si="194"/>
        <v>0</v>
      </c>
      <c r="E545" s="4">
        <f t="shared" si="195"/>
        <v>0</v>
      </c>
      <c r="F545" s="4">
        <f t="shared" si="196"/>
        <v>0</v>
      </c>
      <c r="G545" s="4">
        <f t="shared" si="197"/>
        <v>0</v>
      </c>
      <c r="I545" s="8" t="s">
        <v>1294</v>
      </c>
      <c r="J545" s="9">
        <f t="shared" si="198"/>
        <v>0</v>
      </c>
      <c r="K545" s="9">
        <f t="shared" si="215"/>
        <v>0</v>
      </c>
      <c r="L545" s="9">
        <f t="shared" si="199"/>
        <v>0</v>
      </c>
      <c r="M545" s="9">
        <f t="shared" si="200"/>
        <v>0</v>
      </c>
      <c r="N545" s="9">
        <f t="shared" si="201"/>
        <v>0</v>
      </c>
      <c r="O545" s="9">
        <f t="shared" si="202"/>
        <v>0</v>
      </c>
      <c r="P545" s="9">
        <f t="shared" si="203"/>
        <v>0</v>
      </c>
      <c r="Q545" s="9">
        <f t="shared" si="204"/>
        <v>0</v>
      </c>
      <c r="R545" s="9">
        <f t="shared" si="205"/>
        <v>0</v>
      </c>
      <c r="S545" s="9">
        <f t="shared" si="206"/>
        <v>0</v>
      </c>
      <c r="T545" s="9">
        <f t="shared" si="207"/>
        <v>0</v>
      </c>
      <c r="U545" s="9">
        <f t="shared" si="208"/>
        <v>0</v>
      </c>
      <c r="V545" s="9">
        <f t="shared" si="209"/>
        <v>0</v>
      </c>
      <c r="W545" s="9">
        <f t="shared" si="210"/>
        <v>0</v>
      </c>
      <c r="X545" s="9">
        <f t="shared" si="211"/>
        <v>0</v>
      </c>
      <c r="Y545" s="9">
        <f t="shared" si="212"/>
        <v>0</v>
      </c>
      <c r="Z545" s="9">
        <f t="shared" si="213"/>
        <v>0</v>
      </c>
      <c r="AA545" s="10">
        <f t="shared" si="214"/>
        <v>0</v>
      </c>
    </row>
    <row r="546" spans="1:27" x14ac:dyDescent="0.3">
      <c r="A546" s="4" t="s">
        <v>1304</v>
      </c>
      <c r="B546" s="4">
        <f t="shared" si="192"/>
        <v>0</v>
      </c>
      <c r="C546" s="4">
        <f t="shared" si="193"/>
        <v>1</v>
      </c>
      <c r="D546" s="4">
        <f t="shared" si="194"/>
        <v>0</v>
      </c>
      <c r="E546" s="4">
        <f t="shared" si="195"/>
        <v>0</v>
      </c>
      <c r="F546" s="4">
        <f t="shared" si="196"/>
        <v>0</v>
      </c>
      <c r="G546" s="4">
        <f t="shared" si="197"/>
        <v>0</v>
      </c>
      <c r="I546" s="11" t="s">
        <v>988</v>
      </c>
      <c r="J546" s="9">
        <f t="shared" si="198"/>
        <v>0</v>
      </c>
      <c r="K546" s="9">
        <f t="shared" si="215"/>
        <v>0</v>
      </c>
      <c r="L546" s="9">
        <f t="shared" si="199"/>
        <v>1</v>
      </c>
      <c r="M546" s="9">
        <f t="shared" si="200"/>
        <v>0</v>
      </c>
      <c r="N546" s="9">
        <f t="shared" si="201"/>
        <v>0</v>
      </c>
      <c r="O546" s="9">
        <f t="shared" si="202"/>
        <v>0</v>
      </c>
      <c r="P546" s="9">
        <f t="shared" si="203"/>
        <v>0</v>
      </c>
      <c r="Q546" s="9">
        <f t="shared" si="204"/>
        <v>0</v>
      </c>
      <c r="R546" s="9">
        <f t="shared" si="205"/>
        <v>0</v>
      </c>
      <c r="S546" s="9">
        <f t="shared" si="206"/>
        <v>0</v>
      </c>
      <c r="T546" s="9">
        <f t="shared" si="207"/>
        <v>0</v>
      </c>
      <c r="U546" s="9">
        <f t="shared" si="208"/>
        <v>0</v>
      </c>
      <c r="V546" s="9">
        <f t="shared" si="209"/>
        <v>0</v>
      </c>
      <c r="W546" s="9">
        <f t="shared" si="210"/>
        <v>0</v>
      </c>
      <c r="X546" s="9">
        <f t="shared" si="211"/>
        <v>0</v>
      </c>
      <c r="Y546" s="9">
        <f t="shared" si="212"/>
        <v>0</v>
      </c>
      <c r="Z546" s="9">
        <f t="shared" si="213"/>
        <v>0</v>
      </c>
      <c r="AA546" s="10">
        <f t="shared" si="214"/>
        <v>0</v>
      </c>
    </row>
    <row r="547" spans="1:27" x14ac:dyDescent="0.3">
      <c r="A547" s="18" t="s">
        <v>1304</v>
      </c>
      <c r="B547" s="4">
        <f t="shared" si="192"/>
        <v>0</v>
      </c>
      <c r="C547" s="4">
        <f t="shared" si="193"/>
        <v>1</v>
      </c>
      <c r="D547" s="4">
        <f t="shared" si="194"/>
        <v>0</v>
      </c>
      <c r="E547" s="4">
        <f t="shared" si="195"/>
        <v>0</v>
      </c>
      <c r="F547" s="4">
        <f t="shared" si="196"/>
        <v>0</v>
      </c>
      <c r="G547" s="4">
        <f t="shared" si="197"/>
        <v>0</v>
      </c>
      <c r="I547" s="8" t="s">
        <v>1011</v>
      </c>
      <c r="J547" s="9">
        <f t="shared" si="198"/>
        <v>0</v>
      </c>
      <c r="K547" s="9">
        <f t="shared" si="215"/>
        <v>0</v>
      </c>
      <c r="L547" s="9">
        <f t="shared" si="199"/>
        <v>0</v>
      </c>
      <c r="M547" s="9">
        <f t="shared" si="200"/>
        <v>0</v>
      </c>
      <c r="N547" s="9">
        <f t="shared" si="201"/>
        <v>0</v>
      </c>
      <c r="O547" s="9">
        <f t="shared" si="202"/>
        <v>0</v>
      </c>
      <c r="P547" s="9">
        <f t="shared" si="203"/>
        <v>0</v>
      </c>
      <c r="Q547" s="9">
        <f t="shared" si="204"/>
        <v>0</v>
      </c>
      <c r="R547" s="9">
        <f t="shared" si="205"/>
        <v>0</v>
      </c>
      <c r="S547" s="9">
        <f t="shared" si="206"/>
        <v>1</v>
      </c>
      <c r="T547" s="9">
        <f t="shared" si="207"/>
        <v>0</v>
      </c>
      <c r="U547" s="9">
        <f t="shared" si="208"/>
        <v>0</v>
      </c>
      <c r="V547" s="9">
        <f t="shared" si="209"/>
        <v>0</v>
      </c>
      <c r="W547" s="9">
        <f t="shared" si="210"/>
        <v>0</v>
      </c>
      <c r="X547" s="9">
        <f t="shared" si="211"/>
        <v>0</v>
      </c>
      <c r="Y547" s="9">
        <f t="shared" si="212"/>
        <v>0</v>
      </c>
      <c r="Z547" s="9">
        <f t="shared" si="213"/>
        <v>0</v>
      </c>
      <c r="AA547" s="10">
        <f t="shared" si="214"/>
        <v>0</v>
      </c>
    </row>
    <row r="548" spans="1:27" x14ac:dyDescent="0.3">
      <c r="A548" s="4" t="s">
        <v>1302</v>
      </c>
      <c r="B548" s="4">
        <f t="shared" si="192"/>
        <v>1</v>
      </c>
      <c r="C548" s="4">
        <f t="shared" si="193"/>
        <v>0</v>
      </c>
      <c r="D548" s="4">
        <f t="shared" si="194"/>
        <v>0</v>
      </c>
      <c r="E548" s="4">
        <f t="shared" si="195"/>
        <v>0</v>
      </c>
      <c r="F548" s="4">
        <f t="shared" si="196"/>
        <v>0</v>
      </c>
      <c r="G548" s="4">
        <f t="shared" si="197"/>
        <v>0</v>
      </c>
      <c r="I548" s="11" t="s">
        <v>1026</v>
      </c>
      <c r="J548" s="9">
        <f t="shared" si="198"/>
        <v>0</v>
      </c>
      <c r="K548" s="9">
        <f t="shared" si="215"/>
        <v>0</v>
      </c>
      <c r="L548" s="9">
        <f t="shared" si="199"/>
        <v>0</v>
      </c>
      <c r="M548" s="9">
        <f t="shared" si="200"/>
        <v>0</v>
      </c>
      <c r="N548" s="9">
        <f t="shared" si="201"/>
        <v>0</v>
      </c>
      <c r="O548" s="9">
        <f t="shared" si="202"/>
        <v>0</v>
      </c>
      <c r="P548" s="9">
        <f t="shared" si="203"/>
        <v>0</v>
      </c>
      <c r="Q548" s="9">
        <f t="shared" si="204"/>
        <v>0</v>
      </c>
      <c r="R548" s="9">
        <f t="shared" si="205"/>
        <v>0</v>
      </c>
      <c r="S548" s="9">
        <f t="shared" si="206"/>
        <v>0</v>
      </c>
      <c r="T548" s="9">
        <f t="shared" si="207"/>
        <v>1</v>
      </c>
      <c r="U548" s="9">
        <f t="shared" si="208"/>
        <v>0</v>
      </c>
      <c r="V548" s="9">
        <f t="shared" si="209"/>
        <v>0</v>
      </c>
      <c r="W548" s="9">
        <f t="shared" si="210"/>
        <v>0</v>
      </c>
      <c r="X548" s="9">
        <f t="shared" si="211"/>
        <v>0</v>
      </c>
      <c r="Y548" s="9">
        <f t="shared" si="212"/>
        <v>0</v>
      </c>
      <c r="Z548" s="9">
        <f t="shared" si="213"/>
        <v>0</v>
      </c>
      <c r="AA548" s="10">
        <f t="shared" si="214"/>
        <v>0</v>
      </c>
    </row>
    <row r="549" spans="1:27" x14ac:dyDescent="0.3">
      <c r="A549" s="18" t="s">
        <v>1303</v>
      </c>
      <c r="B549" s="4">
        <f t="shared" si="192"/>
        <v>0</v>
      </c>
      <c r="C549" s="4">
        <f t="shared" si="193"/>
        <v>0</v>
      </c>
      <c r="D549" s="4">
        <f t="shared" si="194"/>
        <v>0</v>
      </c>
      <c r="E549" s="4">
        <f t="shared" si="195"/>
        <v>0</v>
      </c>
      <c r="F549" s="4">
        <f t="shared" si="196"/>
        <v>1</v>
      </c>
      <c r="G549" s="4">
        <f t="shared" si="197"/>
        <v>0</v>
      </c>
      <c r="I549" s="8" t="s">
        <v>988</v>
      </c>
      <c r="J549" s="9">
        <f t="shared" si="198"/>
        <v>0</v>
      </c>
      <c r="K549" s="9">
        <f t="shared" si="215"/>
        <v>0</v>
      </c>
      <c r="L549" s="9">
        <f t="shared" si="199"/>
        <v>1</v>
      </c>
      <c r="M549" s="9">
        <f t="shared" si="200"/>
        <v>0</v>
      </c>
      <c r="N549" s="9">
        <f t="shared" si="201"/>
        <v>0</v>
      </c>
      <c r="O549" s="9">
        <f t="shared" si="202"/>
        <v>0</v>
      </c>
      <c r="P549" s="9">
        <f t="shared" si="203"/>
        <v>0</v>
      </c>
      <c r="Q549" s="9">
        <f t="shared" si="204"/>
        <v>0</v>
      </c>
      <c r="R549" s="9">
        <f t="shared" si="205"/>
        <v>0</v>
      </c>
      <c r="S549" s="9">
        <f t="shared" si="206"/>
        <v>0</v>
      </c>
      <c r="T549" s="9">
        <f t="shared" si="207"/>
        <v>0</v>
      </c>
      <c r="U549" s="9">
        <f t="shared" si="208"/>
        <v>0</v>
      </c>
      <c r="V549" s="9">
        <f t="shared" si="209"/>
        <v>0</v>
      </c>
      <c r="W549" s="9">
        <f t="shared" si="210"/>
        <v>0</v>
      </c>
      <c r="X549" s="9">
        <f t="shared" si="211"/>
        <v>0</v>
      </c>
      <c r="Y549" s="9">
        <f t="shared" si="212"/>
        <v>0</v>
      </c>
      <c r="Z549" s="9">
        <f t="shared" si="213"/>
        <v>0</v>
      </c>
      <c r="AA549" s="10">
        <f t="shared" si="214"/>
        <v>0</v>
      </c>
    </row>
    <row r="550" spans="1:27" x14ac:dyDescent="0.3">
      <c r="A550" s="4" t="s">
        <v>1303</v>
      </c>
      <c r="B550" s="4">
        <f t="shared" si="192"/>
        <v>0</v>
      </c>
      <c r="C550" s="4">
        <f t="shared" si="193"/>
        <v>0</v>
      </c>
      <c r="D550" s="4">
        <f t="shared" si="194"/>
        <v>0</v>
      </c>
      <c r="E550" s="4">
        <f t="shared" si="195"/>
        <v>0</v>
      </c>
      <c r="F550" s="4">
        <f t="shared" si="196"/>
        <v>1</v>
      </c>
      <c r="G550" s="4">
        <f t="shared" si="197"/>
        <v>0</v>
      </c>
      <c r="I550" s="11" t="s">
        <v>1044</v>
      </c>
      <c r="J550" s="9">
        <f t="shared" si="198"/>
        <v>0</v>
      </c>
      <c r="K550" s="9">
        <f t="shared" si="215"/>
        <v>0</v>
      </c>
      <c r="L550" s="9">
        <f t="shared" si="199"/>
        <v>0</v>
      </c>
      <c r="M550" s="9">
        <f t="shared" si="200"/>
        <v>0</v>
      </c>
      <c r="N550" s="9">
        <f t="shared" si="201"/>
        <v>0</v>
      </c>
      <c r="O550" s="9">
        <f t="shared" si="202"/>
        <v>0</v>
      </c>
      <c r="P550" s="9">
        <f t="shared" si="203"/>
        <v>0</v>
      </c>
      <c r="Q550" s="9">
        <f t="shared" si="204"/>
        <v>0</v>
      </c>
      <c r="R550" s="9">
        <f t="shared" si="205"/>
        <v>0</v>
      </c>
      <c r="S550" s="9">
        <f t="shared" si="206"/>
        <v>0</v>
      </c>
      <c r="T550" s="9">
        <f t="shared" si="207"/>
        <v>0</v>
      </c>
      <c r="U550" s="9">
        <f t="shared" si="208"/>
        <v>1</v>
      </c>
      <c r="V550" s="9">
        <f t="shared" si="209"/>
        <v>0</v>
      </c>
      <c r="W550" s="9">
        <f t="shared" si="210"/>
        <v>0</v>
      </c>
      <c r="X550" s="9">
        <f t="shared" si="211"/>
        <v>0</v>
      </c>
      <c r="Y550" s="9">
        <f t="shared" si="212"/>
        <v>0</v>
      </c>
      <c r="Z550" s="9">
        <f t="shared" si="213"/>
        <v>0</v>
      </c>
      <c r="AA550" s="10">
        <f t="shared" si="214"/>
        <v>0</v>
      </c>
    </row>
    <row r="551" spans="1:27" x14ac:dyDescent="0.3">
      <c r="A551" s="18" t="s">
        <v>1294</v>
      </c>
      <c r="B551" s="4">
        <f t="shared" si="192"/>
        <v>0</v>
      </c>
      <c r="C551" s="4">
        <f t="shared" si="193"/>
        <v>0</v>
      </c>
      <c r="D551" s="4">
        <f t="shared" si="194"/>
        <v>0</v>
      </c>
      <c r="E551" s="4">
        <f t="shared" si="195"/>
        <v>0</v>
      </c>
      <c r="F551" s="4">
        <f t="shared" si="196"/>
        <v>0</v>
      </c>
      <c r="G551" s="4">
        <f t="shared" si="197"/>
        <v>0</v>
      </c>
      <c r="I551" s="8" t="s">
        <v>988</v>
      </c>
      <c r="J551" s="9">
        <f t="shared" si="198"/>
        <v>0</v>
      </c>
      <c r="K551" s="9">
        <f t="shared" si="215"/>
        <v>0</v>
      </c>
      <c r="L551" s="9">
        <f t="shared" si="199"/>
        <v>1</v>
      </c>
      <c r="M551" s="9">
        <f t="shared" si="200"/>
        <v>0</v>
      </c>
      <c r="N551" s="9">
        <f t="shared" si="201"/>
        <v>0</v>
      </c>
      <c r="O551" s="9">
        <f t="shared" si="202"/>
        <v>0</v>
      </c>
      <c r="P551" s="9">
        <f t="shared" si="203"/>
        <v>0</v>
      </c>
      <c r="Q551" s="9">
        <f t="shared" si="204"/>
        <v>0</v>
      </c>
      <c r="R551" s="9">
        <f t="shared" si="205"/>
        <v>0</v>
      </c>
      <c r="S551" s="9">
        <f t="shared" si="206"/>
        <v>0</v>
      </c>
      <c r="T551" s="9">
        <f t="shared" si="207"/>
        <v>0</v>
      </c>
      <c r="U551" s="9">
        <f t="shared" si="208"/>
        <v>0</v>
      </c>
      <c r="V551" s="9">
        <f t="shared" si="209"/>
        <v>0</v>
      </c>
      <c r="W551" s="9">
        <f t="shared" si="210"/>
        <v>0</v>
      </c>
      <c r="X551" s="9">
        <f t="shared" si="211"/>
        <v>0</v>
      </c>
      <c r="Y551" s="9">
        <f t="shared" si="212"/>
        <v>0</v>
      </c>
      <c r="Z551" s="9">
        <f t="shared" si="213"/>
        <v>0</v>
      </c>
      <c r="AA551" s="10">
        <f t="shared" si="214"/>
        <v>0</v>
      </c>
    </row>
    <row r="552" spans="1:27" x14ac:dyDescent="0.3">
      <c r="A552" s="4" t="s">
        <v>1294</v>
      </c>
      <c r="B552" s="4">
        <f t="shared" si="192"/>
        <v>0</v>
      </c>
      <c r="C552" s="4">
        <f t="shared" si="193"/>
        <v>0</v>
      </c>
      <c r="D552" s="4">
        <f t="shared" si="194"/>
        <v>0</v>
      </c>
      <c r="E552" s="4">
        <f t="shared" si="195"/>
        <v>0</v>
      </c>
      <c r="F552" s="4">
        <f t="shared" si="196"/>
        <v>0</v>
      </c>
      <c r="G552" s="4">
        <f t="shared" si="197"/>
        <v>0</v>
      </c>
      <c r="I552" s="11" t="s">
        <v>988</v>
      </c>
      <c r="J552" s="9">
        <f t="shared" si="198"/>
        <v>0</v>
      </c>
      <c r="K552" s="9">
        <f t="shared" si="215"/>
        <v>0</v>
      </c>
      <c r="L552" s="9">
        <f t="shared" si="199"/>
        <v>1</v>
      </c>
      <c r="M552" s="9">
        <f t="shared" si="200"/>
        <v>0</v>
      </c>
      <c r="N552" s="9">
        <f t="shared" si="201"/>
        <v>0</v>
      </c>
      <c r="O552" s="9">
        <f t="shared" si="202"/>
        <v>0</v>
      </c>
      <c r="P552" s="9">
        <f t="shared" si="203"/>
        <v>0</v>
      </c>
      <c r="Q552" s="9">
        <f t="shared" si="204"/>
        <v>0</v>
      </c>
      <c r="R552" s="9">
        <f t="shared" si="205"/>
        <v>0</v>
      </c>
      <c r="S552" s="9">
        <f t="shared" si="206"/>
        <v>0</v>
      </c>
      <c r="T552" s="9">
        <f t="shared" si="207"/>
        <v>0</v>
      </c>
      <c r="U552" s="9">
        <f t="shared" si="208"/>
        <v>0</v>
      </c>
      <c r="V552" s="9">
        <f t="shared" si="209"/>
        <v>0</v>
      </c>
      <c r="W552" s="9">
        <f t="shared" si="210"/>
        <v>0</v>
      </c>
      <c r="X552" s="9">
        <f t="shared" si="211"/>
        <v>0</v>
      </c>
      <c r="Y552" s="9">
        <f t="shared" si="212"/>
        <v>0</v>
      </c>
      <c r="Z552" s="9">
        <f t="shared" si="213"/>
        <v>0</v>
      </c>
      <c r="AA552" s="10">
        <f t="shared" si="214"/>
        <v>0</v>
      </c>
    </row>
    <row r="553" spans="1:27" x14ac:dyDescent="0.3">
      <c r="A553" s="18" t="s">
        <v>1303</v>
      </c>
      <c r="B553" s="4">
        <f t="shared" si="192"/>
        <v>0</v>
      </c>
      <c r="C553" s="4">
        <f t="shared" si="193"/>
        <v>0</v>
      </c>
      <c r="D553" s="4">
        <f t="shared" si="194"/>
        <v>0</v>
      </c>
      <c r="E553" s="4">
        <f t="shared" si="195"/>
        <v>0</v>
      </c>
      <c r="F553" s="4">
        <f t="shared" si="196"/>
        <v>1</v>
      </c>
      <c r="G553" s="4">
        <f t="shared" si="197"/>
        <v>0</v>
      </c>
      <c r="I553" s="8" t="s">
        <v>1011</v>
      </c>
      <c r="J553" s="9">
        <f t="shared" si="198"/>
        <v>0</v>
      </c>
      <c r="K553" s="9">
        <f t="shared" si="215"/>
        <v>0</v>
      </c>
      <c r="L553" s="9">
        <f t="shared" si="199"/>
        <v>0</v>
      </c>
      <c r="M553" s="9">
        <f t="shared" si="200"/>
        <v>0</v>
      </c>
      <c r="N553" s="9">
        <f t="shared" si="201"/>
        <v>0</v>
      </c>
      <c r="O553" s="9">
        <f t="shared" si="202"/>
        <v>0</v>
      </c>
      <c r="P553" s="9">
        <f t="shared" si="203"/>
        <v>0</v>
      </c>
      <c r="Q553" s="9">
        <f t="shared" si="204"/>
        <v>0</v>
      </c>
      <c r="R553" s="9">
        <f t="shared" si="205"/>
        <v>0</v>
      </c>
      <c r="S553" s="9">
        <f t="shared" si="206"/>
        <v>1</v>
      </c>
      <c r="T553" s="9">
        <f t="shared" si="207"/>
        <v>0</v>
      </c>
      <c r="U553" s="9">
        <f t="shared" si="208"/>
        <v>0</v>
      </c>
      <c r="V553" s="9">
        <f t="shared" si="209"/>
        <v>0</v>
      </c>
      <c r="W553" s="9">
        <f t="shared" si="210"/>
        <v>0</v>
      </c>
      <c r="X553" s="9">
        <f t="shared" si="211"/>
        <v>0</v>
      </c>
      <c r="Y553" s="9">
        <f t="shared" si="212"/>
        <v>0</v>
      </c>
      <c r="Z553" s="9">
        <f t="shared" si="213"/>
        <v>0</v>
      </c>
      <c r="AA553" s="10">
        <f t="shared" si="214"/>
        <v>0</v>
      </c>
    </row>
    <row r="554" spans="1:27" x14ac:dyDescent="0.3">
      <c r="A554" s="4" t="s">
        <v>1303</v>
      </c>
      <c r="B554" s="4">
        <f t="shared" si="192"/>
        <v>0</v>
      </c>
      <c r="C554" s="4">
        <f t="shared" si="193"/>
        <v>0</v>
      </c>
      <c r="D554" s="4">
        <f t="shared" si="194"/>
        <v>0</v>
      </c>
      <c r="E554" s="4">
        <f t="shared" si="195"/>
        <v>0</v>
      </c>
      <c r="F554" s="4">
        <f t="shared" si="196"/>
        <v>1</v>
      </c>
      <c r="G554" s="4">
        <f t="shared" si="197"/>
        <v>0</v>
      </c>
      <c r="I554" s="11" t="s">
        <v>1004</v>
      </c>
      <c r="J554" s="9">
        <f t="shared" si="198"/>
        <v>0</v>
      </c>
      <c r="K554" s="9">
        <f t="shared" si="215"/>
        <v>0</v>
      </c>
      <c r="L554" s="9">
        <f t="shared" si="199"/>
        <v>0</v>
      </c>
      <c r="M554" s="9">
        <f t="shared" si="200"/>
        <v>0</v>
      </c>
      <c r="N554" s="9">
        <f t="shared" si="201"/>
        <v>0</v>
      </c>
      <c r="O554" s="9">
        <f t="shared" si="202"/>
        <v>0</v>
      </c>
      <c r="P554" s="9">
        <f t="shared" si="203"/>
        <v>0</v>
      </c>
      <c r="Q554" s="9">
        <f t="shared" si="204"/>
        <v>0</v>
      </c>
      <c r="R554" s="9">
        <f t="shared" si="205"/>
        <v>1</v>
      </c>
      <c r="S554" s="9">
        <f t="shared" si="206"/>
        <v>0</v>
      </c>
      <c r="T554" s="9">
        <f t="shared" si="207"/>
        <v>0</v>
      </c>
      <c r="U554" s="9">
        <f t="shared" si="208"/>
        <v>0</v>
      </c>
      <c r="V554" s="9">
        <f t="shared" si="209"/>
        <v>0</v>
      </c>
      <c r="W554" s="9">
        <f t="shared" si="210"/>
        <v>0</v>
      </c>
      <c r="X554" s="9">
        <f t="shared" si="211"/>
        <v>0</v>
      </c>
      <c r="Y554" s="9">
        <f t="shared" si="212"/>
        <v>0</v>
      </c>
      <c r="Z554" s="9">
        <f t="shared" si="213"/>
        <v>0</v>
      </c>
      <c r="AA554" s="10">
        <f t="shared" si="214"/>
        <v>0</v>
      </c>
    </row>
    <row r="555" spans="1:27" x14ac:dyDescent="0.3">
      <c r="A555" s="18" t="s">
        <v>1302</v>
      </c>
      <c r="B555" s="4">
        <f t="shared" si="192"/>
        <v>1</v>
      </c>
      <c r="C555" s="4">
        <f t="shared" si="193"/>
        <v>0</v>
      </c>
      <c r="D555" s="4">
        <f t="shared" si="194"/>
        <v>0</v>
      </c>
      <c r="E555" s="4">
        <f t="shared" si="195"/>
        <v>0</v>
      </c>
      <c r="F555" s="4">
        <f t="shared" si="196"/>
        <v>0</v>
      </c>
      <c r="G555" s="4">
        <f t="shared" si="197"/>
        <v>0</v>
      </c>
      <c r="I555" s="8" t="s">
        <v>1044</v>
      </c>
      <c r="J555" s="9">
        <f t="shared" si="198"/>
        <v>0</v>
      </c>
      <c r="K555" s="9">
        <f t="shared" si="215"/>
        <v>0</v>
      </c>
      <c r="L555" s="9">
        <f t="shared" si="199"/>
        <v>0</v>
      </c>
      <c r="M555" s="9">
        <f t="shared" si="200"/>
        <v>0</v>
      </c>
      <c r="N555" s="9">
        <f t="shared" si="201"/>
        <v>0</v>
      </c>
      <c r="O555" s="9">
        <f t="shared" si="202"/>
        <v>0</v>
      </c>
      <c r="P555" s="9">
        <f t="shared" si="203"/>
        <v>0</v>
      </c>
      <c r="Q555" s="9">
        <f t="shared" si="204"/>
        <v>0</v>
      </c>
      <c r="R555" s="9">
        <f t="shared" si="205"/>
        <v>0</v>
      </c>
      <c r="S555" s="9">
        <f t="shared" si="206"/>
        <v>0</v>
      </c>
      <c r="T555" s="9">
        <f t="shared" si="207"/>
        <v>0</v>
      </c>
      <c r="U555" s="9">
        <f t="shared" si="208"/>
        <v>1</v>
      </c>
      <c r="V555" s="9">
        <f t="shared" si="209"/>
        <v>0</v>
      </c>
      <c r="W555" s="9">
        <f t="shared" si="210"/>
        <v>0</v>
      </c>
      <c r="X555" s="9">
        <f t="shared" si="211"/>
        <v>0</v>
      </c>
      <c r="Y555" s="9">
        <f t="shared" si="212"/>
        <v>0</v>
      </c>
      <c r="Z555" s="9">
        <f t="shared" si="213"/>
        <v>0</v>
      </c>
      <c r="AA555" s="10">
        <f t="shared" si="214"/>
        <v>0</v>
      </c>
    </row>
    <row r="556" spans="1:27" x14ac:dyDescent="0.3">
      <c r="A556" s="4" t="s">
        <v>1302</v>
      </c>
      <c r="B556" s="4">
        <f t="shared" si="192"/>
        <v>1</v>
      </c>
      <c r="C556" s="4">
        <f t="shared" si="193"/>
        <v>0</v>
      </c>
      <c r="D556" s="4">
        <f t="shared" si="194"/>
        <v>0</v>
      </c>
      <c r="E556" s="4">
        <f t="shared" si="195"/>
        <v>0</v>
      </c>
      <c r="F556" s="4">
        <f t="shared" si="196"/>
        <v>0</v>
      </c>
      <c r="G556" s="4">
        <f t="shared" si="197"/>
        <v>0</v>
      </c>
      <c r="I556" s="11" t="s">
        <v>988</v>
      </c>
      <c r="J556" s="9">
        <f t="shared" si="198"/>
        <v>0</v>
      </c>
      <c r="K556" s="9">
        <f t="shared" si="215"/>
        <v>0</v>
      </c>
      <c r="L556" s="9">
        <f t="shared" si="199"/>
        <v>1</v>
      </c>
      <c r="M556" s="9">
        <f t="shared" si="200"/>
        <v>0</v>
      </c>
      <c r="N556" s="9">
        <f t="shared" si="201"/>
        <v>0</v>
      </c>
      <c r="O556" s="9">
        <f t="shared" si="202"/>
        <v>0</v>
      </c>
      <c r="P556" s="9">
        <f t="shared" si="203"/>
        <v>0</v>
      </c>
      <c r="Q556" s="9">
        <f t="shared" si="204"/>
        <v>0</v>
      </c>
      <c r="R556" s="9">
        <f t="shared" si="205"/>
        <v>0</v>
      </c>
      <c r="S556" s="9">
        <f t="shared" si="206"/>
        <v>0</v>
      </c>
      <c r="T556" s="9">
        <f t="shared" si="207"/>
        <v>0</v>
      </c>
      <c r="U556" s="9">
        <f t="shared" si="208"/>
        <v>0</v>
      </c>
      <c r="V556" s="9">
        <f t="shared" si="209"/>
        <v>0</v>
      </c>
      <c r="W556" s="9">
        <f t="shared" si="210"/>
        <v>0</v>
      </c>
      <c r="X556" s="9">
        <f t="shared" si="211"/>
        <v>0</v>
      </c>
      <c r="Y556" s="9">
        <f t="shared" si="212"/>
        <v>0</v>
      </c>
      <c r="Z556" s="9">
        <f t="shared" si="213"/>
        <v>0</v>
      </c>
      <c r="AA556" s="10">
        <f t="shared" si="214"/>
        <v>0</v>
      </c>
    </row>
    <row r="557" spans="1:27" x14ac:dyDescent="0.3">
      <c r="A557" s="18" t="s">
        <v>1302</v>
      </c>
      <c r="B557" s="4">
        <f t="shared" si="192"/>
        <v>1</v>
      </c>
      <c r="C557" s="4">
        <f t="shared" si="193"/>
        <v>0</v>
      </c>
      <c r="D557" s="4">
        <f t="shared" si="194"/>
        <v>0</v>
      </c>
      <c r="E557" s="4">
        <f t="shared" si="195"/>
        <v>0</v>
      </c>
      <c r="F557" s="4">
        <f t="shared" si="196"/>
        <v>0</v>
      </c>
      <c r="G557" s="4">
        <f t="shared" si="197"/>
        <v>0</v>
      </c>
      <c r="I557" s="8" t="s">
        <v>988</v>
      </c>
      <c r="J557" s="9">
        <f t="shared" si="198"/>
        <v>0</v>
      </c>
      <c r="K557" s="9">
        <f t="shared" si="215"/>
        <v>0</v>
      </c>
      <c r="L557" s="9">
        <f t="shared" si="199"/>
        <v>1</v>
      </c>
      <c r="M557" s="9">
        <f t="shared" si="200"/>
        <v>0</v>
      </c>
      <c r="N557" s="9">
        <f t="shared" si="201"/>
        <v>0</v>
      </c>
      <c r="O557" s="9">
        <f t="shared" si="202"/>
        <v>0</v>
      </c>
      <c r="P557" s="9">
        <f t="shared" si="203"/>
        <v>0</v>
      </c>
      <c r="Q557" s="9">
        <f t="shared" si="204"/>
        <v>0</v>
      </c>
      <c r="R557" s="9">
        <f t="shared" si="205"/>
        <v>0</v>
      </c>
      <c r="S557" s="9">
        <f t="shared" si="206"/>
        <v>0</v>
      </c>
      <c r="T557" s="9">
        <f t="shared" si="207"/>
        <v>0</v>
      </c>
      <c r="U557" s="9">
        <f t="shared" si="208"/>
        <v>0</v>
      </c>
      <c r="V557" s="9">
        <f t="shared" si="209"/>
        <v>0</v>
      </c>
      <c r="W557" s="9">
        <f t="shared" si="210"/>
        <v>0</v>
      </c>
      <c r="X557" s="9">
        <f t="shared" si="211"/>
        <v>0</v>
      </c>
      <c r="Y557" s="9">
        <f t="shared" si="212"/>
        <v>0</v>
      </c>
      <c r="Z557" s="9">
        <f t="shared" si="213"/>
        <v>0</v>
      </c>
      <c r="AA557" s="10">
        <f t="shared" si="214"/>
        <v>0</v>
      </c>
    </row>
    <row r="558" spans="1:27" x14ac:dyDescent="0.3">
      <c r="A558" s="4" t="s">
        <v>1302</v>
      </c>
      <c r="B558" s="4">
        <f t="shared" si="192"/>
        <v>1</v>
      </c>
      <c r="C558" s="4">
        <f t="shared" si="193"/>
        <v>0</v>
      </c>
      <c r="D558" s="4">
        <f t="shared" si="194"/>
        <v>0</v>
      </c>
      <c r="E558" s="4">
        <f t="shared" si="195"/>
        <v>0</v>
      </c>
      <c r="F558" s="4">
        <f t="shared" si="196"/>
        <v>0</v>
      </c>
      <c r="G558" s="4">
        <f t="shared" si="197"/>
        <v>0</v>
      </c>
      <c r="I558" s="11" t="s">
        <v>988</v>
      </c>
      <c r="J558" s="9">
        <f t="shared" si="198"/>
        <v>0</v>
      </c>
      <c r="K558" s="9">
        <f t="shared" si="215"/>
        <v>0</v>
      </c>
      <c r="L558" s="9">
        <f t="shared" si="199"/>
        <v>1</v>
      </c>
      <c r="M558" s="9">
        <f t="shared" si="200"/>
        <v>0</v>
      </c>
      <c r="N558" s="9">
        <f t="shared" si="201"/>
        <v>0</v>
      </c>
      <c r="O558" s="9">
        <f t="shared" si="202"/>
        <v>0</v>
      </c>
      <c r="P558" s="9">
        <f t="shared" si="203"/>
        <v>0</v>
      </c>
      <c r="Q558" s="9">
        <f t="shared" si="204"/>
        <v>0</v>
      </c>
      <c r="R558" s="9">
        <f t="shared" si="205"/>
        <v>0</v>
      </c>
      <c r="S558" s="9">
        <f t="shared" si="206"/>
        <v>0</v>
      </c>
      <c r="T558" s="9">
        <f t="shared" si="207"/>
        <v>0</v>
      </c>
      <c r="U558" s="9">
        <f t="shared" si="208"/>
        <v>0</v>
      </c>
      <c r="V558" s="9">
        <f t="shared" si="209"/>
        <v>0</v>
      </c>
      <c r="W558" s="9">
        <f t="shared" si="210"/>
        <v>0</v>
      </c>
      <c r="X558" s="9">
        <f t="shared" si="211"/>
        <v>0</v>
      </c>
      <c r="Y558" s="9">
        <f t="shared" si="212"/>
        <v>0</v>
      </c>
      <c r="Z558" s="9">
        <f t="shared" si="213"/>
        <v>0</v>
      </c>
      <c r="AA558" s="10">
        <f t="shared" si="214"/>
        <v>0</v>
      </c>
    </row>
    <row r="559" spans="1:27" x14ac:dyDescent="0.3">
      <c r="A559" s="18" t="s">
        <v>1303</v>
      </c>
      <c r="B559" s="4">
        <f t="shared" si="192"/>
        <v>0</v>
      </c>
      <c r="C559" s="4">
        <f t="shared" si="193"/>
        <v>0</v>
      </c>
      <c r="D559" s="4">
        <f t="shared" si="194"/>
        <v>0</v>
      </c>
      <c r="E559" s="4">
        <f t="shared" si="195"/>
        <v>0</v>
      </c>
      <c r="F559" s="4">
        <f t="shared" si="196"/>
        <v>1</v>
      </c>
      <c r="G559" s="4">
        <f t="shared" si="197"/>
        <v>0</v>
      </c>
      <c r="I559" s="8" t="s">
        <v>977</v>
      </c>
      <c r="J559" s="9">
        <f t="shared" si="198"/>
        <v>1</v>
      </c>
      <c r="K559" s="9">
        <f t="shared" si="215"/>
        <v>0</v>
      </c>
      <c r="L559" s="9">
        <f t="shared" si="199"/>
        <v>0</v>
      </c>
      <c r="M559" s="9">
        <f t="shared" si="200"/>
        <v>0</v>
      </c>
      <c r="N559" s="9">
        <f t="shared" si="201"/>
        <v>0</v>
      </c>
      <c r="O559" s="9">
        <f t="shared" si="202"/>
        <v>0</v>
      </c>
      <c r="P559" s="9">
        <f t="shared" si="203"/>
        <v>0</v>
      </c>
      <c r="Q559" s="9">
        <f t="shared" si="204"/>
        <v>0</v>
      </c>
      <c r="R559" s="9">
        <f t="shared" si="205"/>
        <v>0</v>
      </c>
      <c r="S559" s="9">
        <f t="shared" si="206"/>
        <v>0</v>
      </c>
      <c r="T559" s="9">
        <f t="shared" si="207"/>
        <v>0</v>
      </c>
      <c r="U559" s="9">
        <f t="shared" si="208"/>
        <v>0</v>
      </c>
      <c r="V559" s="9">
        <f t="shared" si="209"/>
        <v>0</v>
      </c>
      <c r="W559" s="9">
        <f t="shared" si="210"/>
        <v>0</v>
      </c>
      <c r="X559" s="9">
        <f t="shared" si="211"/>
        <v>0</v>
      </c>
      <c r="Y559" s="9">
        <f t="shared" si="212"/>
        <v>0</v>
      </c>
      <c r="Z559" s="9">
        <f t="shared" si="213"/>
        <v>0</v>
      </c>
      <c r="AA559" s="10">
        <f t="shared" si="214"/>
        <v>0</v>
      </c>
    </row>
    <row r="560" spans="1:27" x14ac:dyDescent="0.3">
      <c r="A560" s="4" t="s">
        <v>1303</v>
      </c>
      <c r="B560" s="4">
        <f t="shared" si="192"/>
        <v>0</v>
      </c>
      <c r="C560" s="4">
        <f t="shared" si="193"/>
        <v>0</v>
      </c>
      <c r="D560" s="4">
        <f t="shared" si="194"/>
        <v>0</v>
      </c>
      <c r="E560" s="4">
        <f t="shared" si="195"/>
        <v>0</v>
      </c>
      <c r="F560" s="4">
        <f t="shared" si="196"/>
        <v>1</v>
      </c>
      <c r="G560" s="4">
        <f t="shared" si="197"/>
        <v>0</v>
      </c>
      <c r="I560" s="11" t="s">
        <v>996</v>
      </c>
      <c r="J560" s="9">
        <f t="shared" si="198"/>
        <v>0</v>
      </c>
      <c r="K560" s="9">
        <f t="shared" si="215"/>
        <v>0</v>
      </c>
      <c r="L560" s="9">
        <f t="shared" si="199"/>
        <v>0</v>
      </c>
      <c r="M560" s="9">
        <f t="shared" si="200"/>
        <v>0</v>
      </c>
      <c r="N560" s="9">
        <f t="shared" si="201"/>
        <v>0</v>
      </c>
      <c r="O560" s="9">
        <f t="shared" si="202"/>
        <v>0</v>
      </c>
      <c r="P560" s="9">
        <f t="shared" si="203"/>
        <v>0</v>
      </c>
      <c r="Q560" s="9">
        <f t="shared" si="204"/>
        <v>1</v>
      </c>
      <c r="R560" s="9">
        <f t="shared" si="205"/>
        <v>0</v>
      </c>
      <c r="S560" s="9">
        <f t="shared" si="206"/>
        <v>0</v>
      </c>
      <c r="T560" s="9">
        <f t="shared" si="207"/>
        <v>0</v>
      </c>
      <c r="U560" s="9">
        <f t="shared" si="208"/>
        <v>0</v>
      </c>
      <c r="V560" s="9">
        <f t="shared" si="209"/>
        <v>0</v>
      </c>
      <c r="W560" s="9">
        <f t="shared" si="210"/>
        <v>0</v>
      </c>
      <c r="X560" s="9">
        <f t="shared" si="211"/>
        <v>0</v>
      </c>
      <c r="Y560" s="9">
        <f t="shared" si="212"/>
        <v>0</v>
      </c>
      <c r="Z560" s="9">
        <f t="shared" si="213"/>
        <v>0</v>
      </c>
      <c r="AA560" s="10">
        <f t="shared" si="214"/>
        <v>0</v>
      </c>
    </row>
    <row r="561" spans="1:27" x14ac:dyDescent="0.3">
      <c r="A561" s="18" t="s">
        <v>1303</v>
      </c>
      <c r="B561" s="4">
        <f t="shared" si="192"/>
        <v>0</v>
      </c>
      <c r="C561" s="4">
        <f t="shared" si="193"/>
        <v>0</v>
      </c>
      <c r="D561" s="4">
        <f t="shared" si="194"/>
        <v>0</v>
      </c>
      <c r="E561" s="4">
        <f t="shared" si="195"/>
        <v>0</v>
      </c>
      <c r="F561" s="4">
        <f t="shared" si="196"/>
        <v>1</v>
      </c>
      <c r="G561" s="4">
        <f t="shared" si="197"/>
        <v>0</v>
      </c>
      <c r="I561" s="8" t="s">
        <v>988</v>
      </c>
      <c r="J561" s="9">
        <f t="shared" si="198"/>
        <v>0</v>
      </c>
      <c r="K561" s="9">
        <f t="shared" si="215"/>
        <v>0</v>
      </c>
      <c r="L561" s="9">
        <f t="shared" si="199"/>
        <v>1</v>
      </c>
      <c r="M561" s="9">
        <f t="shared" si="200"/>
        <v>0</v>
      </c>
      <c r="N561" s="9">
        <f t="shared" si="201"/>
        <v>0</v>
      </c>
      <c r="O561" s="9">
        <f t="shared" si="202"/>
        <v>0</v>
      </c>
      <c r="P561" s="9">
        <f t="shared" si="203"/>
        <v>0</v>
      </c>
      <c r="Q561" s="9">
        <f t="shared" si="204"/>
        <v>0</v>
      </c>
      <c r="R561" s="9">
        <f t="shared" si="205"/>
        <v>0</v>
      </c>
      <c r="S561" s="9">
        <f t="shared" si="206"/>
        <v>0</v>
      </c>
      <c r="T561" s="9">
        <f t="shared" si="207"/>
        <v>0</v>
      </c>
      <c r="U561" s="9">
        <f t="shared" si="208"/>
        <v>0</v>
      </c>
      <c r="V561" s="9">
        <f t="shared" si="209"/>
        <v>0</v>
      </c>
      <c r="W561" s="9">
        <f t="shared" si="210"/>
        <v>0</v>
      </c>
      <c r="X561" s="9">
        <f t="shared" si="211"/>
        <v>0</v>
      </c>
      <c r="Y561" s="9">
        <f t="shared" si="212"/>
        <v>0</v>
      </c>
      <c r="Z561" s="9">
        <f t="shared" si="213"/>
        <v>0</v>
      </c>
      <c r="AA561" s="10">
        <f t="shared" si="214"/>
        <v>0</v>
      </c>
    </row>
    <row r="562" spans="1:27" x14ac:dyDescent="0.3">
      <c r="A562" s="4" t="s">
        <v>1303</v>
      </c>
      <c r="B562" s="4">
        <f t="shared" si="192"/>
        <v>0</v>
      </c>
      <c r="C562" s="4">
        <f t="shared" si="193"/>
        <v>0</v>
      </c>
      <c r="D562" s="4">
        <f t="shared" si="194"/>
        <v>0</v>
      </c>
      <c r="E562" s="4">
        <f t="shared" si="195"/>
        <v>0</v>
      </c>
      <c r="F562" s="4">
        <f t="shared" si="196"/>
        <v>1</v>
      </c>
      <c r="G562" s="4">
        <f t="shared" si="197"/>
        <v>0</v>
      </c>
      <c r="I562" s="11" t="s">
        <v>977</v>
      </c>
      <c r="J562" s="9">
        <f t="shared" si="198"/>
        <v>1</v>
      </c>
      <c r="K562" s="9">
        <f t="shared" si="215"/>
        <v>0</v>
      </c>
      <c r="L562" s="9">
        <f t="shared" si="199"/>
        <v>0</v>
      </c>
      <c r="M562" s="9">
        <f t="shared" si="200"/>
        <v>0</v>
      </c>
      <c r="N562" s="9">
        <f t="shared" si="201"/>
        <v>0</v>
      </c>
      <c r="O562" s="9">
        <f t="shared" si="202"/>
        <v>0</v>
      </c>
      <c r="P562" s="9">
        <f t="shared" si="203"/>
        <v>0</v>
      </c>
      <c r="Q562" s="9">
        <f t="shared" si="204"/>
        <v>0</v>
      </c>
      <c r="R562" s="9">
        <f t="shared" si="205"/>
        <v>0</v>
      </c>
      <c r="S562" s="9">
        <f t="shared" si="206"/>
        <v>0</v>
      </c>
      <c r="T562" s="9">
        <f t="shared" si="207"/>
        <v>0</v>
      </c>
      <c r="U562" s="9">
        <f t="shared" si="208"/>
        <v>0</v>
      </c>
      <c r="V562" s="9">
        <f t="shared" si="209"/>
        <v>0</v>
      </c>
      <c r="W562" s="9">
        <f t="shared" si="210"/>
        <v>0</v>
      </c>
      <c r="X562" s="9">
        <f t="shared" si="211"/>
        <v>0</v>
      </c>
      <c r="Y562" s="9">
        <f t="shared" si="212"/>
        <v>0</v>
      </c>
      <c r="Z562" s="9">
        <f t="shared" si="213"/>
        <v>0</v>
      </c>
      <c r="AA562" s="10">
        <f t="shared" si="214"/>
        <v>0</v>
      </c>
    </row>
    <row r="563" spans="1:27" x14ac:dyDescent="0.3">
      <c r="A563" s="18" t="s">
        <v>1303</v>
      </c>
      <c r="B563" s="4">
        <f t="shared" si="192"/>
        <v>0</v>
      </c>
      <c r="C563" s="4">
        <f t="shared" si="193"/>
        <v>0</v>
      </c>
      <c r="D563" s="4">
        <f t="shared" si="194"/>
        <v>0</v>
      </c>
      <c r="E563" s="4">
        <f t="shared" si="195"/>
        <v>0</v>
      </c>
      <c r="F563" s="4">
        <f t="shared" si="196"/>
        <v>1</v>
      </c>
      <c r="G563" s="4">
        <f t="shared" si="197"/>
        <v>0</v>
      </c>
      <c r="I563" s="8" t="s">
        <v>977</v>
      </c>
      <c r="J563" s="9">
        <f t="shared" si="198"/>
        <v>1</v>
      </c>
      <c r="K563" s="9">
        <f t="shared" si="215"/>
        <v>0</v>
      </c>
      <c r="L563" s="9">
        <f t="shared" si="199"/>
        <v>0</v>
      </c>
      <c r="M563" s="9">
        <f t="shared" si="200"/>
        <v>0</v>
      </c>
      <c r="N563" s="9">
        <f t="shared" si="201"/>
        <v>0</v>
      </c>
      <c r="O563" s="9">
        <f t="shared" si="202"/>
        <v>0</v>
      </c>
      <c r="P563" s="9">
        <f t="shared" si="203"/>
        <v>0</v>
      </c>
      <c r="Q563" s="9">
        <f t="shared" si="204"/>
        <v>0</v>
      </c>
      <c r="R563" s="9">
        <f t="shared" si="205"/>
        <v>0</v>
      </c>
      <c r="S563" s="9">
        <f t="shared" si="206"/>
        <v>0</v>
      </c>
      <c r="T563" s="9">
        <f t="shared" si="207"/>
        <v>0</v>
      </c>
      <c r="U563" s="9">
        <f t="shared" si="208"/>
        <v>0</v>
      </c>
      <c r="V563" s="9">
        <f t="shared" si="209"/>
        <v>0</v>
      </c>
      <c r="W563" s="9">
        <f t="shared" si="210"/>
        <v>0</v>
      </c>
      <c r="X563" s="9">
        <f t="shared" si="211"/>
        <v>0</v>
      </c>
      <c r="Y563" s="9">
        <f t="shared" si="212"/>
        <v>0</v>
      </c>
      <c r="Z563" s="9">
        <f t="shared" si="213"/>
        <v>0</v>
      </c>
      <c r="AA563" s="10">
        <f t="shared" si="214"/>
        <v>0</v>
      </c>
    </row>
    <row r="564" spans="1:27" x14ac:dyDescent="0.3">
      <c r="A564" s="4" t="s">
        <v>1304</v>
      </c>
      <c r="B564" s="4">
        <f t="shared" si="192"/>
        <v>0</v>
      </c>
      <c r="C564" s="4">
        <f t="shared" si="193"/>
        <v>1</v>
      </c>
      <c r="D564" s="4">
        <f t="shared" si="194"/>
        <v>0</v>
      </c>
      <c r="E564" s="4">
        <f t="shared" si="195"/>
        <v>0</v>
      </c>
      <c r="F564" s="4">
        <f t="shared" si="196"/>
        <v>0</v>
      </c>
      <c r="G564" s="4">
        <f t="shared" si="197"/>
        <v>0</v>
      </c>
      <c r="I564" s="11" t="s">
        <v>977</v>
      </c>
      <c r="J564" s="9">
        <f t="shared" si="198"/>
        <v>1</v>
      </c>
      <c r="K564" s="9">
        <f t="shared" si="215"/>
        <v>0</v>
      </c>
      <c r="L564" s="9">
        <f t="shared" si="199"/>
        <v>0</v>
      </c>
      <c r="M564" s="9">
        <f t="shared" si="200"/>
        <v>0</v>
      </c>
      <c r="N564" s="9">
        <f t="shared" si="201"/>
        <v>0</v>
      </c>
      <c r="O564" s="9">
        <f t="shared" si="202"/>
        <v>0</v>
      </c>
      <c r="P564" s="9">
        <f t="shared" si="203"/>
        <v>0</v>
      </c>
      <c r="Q564" s="9">
        <f t="shared" si="204"/>
        <v>0</v>
      </c>
      <c r="R564" s="9">
        <f t="shared" si="205"/>
        <v>0</v>
      </c>
      <c r="S564" s="9">
        <f t="shared" si="206"/>
        <v>0</v>
      </c>
      <c r="T564" s="9">
        <f t="shared" si="207"/>
        <v>0</v>
      </c>
      <c r="U564" s="9">
        <f t="shared" si="208"/>
        <v>0</v>
      </c>
      <c r="V564" s="9">
        <f t="shared" si="209"/>
        <v>0</v>
      </c>
      <c r="W564" s="9">
        <f t="shared" si="210"/>
        <v>0</v>
      </c>
      <c r="X564" s="9">
        <f t="shared" si="211"/>
        <v>0</v>
      </c>
      <c r="Y564" s="9">
        <f t="shared" si="212"/>
        <v>0</v>
      </c>
      <c r="Z564" s="9">
        <f t="shared" si="213"/>
        <v>0</v>
      </c>
      <c r="AA564" s="10">
        <f t="shared" si="214"/>
        <v>0</v>
      </c>
    </row>
    <row r="565" spans="1:27" x14ac:dyDescent="0.3">
      <c r="A565" s="18" t="s">
        <v>1304</v>
      </c>
      <c r="B565" s="4">
        <f t="shared" si="192"/>
        <v>0</v>
      </c>
      <c r="C565" s="4">
        <f t="shared" si="193"/>
        <v>1</v>
      </c>
      <c r="D565" s="4">
        <f t="shared" si="194"/>
        <v>0</v>
      </c>
      <c r="E565" s="4">
        <f t="shared" si="195"/>
        <v>0</v>
      </c>
      <c r="F565" s="4">
        <f t="shared" si="196"/>
        <v>0</v>
      </c>
      <c r="G565" s="4">
        <f t="shared" si="197"/>
        <v>0</v>
      </c>
      <c r="I565" s="8" t="s">
        <v>996</v>
      </c>
      <c r="J565" s="9">
        <f t="shared" si="198"/>
        <v>0</v>
      </c>
      <c r="K565" s="9">
        <f t="shared" si="215"/>
        <v>0</v>
      </c>
      <c r="L565" s="9">
        <f t="shared" si="199"/>
        <v>0</v>
      </c>
      <c r="M565" s="9">
        <f t="shared" si="200"/>
        <v>0</v>
      </c>
      <c r="N565" s="9">
        <f t="shared" si="201"/>
        <v>0</v>
      </c>
      <c r="O565" s="9">
        <f t="shared" si="202"/>
        <v>0</v>
      </c>
      <c r="P565" s="9">
        <f t="shared" si="203"/>
        <v>0</v>
      </c>
      <c r="Q565" s="9">
        <f t="shared" si="204"/>
        <v>1</v>
      </c>
      <c r="R565" s="9">
        <f t="shared" si="205"/>
        <v>0</v>
      </c>
      <c r="S565" s="9">
        <f t="shared" si="206"/>
        <v>0</v>
      </c>
      <c r="T565" s="9">
        <f t="shared" si="207"/>
        <v>0</v>
      </c>
      <c r="U565" s="9">
        <f t="shared" si="208"/>
        <v>0</v>
      </c>
      <c r="V565" s="9">
        <f t="shared" si="209"/>
        <v>0</v>
      </c>
      <c r="W565" s="9">
        <f t="shared" si="210"/>
        <v>0</v>
      </c>
      <c r="X565" s="9">
        <f t="shared" si="211"/>
        <v>0</v>
      </c>
      <c r="Y565" s="9">
        <f t="shared" si="212"/>
        <v>0</v>
      </c>
      <c r="Z565" s="9">
        <f t="shared" si="213"/>
        <v>0</v>
      </c>
      <c r="AA565" s="10">
        <f t="shared" si="214"/>
        <v>0</v>
      </c>
    </row>
    <row r="566" spans="1:27" x14ac:dyDescent="0.3">
      <c r="A566" s="4" t="s">
        <v>1304</v>
      </c>
      <c r="B566" s="4">
        <f t="shared" si="192"/>
        <v>0</v>
      </c>
      <c r="C566" s="4">
        <f t="shared" si="193"/>
        <v>1</v>
      </c>
      <c r="D566" s="4">
        <f t="shared" si="194"/>
        <v>0</v>
      </c>
      <c r="E566" s="4">
        <f t="shared" si="195"/>
        <v>0</v>
      </c>
      <c r="F566" s="4">
        <f t="shared" si="196"/>
        <v>0</v>
      </c>
      <c r="G566" s="4">
        <f t="shared" si="197"/>
        <v>0</v>
      </c>
      <c r="I566" s="11" t="s">
        <v>977</v>
      </c>
      <c r="J566" s="9">
        <f t="shared" si="198"/>
        <v>1</v>
      </c>
      <c r="K566" s="9">
        <f t="shared" si="215"/>
        <v>0</v>
      </c>
      <c r="L566" s="9">
        <f t="shared" si="199"/>
        <v>0</v>
      </c>
      <c r="M566" s="9">
        <f t="shared" si="200"/>
        <v>0</v>
      </c>
      <c r="N566" s="9">
        <f t="shared" si="201"/>
        <v>0</v>
      </c>
      <c r="O566" s="9">
        <f t="shared" si="202"/>
        <v>0</v>
      </c>
      <c r="P566" s="9">
        <f t="shared" si="203"/>
        <v>0</v>
      </c>
      <c r="Q566" s="9">
        <f t="shared" si="204"/>
        <v>0</v>
      </c>
      <c r="R566" s="9">
        <f t="shared" si="205"/>
        <v>0</v>
      </c>
      <c r="S566" s="9">
        <f t="shared" si="206"/>
        <v>0</v>
      </c>
      <c r="T566" s="9">
        <f t="shared" si="207"/>
        <v>0</v>
      </c>
      <c r="U566" s="9">
        <f t="shared" si="208"/>
        <v>0</v>
      </c>
      <c r="V566" s="9">
        <f t="shared" si="209"/>
        <v>0</v>
      </c>
      <c r="W566" s="9">
        <f t="shared" si="210"/>
        <v>0</v>
      </c>
      <c r="X566" s="9">
        <f t="shared" si="211"/>
        <v>0</v>
      </c>
      <c r="Y566" s="9">
        <f t="shared" si="212"/>
        <v>0</v>
      </c>
      <c r="Z566" s="9">
        <f t="shared" si="213"/>
        <v>0</v>
      </c>
      <c r="AA566" s="10">
        <f t="shared" si="214"/>
        <v>0</v>
      </c>
    </row>
    <row r="567" spans="1:27" x14ac:dyDescent="0.3">
      <c r="A567" s="18" t="s">
        <v>1294</v>
      </c>
      <c r="B567" s="4">
        <f t="shared" si="192"/>
        <v>0</v>
      </c>
      <c r="C567" s="4">
        <f t="shared" si="193"/>
        <v>0</v>
      </c>
      <c r="D567" s="4">
        <f t="shared" si="194"/>
        <v>0</v>
      </c>
      <c r="E567" s="4">
        <f t="shared" si="195"/>
        <v>0</v>
      </c>
      <c r="F567" s="4">
        <f t="shared" si="196"/>
        <v>0</v>
      </c>
      <c r="G567" s="4">
        <f t="shared" si="197"/>
        <v>0</v>
      </c>
      <c r="I567" s="8" t="s">
        <v>994</v>
      </c>
      <c r="J567" s="9">
        <f t="shared" si="198"/>
        <v>0</v>
      </c>
      <c r="K567" s="9">
        <f t="shared" si="215"/>
        <v>0</v>
      </c>
      <c r="L567" s="9">
        <f t="shared" si="199"/>
        <v>0</v>
      </c>
      <c r="M567" s="9">
        <f t="shared" si="200"/>
        <v>0</v>
      </c>
      <c r="N567" s="9">
        <f t="shared" si="201"/>
        <v>0</v>
      </c>
      <c r="O567" s="9">
        <f t="shared" si="202"/>
        <v>0</v>
      </c>
      <c r="P567" s="9">
        <f t="shared" si="203"/>
        <v>1</v>
      </c>
      <c r="Q567" s="9">
        <f t="shared" si="204"/>
        <v>0</v>
      </c>
      <c r="R567" s="9">
        <f t="shared" si="205"/>
        <v>0</v>
      </c>
      <c r="S567" s="9">
        <f t="shared" si="206"/>
        <v>0</v>
      </c>
      <c r="T567" s="9">
        <f t="shared" si="207"/>
        <v>0</v>
      </c>
      <c r="U567" s="9">
        <f t="shared" si="208"/>
        <v>0</v>
      </c>
      <c r="V567" s="9">
        <f t="shared" si="209"/>
        <v>0</v>
      </c>
      <c r="W567" s="9">
        <f t="shared" si="210"/>
        <v>0</v>
      </c>
      <c r="X567" s="9">
        <f t="shared" si="211"/>
        <v>0</v>
      </c>
      <c r="Y567" s="9">
        <f t="shared" si="212"/>
        <v>0</v>
      </c>
      <c r="Z567" s="9">
        <f t="shared" si="213"/>
        <v>0</v>
      </c>
      <c r="AA567" s="10">
        <f t="shared" si="214"/>
        <v>0</v>
      </c>
    </row>
    <row r="568" spans="1:27" x14ac:dyDescent="0.3">
      <c r="A568" s="4" t="s">
        <v>1303</v>
      </c>
      <c r="B568" s="4">
        <f t="shared" si="192"/>
        <v>0</v>
      </c>
      <c r="C568" s="4">
        <f t="shared" si="193"/>
        <v>0</v>
      </c>
      <c r="D568" s="4">
        <f t="shared" si="194"/>
        <v>0</v>
      </c>
      <c r="E568" s="4">
        <f t="shared" si="195"/>
        <v>0</v>
      </c>
      <c r="F568" s="4">
        <f t="shared" si="196"/>
        <v>1</v>
      </c>
      <c r="G568" s="4">
        <f t="shared" si="197"/>
        <v>0</v>
      </c>
      <c r="I568" s="11" t="s">
        <v>994</v>
      </c>
      <c r="J568" s="9">
        <f t="shared" si="198"/>
        <v>0</v>
      </c>
      <c r="K568" s="9">
        <f t="shared" si="215"/>
        <v>0</v>
      </c>
      <c r="L568" s="9">
        <f t="shared" si="199"/>
        <v>0</v>
      </c>
      <c r="M568" s="9">
        <f t="shared" si="200"/>
        <v>0</v>
      </c>
      <c r="N568" s="9">
        <f t="shared" si="201"/>
        <v>0</v>
      </c>
      <c r="O568" s="9">
        <f t="shared" si="202"/>
        <v>0</v>
      </c>
      <c r="P568" s="9">
        <f t="shared" si="203"/>
        <v>1</v>
      </c>
      <c r="Q568" s="9">
        <f t="shared" si="204"/>
        <v>0</v>
      </c>
      <c r="R568" s="9">
        <f t="shared" si="205"/>
        <v>0</v>
      </c>
      <c r="S568" s="9">
        <f t="shared" si="206"/>
        <v>0</v>
      </c>
      <c r="T568" s="9">
        <f t="shared" si="207"/>
        <v>0</v>
      </c>
      <c r="U568" s="9">
        <f t="shared" si="208"/>
        <v>0</v>
      </c>
      <c r="V568" s="9">
        <f t="shared" si="209"/>
        <v>0</v>
      </c>
      <c r="W568" s="9">
        <f t="shared" si="210"/>
        <v>0</v>
      </c>
      <c r="X568" s="9">
        <f t="shared" si="211"/>
        <v>0</v>
      </c>
      <c r="Y568" s="9">
        <f t="shared" si="212"/>
        <v>0</v>
      </c>
      <c r="Z568" s="9">
        <f t="shared" si="213"/>
        <v>0</v>
      </c>
      <c r="AA568" s="10">
        <f t="shared" si="214"/>
        <v>0</v>
      </c>
    </row>
    <row r="569" spans="1:27" x14ac:dyDescent="0.3">
      <c r="A569" s="18" t="s">
        <v>1303</v>
      </c>
      <c r="B569" s="4">
        <f t="shared" si="192"/>
        <v>0</v>
      </c>
      <c r="C569" s="4">
        <f t="shared" si="193"/>
        <v>0</v>
      </c>
      <c r="D569" s="4">
        <f t="shared" si="194"/>
        <v>0</v>
      </c>
      <c r="E569" s="4">
        <f t="shared" si="195"/>
        <v>0</v>
      </c>
      <c r="F569" s="4">
        <f t="shared" si="196"/>
        <v>1</v>
      </c>
      <c r="G569" s="4">
        <f t="shared" si="197"/>
        <v>0</v>
      </c>
      <c r="I569" s="8" t="s">
        <v>988</v>
      </c>
      <c r="J569" s="9">
        <f t="shared" si="198"/>
        <v>0</v>
      </c>
      <c r="K569" s="9">
        <f t="shared" si="215"/>
        <v>0</v>
      </c>
      <c r="L569" s="9">
        <f t="shared" si="199"/>
        <v>1</v>
      </c>
      <c r="M569" s="9">
        <f t="shared" si="200"/>
        <v>0</v>
      </c>
      <c r="N569" s="9">
        <f t="shared" si="201"/>
        <v>0</v>
      </c>
      <c r="O569" s="9">
        <f t="shared" si="202"/>
        <v>0</v>
      </c>
      <c r="P569" s="9">
        <f t="shared" si="203"/>
        <v>0</v>
      </c>
      <c r="Q569" s="9">
        <f t="shared" si="204"/>
        <v>0</v>
      </c>
      <c r="R569" s="9">
        <f t="shared" si="205"/>
        <v>0</v>
      </c>
      <c r="S569" s="9">
        <f t="shared" si="206"/>
        <v>0</v>
      </c>
      <c r="T569" s="9">
        <f t="shared" si="207"/>
        <v>0</v>
      </c>
      <c r="U569" s="9">
        <f t="shared" si="208"/>
        <v>0</v>
      </c>
      <c r="V569" s="9">
        <f t="shared" si="209"/>
        <v>0</v>
      </c>
      <c r="W569" s="9">
        <f t="shared" si="210"/>
        <v>0</v>
      </c>
      <c r="X569" s="9">
        <f t="shared" si="211"/>
        <v>0</v>
      </c>
      <c r="Y569" s="9">
        <f t="shared" si="212"/>
        <v>0</v>
      </c>
      <c r="Z569" s="9">
        <f t="shared" si="213"/>
        <v>0</v>
      </c>
      <c r="AA569" s="10">
        <f t="shared" si="214"/>
        <v>0</v>
      </c>
    </row>
    <row r="570" spans="1:27" x14ac:dyDescent="0.3">
      <c r="A570" s="4" t="s">
        <v>1303</v>
      </c>
      <c r="B570" s="4">
        <f t="shared" si="192"/>
        <v>0</v>
      </c>
      <c r="C570" s="4">
        <f t="shared" si="193"/>
        <v>0</v>
      </c>
      <c r="D570" s="4">
        <f t="shared" si="194"/>
        <v>0</v>
      </c>
      <c r="E570" s="4">
        <f t="shared" si="195"/>
        <v>0</v>
      </c>
      <c r="F570" s="4">
        <f t="shared" si="196"/>
        <v>1</v>
      </c>
      <c r="G570" s="4">
        <f t="shared" si="197"/>
        <v>0</v>
      </c>
      <c r="I570" s="11" t="s">
        <v>977</v>
      </c>
      <c r="J570" s="9">
        <f t="shared" si="198"/>
        <v>1</v>
      </c>
      <c r="K570" s="9">
        <f t="shared" si="215"/>
        <v>0</v>
      </c>
      <c r="L570" s="9">
        <f t="shared" si="199"/>
        <v>0</v>
      </c>
      <c r="M570" s="9">
        <f t="shared" si="200"/>
        <v>0</v>
      </c>
      <c r="N570" s="9">
        <f t="shared" si="201"/>
        <v>0</v>
      </c>
      <c r="O570" s="9">
        <f t="shared" si="202"/>
        <v>0</v>
      </c>
      <c r="P570" s="9">
        <f t="shared" si="203"/>
        <v>0</v>
      </c>
      <c r="Q570" s="9">
        <f t="shared" si="204"/>
        <v>0</v>
      </c>
      <c r="R570" s="9">
        <f t="shared" si="205"/>
        <v>0</v>
      </c>
      <c r="S570" s="9">
        <f t="shared" si="206"/>
        <v>0</v>
      </c>
      <c r="T570" s="9">
        <f t="shared" si="207"/>
        <v>0</v>
      </c>
      <c r="U570" s="9">
        <f t="shared" si="208"/>
        <v>0</v>
      </c>
      <c r="V570" s="9">
        <f t="shared" si="209"/>
        <v>0</v>
      </c>
      <c r="W570" s="9">
        <f t="shared" si="210"/>
        <v>0</v>
      </c>
      <c r="X570" s="9">
        <f t="shared" si="211"/>
        <v>0</v>
      </c>
      <c r="Y570" s="9">
        <f t="shared" si="212"/>
        <v>0</v>
      </c>
      <c r="Z570" s="9">
        <f t="shared" si="213"/>
        <v>0</v>
      </c>
      <c r="AA570" s="10">
        <f t="shared" si="214"/>
        <v>0</v>
      </c>
    </row>
    <row r="571" spans="1:27" x14ac:dyDescent="0.3">
      <c r="A571" s="18" t="s">
        <v>1305</v>
      </c>
      <c r="B571" s="4">
        <f t="shared" si="192"/>
        <v>0</v>
      </c>
      <c r="C571" s="4">
        <f t="shared" si="193"/>
        <v>0</v>
      </c>
      <c r="D571" s="4">
        <f t="shared" si="194"/>
        <v>0</v>
      </c>
      <c r="E571" s="4">
        <f t="shared" si="195"/>
        <v>0</v>
      </c>
      <c r="F571" s="4">
        <f t="shared" si="196"/>
        <v>0</v>
      </c>
      <c r="G571" s="4">
        <f t="shared" si="197"/>
        <v>1</v>
      </c>
      <c r="I571" s="8" t="s">
        <v>1044</v>
      </c>
      <c r="J571" s="9">
        <f t="shared" si="198"/>
        <v>0</v>
      </c>
      <c r="K571" s="9">
        <f t="shared" si="215"/>
        <v>0</v>
      </c>
      <c r="L571" s="9">
        <f t="shared" si="199"/>
        <v>0</v>
      </c>
      <c r="M571" s="9">
        <f t="shared" si="200"/>
        <v>0</v>
      </c>
      <c r="N571" s="9">
        <f t="shared" si="201"/>
        <v>0</v>
      </c>
      <c r="O571" s="9">
        <f t="shared" si="202"/>
        <v>0</v>
      </c>
      <c r="P571" s="9">
        <f t="shared" si="203"/>
        <v>0</v>
      </c>
      <c r="Q571" s="9">
        <f t="shared" si="204"/>
        <v>0</v>
      </c>
      <c r="R571" s="9">
        <f t="shared" si="205"/>
        <v>0</v>
      </c>
      <c r="S571" s="9">
        <f t="shared" si="206"/>
        <v>0</v>
      </c>
      <c r="T571" s="9">
        <f t="shared" si="207"/>
        <v>0</v>
      </c>
      <c r="U571" s="9">
        <f t="shared" si="208"/>
        <v>1</v>
      </c>
      <c r="V571" s="9">
        <f t="shared" si="209"/>
        <v>0</v>
      </c>
      <c r="W571" s="9">
        <f t="shared" si="210"/>
        <v>0</v>
      </c>
      <c r="X571" s="9">
        <f t="shared" si="211"/>
        <v>0</v>
      </c>
      <c r="Y571" s="9">
        <f t="shared" si="212"/>
        <v>0</v>
      </c>
      <c r="Z571" s="9">
        <f t="shared" si="213"/>
        <v>0</v>
      </c>
      <c r="AA571" s="10">
        <f t="shared" si="214"/>
        <v>0</v>
      </c>
    </row>
    <row r="572" spans="1:27" x14ac:dyDescent="0.3">
      <c r="A572" s="4" t="s">
        <v>1302</v>
      </c>
      <c r="B572" s="4">
        <f t="shared" si="192"/>
        <v>1</v>
      </c>
      <c r="C572" s="4">
        <f t="shared" si="193"/>
        <v>0</v>
      </c>
      <c r="D572" s="4">
        <f t="shared" si="194"/>
        <v>0</v>
      </c>
      <c r="E572" s="4">
        <f t="shared" si="195"/>
        <v>0</v>
      </c>
      <c r="F572" s="4">
        <f t="shared" si="196"/>
        <v>0</v>
      </c>
      <c r="G572" s="4">
        <f t="shared" si="197"/>
        <v>0</v>
      </c>
      <c r="I572" s="11" t="s">
        <v>977</v>
      </c>
      <c r="J572" s="9">
        <f t="shared" si="198"/>
        <v>1</v>
      </c>
      <c r="K572" s="9">
        <f t="shared" si="215"/>
        <v>0</v>
      </c>
      <c r="L572" s="9">
        <f t="shared" si="199"/>
        <v>0</v>
      </c>
      <c r="M572" s="9">
        <f t="shared" si="200"/>
        <v>0</v>
      </c>
      <c r="N572" s="9">
        <f t="shared" si="201"/>
        <v>0</v>
      </c>
      <c r="O572" s="9">
        <f t="shared" si="202"/>
        <v>0</v>
      </c>
      <c r="P572" s="9">
        <f t="shared" si="203"/>
        <v>0</v>
      </c>
      <c r="Q572" s="9">
        <f t="shared" si="204"/>
        <v>0</v>
      </c>
      <c r="R572" s="9">
        <f t="shared" si="205"/>
        <v>0</v>
      </c>
      <c r="S572" s="9">
        <f t="shared" si="206"/>
        <v>0</v>
      </c>
      <c r="T572" s="9">
        <f t="shared" si="207"/>
        <v>0</v>
      </c>
      <c r="U572" s="9">
        <f t="shared" si="208"/>
        <v>0</v>
      </c>
      <c r="V572" s="9">
        <f t="shared" si="209"/>
        <v>0</v>
      </c>
      <c r="W572" s="9">
        <f t="shared" si="210"/>
        <v>0</v>
      </c>
      <c r="X572" s="9">
        <f t="shared" si="211"/>
        <v>0</v>
      </c>
      <c r="Y572" s="9">
        <f t="shared" si="212"/>
        <v>0</v>
      </c>
      <c r="Z572" s="9">
        <f t="shared" si="213"/>
        <v>0</v>
      </c>
      <c r="AA572" s="10">
        <f t="shared" si="214"/>
        <v>0</v>
      </c>
    </row>
    <row r="573" spans="1:27" x14ac:dyDescent="0.3">
      <c r="A573" s="18" t="s">
        <v>1302</v>
      </c>
      <c r="B573" s="4">
        <f t="shared" si="192"/>
        <v>1</v>
      </c>
      <c r="C573" s="4">
        <f t="shared" si="193"/>
        <v>0</v>
      </c>
      <c r="D573" s="4">
        <f t="shared" si="194"/>
        <v>0</v>
      </c>
      <c r="E573" s="4">
        <f t="shared" si="195"/>
        <v>0</v>
      </c>
      <c r="F573" s="4">
        <f t="shared" si="196"/>
        <v>0</v>
      </c>
      <c r="G573" s="4">
        <f t="shared" si="197"/>
        <v>0</v>
      </c>
      <c r="I573" s="8" t="s">
        <v>1026</v>
      </c>
      <c r="J573" s="9">
        <f t="shared" si="198"/>
        <v>0</v>
      </c>
      <c r="K573" s="9">
        <f t="shared" si="215"/>
        <v>0</v>
      </c>
      <c r="L573" s="9">
        <f t="shared" si="199"/>
        <v>0</v>
      </c>
      <c r="M573" s="9">
        <f t="shared" si="200"/>
        <v>0</v>
      </c>
      <c r="N573" s="9">
        <f t="shared" si="201"/>
        <v>0</v>
      </c>
      <c r="O573" s="9">
        <f t="shared" si="202"/>
        <v>0</v>
      </c>
      <c r="P573" s="9">
        <f t="shared" si="203"/>
        <v>0</v>
      </c>
      <c r="Q573" s="9">
        <f t="shared" si="204"/>
        <v>0</v>
      </c>
      <c r="R573" s="9">
        <f t="shared" si="205"/>
        <v>0</v>
      </c>
      <c r="S573" s="9">
        <f t="shared" si="206"/>
        <v>0</v>
      </c>
      <c r="T573" s="9">
        <f t="shared" si="207"/>
        <v>1</v>
      </c>
      <c r="U573" s="9">
        <f t="shared" si="208"/>
        <v>0</v>
      </c>
      <c r="V573" s="9">
        <f t="shared" si="209"/>
        <v>0</v>
      </c>
      <c r="W573" s="9">
        <f t="shared" si="210"/>
        <v>0</v>
      </c>
      <c r="X573" s="9">
        <f t="shared" si="211"/>
        <v>0</v>
      </c>
      <c r="Y573" s="9">
        <f t="shared" si="212"/>
        <v>0</v>
      </c>
      <c r="Z573" s="9">
        <f t="shared" si="213"/>
        <v>0</v>
      </c>
      <c r="AA573" s="10">
        <f t="shared" si="214"/>
        <v>0</v>
      </c>
    </row>
    <row r="574" spans="1:27" x14ac:dyDescent="0.3">
      <c r="A574" s="4" t="s">
        <v>1304</v>
      </c>
      <c r="B574" s="4">
        <f t="shared" si="192"/>
        <v>0</v>
      </c>
      <c r="C574" s="4">
        <f t="shared" si="193"/>
        <v>1</v>
      </c>
      <c r="D574" s="4">
        <f t="shared" si="194"/>
        <v>0</v>
      </c>
      <c r="E574" s="4">
        <f t="shared" si="195"/>
        <v>0</v>
      </c>
      <c r="F574" s="4">
        <f t="shared" si="196"/>
        <v>0</v>
      </c>
      <c r="G574" s="4">
        <f t="shared" si="197"/>
        <v>0</v>
      </c>
      <c r="I574" s="11" t="s">
        <v>996</v>
      </c>
      <c r="J574" s="9">
        <f t="shared" si="198"/>
        <v>0</v>
      </c>
      <c r="K574" s="9">
        <f t="shared" si="215"/>
        <v>0</v>
      </c>
      <c r="L574" s="9">
        <f t="shared" si="199"/>
        <v>0</v>
      </c>
      <c r="M574" s="9">
        <f t="shared" si="200"/>
        <v>0</v>
      </c>
      <c r="N574" s="9">
        <f t="shared" si="201"/>
        <v>0</v>
      </c>
      <c r="O574" s="9">
        <f t="shared" si="202"/>
        <v>0</v>
      </c>
      <c r="P574" s="9">
        <f t="shared" si="203"/>
        <v>0</v>
      </c>
      <c r="Q574" s="9">
        <f t="shared" si="204"/>
        <v>1</v>
      </c>
      <c r="R574" s="9">
        <f t="shared" si="205"/>
        <v>0</v>
      </c>
      <c r="S574" s="9">
        <f t="shared" si="206"/>
        <v>0</v>
      </c>
      <c r="T574" s="9">
        <f t="shared" si="207"/>
        <v>0</v>
      </c>
      <c r="U574" s="9">
        <f t="shared" si="208"/>
        <v>0</v>
      </c>
      <c r="V574" s="9">
        <f t="shared" si="209"/>
        <v>0</v>
      </c>
      <c r="W574" s="9">
        <f t="shared" si="210"/>
        <v>0</v>
      </c>
      <c r="X574" s="9">
        <f t="shared" si="211"/>
        <v>0</v>
      </c>
      <c r="Y574" s="9">
        <f t="shared" si="212"/>
        <v>0</v>
      </c>
      <c r="Z574" s="9">
        <f t="shared" si="213"/>
        <v>0</v>
      </c>
      <c r="AA574" s="10">
        <f t="shared" si="214"/>
        <v>0</v>
      </c>
    </row>
    <row r="575" spans="1:27" x14ac:dyDescent="0.3">
      <c r="A575" s="18" t="s">
        <v>1304</v>
      </c>
      <c r="B575" s="4">
        <f t="shared" si="192"/>
        <v>0</v>
      </c>
      <c r="C575" s="4">
        <f t="shared" si="193"/>
        <v>1</v>
      </c>
      <c r="D575" s="4">
        <f t="shared" si="194"/>
        <v>0</v>
      </c>
      <c r="E575" s="4">
        <f t="shared" si="195"/>
        <v>0</v>
      </c>
      <c r="F575" s="4">
        <f t="shared" si="196"/>
        <v>0</v>
      </c>
      <c r="G575" s="4">
        <f t="shared" si="197"/>
        <v>0</v>
      </c>
      <c r="I575" s="8" t="s">
        <v>988</v>
      </c>
      <c r="J575" s="9">
        <f t="shared" si="198"/>
        <v>0</v>
      </c>
      <c r="K575" s="9">
        <f t="shared" si="215"/>
        <v>0</v>
      </c>
      <c r="L575" s="9">
        <f t="shared" si="199"/>
        <v>1</v>
      </c>
      <c r="M575" s="9">
        <f t="shared" si="200"/>
        <v>0</v>
      </c>
      <c r="N575" s="9">
        <f t="shared" si="201"/>
        <v>0</v>
      </c>
      <c r="O575" s="9">
        <f t="shared" si="202"/>
        <v>0</v>
      </c>
      <c r="P575" s="9">
        <f t="shared" si="203"/>
        <v>0</v>
      </c>
      <c r="Q575" s="9">
        <f t="shared" si="204"/>
        <v>0</v>
      </c>
      <c r="R575" s="9">
        <f t="shared" si="205"/>
        <v>0</v>
      </c>
      <c r="S575" s="9">
        <f t="shared" si="206"/>
        <v>0</v>
      </c>
      <c r="T575" s="9">
        <f t="shared" si="207"/>
        <v>0</v>
      </c>
      <c r="U575" s="9">
        <f t="shared" si="208"/>
        <v>0</v>
      </c>
      <c r="V575" s="9">
        <f t="shared" si="209"/>
        <v>0</v>
      </c>
      <c r="W575" s="9">
        <f t="shared" si="210"/>
        <v>0</v>
      </c>
      <c r="X575" s="9">
        <f t="shared" si="211"/>
        <v>0</v>
      </c>
      <c r="Y575" s="9">
        <f t="shared" si="212"/>
        <v>0</v>
      </c>
      <c r="Z575" s="9">
        <f t="shared" si="213"/>
        <v>0</v>
      </c>
      <c r="AA575" s="10">
        <f t="shared" si="214"/>
        <v>0</v>
      </c>
    </row>
    <row r="576" spans="1:27" x14ac:dyDescent="0.3">
      <c r="A576" s="4" t="s">
        <v>1302</v>
      </c>
      <c r="B576" s="4">
        <f t="shared" si="192"/>
        <v>1</v>
      </c>
      <c r="C576" s="4">
        <f t="shared" si="193"/>
        <v>0</v>
      </c>
      <c r="D576" s="4">
        <f t="shared" si="194"/>
        <v>0</v>
      </c>
      <c r="E576" s="4">
        <f t="shared" si="195"/>
        <v>0</v>
      </c>
      <c r="F576" s="4">
        <f t="shared" si="196"/>
        <v>0</v>
      </c>
      <c r="G576" s="4">
        <f t="shared" si="197"/>
        <v>0</v>
      </c>
      <c r="I576" s="11" t="s">
        <v>988</v>
      </c>
      <c r="J576" s="9">
        <f t="shared" si="198"/>
        <v>0</v>
      </c>
      <c r="K576" s="9">
        <f t="shared" si="215"/>
        <v>0</v>
      </c>
      <c r="L576" s="9">
        <f t="shared" si="199"/>
        <v>1</v>
      </c>
      <c r="M576" s="9">
        <f t="shared" si="200"/>
        <v>0</v>
      </c>
      <c r="N576" s="9">
        <f t="shared" si="201"/>
        <v>0</v>
      </c>
      <c r="O576" s="9">
        <f t="shared" si="202"/>
        <v>0</v>
      </c>
      <c r="P576" s="9">
        <f t="shared" si="203"/>
        <v>0</v>
      </c>
      <c r="Q576" s="9">
        <f t="shared" si="204"/>
        <v>0</v>
      </c>
      <c r="R576" s="9">
        <f t="shared" si="205"/>
        <v>0</v>
      </c>
      <c r="S576" s="9">
        <f t="shared" si="206"/>
        <v>0</v>
      </c>
      <c r="T576" s="9">
        <f t="shared" si="207"/>
        <v>0</v>
      </c>
      <c r="U576" s="9">
        <f t="shared" si="208"/>
        <v>0</v>
      </c>
      <c r="V576" s="9">
        <f t="shared" si="209"/>
        <v>0</v>
      </c>
      <c r="W576" s="9">
        <f t="shared" si="210"/>
        <v>0</v>
      </c>
      <c r="X576" s="9">
        <f t="shared" si="211"/>
        <v>0</v>
      </c>
      <c r="Y576" s="9">
        <f t="shared" si="212"/>
        <v>0</v>
      </c>
      <c r="Z576" s="9">
        <f t="shared" si="213"/>
        <v>0</v>
      </c>
      <c r="AA576" s="10">
        <f t="shared" si="214"/>
        <v>0</v>
      </c>
    </row>
    <row r="577" spans="1:27" x14ac:dyDescent="0.3">
      <c r="A577" s="18" t="s">
        <v>1294</v>
      </c>
      <c r="B577" s="4">
        <f t="shared" si="192"/>
        <v>0</v>
      </c>
      <c r="C577" s="4">
        <f t="shared" si="193"/>
        <v>0</v>
      </c>
      <c r="D577" s="4">
        <f t="shared" si="194"/>
        <v>0</v>
      </c>
      <c r="E577" s="4">
        <f t="shared" si="195"/>
        <v>0</v>
      </c>
      <c r="F577" s="4">
        <f t="shared" si="196"/>
        <v>0</v>
      </c>
      <c r="G577" s="4">
        <f t="shared" si="197"/>
        <v>0</v>
      </c>
      <c r="I577" s="8" t="s">
        <v>977</v>
      </c>
      <c r="J577" s="9">
        <f t="shared" si="198"/>
        <v>1</v>
      </c>
      <c r="K577" s="9">
        <f t="shared" si="215"/>
        <v>0</v>
      </c>
      <c r="L577" s="9">
        <f t="shared" si="199"/>
        <v>0</v>
      </c>
      <c r="M577" s="9">
        <f t="shared" si="200"/>
        <v>0</v>
      </c>
      <c r="N577" s="9">
        <f t="shared" si="201"/>
        <v>0</v>
      </c>
      <c r="O577" s="9">
        <f t="shared" si="202"/>
        <v>0</v>
      </c>
      <c r="P577" s="9">
        <f t="shared" si="203"/>
        <v>0</v>
      </c>
      <c r="Q577" s="9">
        <f t="shared" si="204"/>
        <v>0</v>
      </c>
      <c r="R577" s="9">
        <f t="shared" si="205"/>
        <v>0</v>
      </c>
      <c r="S577" s="9">
        <f t="shared" si="206"/>
        <v>0</v>
      </c>
      <c r="T577" s="9">
        <f t="shared" si="207"/>
        <v>0</v>
      </c>
      <c r="U577" s="9">
        <f t="shared" si="208"/>
        <v>0</v>
      </c>
      <c r="V577" s="9">
        <f t="shared" si="209"/>
        <v>0</v>
      </c>
      <c r="W577" s="9">
        <f t="shared" si="210"/>
        <v>0</v>
      </c>
      <c r="X577" s="9">
        <f t="shared" si="211"/>
        <v>0</v>
      </c>
      <c r="Y577" s="9">
        <f t="shared" si="212"/>
        <v>0</v>
      </c>
      <c r="Z577" s="9">
        <f t="shared" si="213"/>
        <v>0</v>
      </c>
      <c r="AA577" s="10">
        <f t="shared" si="214"/>
        <v>0</v>
      </c>
    </row>
    <row r="578" spans="1:27" x14ac:dyDescent="0.3">
      <c r="A578" s="4" t="s">
        <v>1294</v>
      </c>
      <c r="B578" s="4">
        <f t="shared" si="192"/>
        <v>0</v>
      </c>
      <c r="C578" s="4">
        <f t="shared" si="193"/>
        <v>0</v>
      </c>
      <c r="D578" s="4">
        <f t="shared" si="194"/>
        <v>0</v>
      </c>
      <c r="E578" s="4">
        <f t="shared" si="195"/>
        <v>0</v>
      </c>
      <c r="F578" s="4">
        <f t="shared" si="196"/>
        <v>0</v>
      </c>
      <c r="G578" s="4">
        <f t="shared" si="197"/>
        <v>0</v>
      </c>
      <c r="I578" s="11" t="s">
        <v>1294</v>
      </c>
      <c r="J578" s="9">
        <f t="shared" si="198"/>
        <v>0</v>
      </c>
      <c r="K578" s="9">
        <f t="shared" si="215"/>
        <v>0</v>
      </c>
      <c r="L578" s="9">
        <f t="shared" si="199"/>
        <v>0</v>
      </c>
      <c r="M578" s="9">
        <f t="shared" si="200"/>
        <v>0</v>
      </c>
      <c r="N578" s="9">
        <f t="shared" si="201"/>
        <v>0</v>
      </c>
      <c r="O578" s="9">
        <f t="shared" si="202"/>
        <v>0</v>
      </c>
      <c r="P578" s="9">
        <f t="shared" si="203"/>
        <v>0</v>
      </c>
      <c r="Q578" s="9">
        <f t="shared" si="204"/>
        <v>0</v>
      </c>
      <c r="R578" s="9">
        <f t="shared" si="205"/>
        <v>0</v>
      </c>
      <c r="S578" s="9">
        <f t="shared" si="206"/>
        <v>0</v>
      </c>
      <c r="T578" s="9">
        <f t="shared" si="207"/>
        <v>0</v>
      </c>
      <c r="U578" s="9">
        <f t="shared" si="208"/>
        <v>0</v>
      </c>
      <c r="V578" s="9">
        <f t="shared" si="209"/>
        <v>0</v>
      </c>
      <c r="W578" s="9">
        <f t="shared" si="210"/>
        <v>0</v>
      </c>
      <c r="X578" s="9">
        <f t="shared" si="211"/>
        <v>0</v>
      </c>
      <c r="Y578" s="9">
        <f t="shared" si="212"/>
        <v>0</v>
      </c>
      <c r="Z578" s="9">
        <f t="shared" si="213"/>
        <v>0</v>
      </c>
      <c r="AA578" s="10">
        <f t="shared" si="214"/>
        <v>0</v>
      </c>
    </row>
    <row r="579" spans="1:27" x14ac:dyDescent="0.3">
      <c r="A579" s="18" t="s">
        <v>1303</v>
      </c>
      <c r="B579" s="4">
        <f t="shared" si="192"/>
        <v>0</v>
      </c>
      <c r="C579" s="4">
        <f t="shared" si="193"/>
        <v>0</v>
      </c>
      <c r="D579" s="4">
        <f t="shared" si="194"/>
        <v>0</v>
      </c>
      <c r="E579" s="4">
        <f t="shared" si="195"/>
        <v>0</v>
      </c>
      <c r="F579" s="4">
        <f t="shared" si="196"/>
        <v>1</v>
      </c>
      <c r="G579" s="4">
        <f t="shared" si="197"/>
        <v>0</v>
      </c>
      <c r="I579" s="8" t="s">
        <v>1294</v>
      </c>
      <c r="J579" s="9">
        <f t="shared" si="198"/>
        <v>0</v>
      </c>
      <c r="K579" s="9">
        <f t="shared" si="215"/>
        <v>0</v>
      </c>
      <c r="L579" s="9">
        <f t="shared" si="199"/>
        <v>0</v>
      </c>
      <c r="M579" s="9">
        <f t="shared" si="200"/>
        <v>0</v>
      </c>
      <c r="N579" s="9">
        <f t="shared" si="201"/>
        <v>0</v>
      </c>
      <c r="O579" s="9">
        <f t="shared" si="202"/>
        <v>0</v>
      </c>
      <c r="P579" s="9">
        <f t="shared" si="203"/>
        <v>0</v>
      </c>
      <c r="Q579" s="9">
        <f t="shared" si="204"/>
        <v>0</v>
      </c>
      <c r="R579" s="9">
        <f t="shared" si="205"/>
        <v>0</v>
      </c>
      <c r="S579" s="9">
        <f t="shared" si="206"/>
        <v>0</v>
      </c>
      <c r="T579" s="9">
        <f t="shared" si="207"/>
        <v>0</v>
      </c>
      <c r="U579" s="9">
        <f t="shared" si="208"/>
        <v>0</v>
      </c>
      <c r="V579" s="9">
        <f t="shared" si="209"/>
        <v>0</v>
      </c>
      <c r="W579" s="9">
        <f t="shared" si="210"/>
        <v>0</v>
      </c>
      <c r="X579" s="9">
        <f t="shared" si="211"/>
        <v>0</v>
      </c>
      <c r="Y579" s="9">
        <f t="shared" si="212"/>
        <v>0</v>
      </c>
      <c r="Z579" s="9">
        <f t="shared" si="213"/>
        <v>0</v>
      </c>
      <c r="AA579" s="10">
        <f t="shared" si="214"/>
        <v>0</v>
      </c>
    </row>
    <row r="580" spans="1:27" x14ac:dyDescent="0.3">
      <c r="A580" s="4" t="s">
        <v>1303</v>
      </c>
      <c r="B580" s="4">
        <f t="shared" ref="B580:B643" si="216">IF($A580="Asia",1,0)</f>
        <v>0</v>
      </c>
      <c r="C580" s="4">
        <f t="shared" ref="C580:C643" si="217">IF(A580="Europe",1,0)</f>
        <v>0</v>
      </c>
      <c r="D580" s="4">
        <f t="shared" ref="D580:D643" si="218">IF(A580="Africa",1,0)</f>
        <v>0</v>
      </c>
      <c r="E580" s="4">
        <f t="shared" ref="E580:E643" si="219">IF($A580="Australia",1,0)</f>
        <v>0</v>
      </c>
      <c r="F580" s="4">
        <f t="shared" ref="F580:F643" si="220">IF($A580="North America",1,0)</f>
        <v>1</v>
      </c>
      <c r="G580" s="4">
        <f t="shared" ref="G580:G643" si="221">IF($A580="South America",1,0)</f>
        <v>0</v>
      </c>
      <c r="I580" s="11" t="s">
        <v>988</v>
      </c>
      <c r="J580" s="9">
        <f t="shared" ref="J580:J643" si="222">IF(I580="Music",1,0)</f>
        <v>0</v>
      </c>
      <c r="K580" s="9">
        <f t="shared" si="215"/>
        <v>0</v>
      </c>
      <c r="L580" s="9">
        <f t="shared" ref="L580:L643" si="223">IF(I580="Entertainment",1,0)</f>
        <v>1</v>
      </c>
      <c r="M580" s="9">
        <f t="shared" ref="M580:M643" si="224">IF(I580="Nonprofits &amp; Activism",1,0)</f>
        <v>0</v>
      </c>
      <c r="N580" s="9">
        <f t="shared" ref="N580:N643" si="225">IF(I580="Education",1,0)</f>
        <v>0</v>
      </c>
      <c r="O580" s="9">
        <f t="shared" ref="O580:O643" si="226">IF(I580="Shows",1,0)</f>
        <v>0</v>
      </c>
      <c r="P580" s="9">
        <f t="shared" ref="P580:P643" si="227">IF(I580="People &amp; Blogs",1,0)</f>
        <v>0</v>
      </c>
      <c r="Q580" s="9">
        <f t="shared" ref="Q580:Q643" si="228">IF(I580="Gaming",1,0)</f>
        <v>0</v>
      </c>
      <c r="R580" s="9">
        <f t="shared" ref="R580:R643" si="229">IF(I580="Sports",1,0)</f>
        <v>0</v>
      </c>
      <c r="S580" s="9">
        <f t="shared" ref="S580:S643" si="230">IF(I580="Howto &amp; Style",1,0)</f>
        <v>0</v>
      </c>
      <c r="T580" s="9">
        <f t="shared" ref="T580:T643" si="231">IF(I580="News &amp; Politics",1,0)</f>
        <v>0</v>
      </c>
      <c r="U580" s="9">
        <f t="shared" ref="U580:U643" si="232">IF(I580="Comedy",1,0)</f>
        <v>0</v>
      </c>
      <c r="V580" s="9">
        <f t="shared" ref="V580:V643" si="233">IF(I580="Trailers",1,0)</f>
        <v>0</v>
      </c>
      <c r="W580" s="9">
        <f t="shared" ref="W580:W643" si="234">IF(I580="Movies",1,0)</f>
        <v>0</v>
      </c>
      <c r="X580" s="9">
        <f t="shared" ref="X580:X643" si="235">IF(I580="Autos &amp; Vehicles",1,0)</f>
        <v>0</v>
      </c>
      <c r="Y580" s="9">
        <f t="shared" ref="Y580:Y643" si="236">IF(I580="Pets &amp; Animals",1,0)</f>
        <v>0</v>
      </c>
      <c r="Z580" s="9">
        <f t="shared" ref="Z580:Z643" si="237">IF(I580="Science &amp; Technology",1,0)</f>
        <v>0</v>
      </c>
      <c r="AA580" s="10">
        <f t="shared" ref="AA580:AA643" si="238">IF(I580="Travel &amp; Events",1,0)</f>
        <v>0</v>
      </c>
    </row>
    <row r="581" spans="1:27" x14ac:dyDescent="0.3">
      <c r="A581" s="18" t="s">
        <v>1303</v>
      </c>
      <c r="B581" s="4">
        <f t="shared" si="216"/>
        <v>0</v>
      </c>
      <c r="C581" s="4">
        <f t="shared" si="217"/>
        <v>0</v>
      </c>
      <c r="D581" s="4">
        <f t="shared" si="218"/>
        <v>0</v>
      </c>
      <c r="E581" s="4">
        <f t="shared" si="219"/>
        <v>0</v>
      </c>
      <c r="F581" s="4">
        <f t="shared" si="220"/>
        <v>1</v>
      </c>
      <c r="G581" s="4">
        <f t="shared" si="221"/>
        <v>0</v>
      </c>
      <c r="I581" s="8" t="s">
        <v>988</v>
      </c>
      <c r="J581" s="9">
        <f t="shared" si="222"/>
        <v>0</v>
      </c>
      <c r="K581" s="9">
        <f t="shared" ref="K581:K644" si="239">IF(I581="Film &amp; Animation",1,0)</f>
        <v>0</v>
      </c>
      <c r="L581" s="9">
        <f t="shared" si="223"/>
        <v>1</v>
      </c>
      <c r="M581" s="9">
        <f t="shared" si="224"/>
        <v>0</v>
      </c>
      <c r="N581" s="9">
        <f t="shared" si="225"/>
        <v>0</v>
      </c>
      <c r="O581" s="9">
        <f t="shared" si="226"/>
        <v>0</v>
      </c>
      <c r="P581" s="9">
        <f t="shared" si="227"/>
        <v>0</v>
      </c>
      <c r="Q581" s="9">
        <f t="shared" si="228"/>
        <v>0</v>
      </c>
      <c r="R581" s="9">
        <f t="shared" si="229"/>
        <v>0</v>
      </c>
      <c r="S581" s="9">
        <f t="shared" si="230"/>
        <v>0</v>
      </c>
      <c r="T581" s="9">
        <f t="shared" si="231"/>
        <v>0</v>
      </c>
      <c r="U581" s="9">
        <f t="shared" si="232"/>
        <v>0</v>
      </c>
      <c r="V581" s="9">
        <f t="shared" si="233"/>
        <v>0</v>
      </c>
      <c r="W581" s="9">
        <f t="shared" si="234"/>
        <v>0</v>
      </c>
      <c r="X581" s="9">
        <f t="shared" si="235"/>
        <v>0</v>
      </c>
      <c r="Y581" s="9">
        <f t="shared" si="236"/>
        <v>0</v>
      </c>
      <c r="Z581" s="9">
        <f t="shared" si="237"/>
        <v>0</v>
      </c>
      <c r="AA581" s="10">
        <f t="shared" si="238"/>
        <v>0</v>
      </c>
    </row>
    <row r="582" spans="1:27" x14ac:dyDescent="0.3">
      <c r="A582" s="4" t="s">
        <v>1302</v>
      </c>
      <c r="B582" s="4">
        <f t="shared" si="216"/>
        <v>1</v>
      </c>
      <c r="C582" s="4">
        <f t="shared" si="217"/>
        <v>0</v>
      </c>
      <c r="D582" s="4">
        <f t="shared" si="218"/>
        <v>0</v>
      </c>
      <c r="E582" s="4">
        <f t="shared" si="219"/>
        <v>0</v>
      </c>
      <c r="F582" s="4">
        <f t="shared" si="220"/>
        <v>0</v>
      </c>
      <c r="G582" s="4">
        <f t="shared" si="221"/>
        <v>0</v>
      </c>
      <c r="I582" s="11" t="s">
        <v>988</v>
      </c>
      <c r="J582" s="9">
        <f t="shared" si="222"/>
        <v>0</v>
      </c>
      <c r="K582" s="9">
        <f t="shared" si="239"/>
        <v>0</v>
      </c>
      <c r="L582" s="9">
        <f t="shared" si="223"/>
        <v>1</v>
      </c>
      <c r="M582" s="9">
        <f t="shared" si="224"/>
        <v>0</v>
      </c>
      <c r="N582" s="9">
        <f t="shared" si="225"/>
        <v>0</v>
      </c>
      <c r="O582" s="9">
        <f t="shared" si="226"/>
        <v>0</v>
      </c>
      <c r="P582" s="9">
        <f t="shared" si="227"/>
        <v>0</v>
      </c>
      <c r="Q582" s="9">
        <f t="shared" si="228"/>
        <v>0</v>
      </c>
      <c r="R582" s="9">
        <f t="shared" si="229"/>
        <v>0</v>
      </c>
      <c r="S582" s="9">
        <f t="shared" si="230"/>
        <v>0</v>
      </c>
      <c r="T582" s="9">
        <f t="shared" si="231"/>
        <v>0</v>
      </c>
      <c r="U582" s="9">
        <f t="shared" si="232"/>
        <v>0</v>
      </c>
      <c r="V582" s="9">
        <f t="shared" si="233"/>
        <v>0</v>
      </c>
      <c r="W582" s="9">
        <f t="shared" si="234"/>
        <v>0</v>
      </c>
      <c r="X582" s="9">
        <f t="shared" si="235"/>
        <v>0</v>
      </c>
      <c r="Y582" s="9">
        <f t="shared" si="236"/>
        <v>0</v>
      </c>
      <c r="Z582" s="9">
        <f t="shared" si="237"/>
        <v>0</v>
      </c>
      <c r="AA582" s="10">
        <f t="shared" si="238"/>
        <v>0</v>
      </c>
    </row>
    <row r="583" spans="1:27" x14ac:dyDescent="0.3">
      <c r="A583" s="18" t="s">
        <v>1305</v>
      </c>
      <c r="B583" s="4">
        <f t="shared" si="216"/>
        <v>0</v>
      </c>
      <c r="C583" s="4">
        <f t="shared" si="217"/>
        <v>0</v>
      </c>
      <c r="D583" s="4">
        <f t="shared" si="218"/>
        <v>0</v>
      </c>
      <c r="E583" s="4">
        <f t="shared" si="219"/>
        <v>0</v>
      </c>
      <c r="F583" s="4">
        <f t="shared" si="220"/>
        <v>0</v>
      </c>
      <c r="G583" s="4">
        <f t="shared" si="221"/>
        <v>1</v>
      </c>
      <c r="I583" s="8" t="s">
        <v>994</v>
      </c>
      <c r="J583" s="9">
        <f t="shared" si="222"/>
        <v>0</v>
      </c>
      <c r="K583" s="9">
        <f t="shared" si="239"/>
        <v>0</v>
      </c>
      <c r="L583" s="9">
        <f t="shared" si="223"/>
        <v>0</v>
      </c>
      <c r="M583" s="9">
        <f t="shared" si="224"/>
        <v>0</v>
      </c>
      <c r="N583" s="9">
        <f t="shared" si="225"/>
        <v>0</v>
      </c>
      <c r="O583" s="9">
        <f t="shared" si="226"/>
        <v>0</v>
      </c>
      <c r="P583" s="9">
        <f t="shared" si="227"/>
        <v>1</v>
      </c>
      <c r="Q583" s="9">
        <f t="shared" si="228"/>
        <v>0</v>
      </c>
      <c r="R583" s="9">
        <f t="shared" si="229"/>
        <v>0</v>
      </c>
      <c r="S583" s="9">
        <f t="shared" si="230"/>
        <v>0</v>
      </c>
      <c r="T583" s="9">
        <f t="shared" si="231"/>
        <v>0</v>
      </c>
      <c r="U583" s="9">
        <f t="shared" si="232"/>
        <v>0</v>
      </c>
      <c r="V583" s="9">
        <f t="shared" si="233"/>
        <v>0</v>
      </c>
      <c r="W583" s="9">
        <f t="shared" si="234"/>
        <v>0</v>
      </c>
      <c r="X583" s="9">
        <f t="shared" si="235"/>
        <v>0</v>
      </c>
      <c r="Y583" s="9">
        <f t="shared" si="236"/>
        <v>0</v>
      </c>
      <c r="Z583" s="9">
        <f t="shared" si="237"/>
        <v>0</v>
      </c>
      <c r="AA583" s="10">
        <f t="shared" si="238"/>
        <v>0</v>
      </c>
    </row>
    <row r="584" spans="1:27" x14ac:dyDescent="0.3">
      <c r="A584" s="4" t="s">
        <v>1305</v>
      </c>
      <c r="B584" s="4">
        <f t="shared" si="216"/>
        <v>0</v>
      </c>
      <c r="C584" s="4">
        <f t="shared" si="217"/>
        <v>0</v>
      </c>
      <c r="D584" s="4">
        <f t="shared" si="218"/>
        <v>0</v>
      </c>
      <c r="E584" s="4">
        <f t="shared" si="219"/>
        <v>0</v>
      </c>
      <c r="F584" s="4">
        <f t="shared" si="220"/>
        <v>0</v>
      </c>
      <c r="G584" s="4">
        <f t="shared" si="221"/>
        <v>1</v>
      </c>
      <c r="I584" s="11" t="s">
        <v>988</v>
      </c>
      <c r="J584" s="9">
        <f t="shared" si="222"/>
        <v>0</v>
      </c>
      <c r="K584" s="9">
        <f t="shared" si="239"/>
        <v>0</v>
      </c>
      <c r="L584" s="9">
        <f t="shared" si="223"/>
        <v>1</v>
      </c>
      <c r="M584" s="9">
        <f t="shared" si="224"/>
        <v>0</v>
      </c>
      <c r="N584" s="9">
        <f t="shared" si="225"/>
        <v>0</v>
      </c>
      <c r="O584" s="9">
        <f t="shared" si="226"/>
        <v>0</v>
      </c>
      <c r="P584" s="9">
        <f t="shared" si="227"/>
        <v>0</v>
      </c>
      <c r="Q584" s="9">
        <f t="shared" si="228"/>
        <v>0</v>
      </c>
      <c r="R584" s="9">
        <f t="shared" si="229"/>
        <v>0</v>
      </c>
      <c r="S584" s="9">
        <f t="shared" si="230"/>
        <v>0</v>
      </c>
      <c r="T584" s="9">
        <f t="shared" si="231"/>
        <v>0</v>
      </c>
      <c r="U584" s="9">
        <f t="shared" si="232"/>
        <v>0</v>
      </c>
      <c r="V584" s="9">
        <f t="shared" si="233"/>
        <v>0</v>
      </c>
      <c r="W584" s="9">
        <f t="shared" si="234"/>
        <v>0</v>
      </c>
      <c r="X584" s="9">
        <f t="shared" si="235"/>
        <v>0</v>
      </c>
      <c r="Y584" s="9">
        <f t="shared" si="236"/>
        <v>0</v>
      </c>
      <c r="Z584" s="9">
        <f t="shared" si="237"/>
        <v>0</v>
      </c>
      <c r="AA584" s="10">
        <f t="shared" si="238"/>
        <v>0</v>
      </c>
    </row>
    <row r="585" spans="1:27" x14ac:dyDescent="0.3">
      <c r="A585" s="18" t="s">
        <v>1304</v>
      </c>
      <c r="B585" s="4">
        <f t="shared" si="216"/>
        <v>0</v>
      </c>
      <c r="C585" s="4">
        <f t="shared" si="217"/>
        <v>1</v>
      </c>
      <c r="D585" s="4">
        <f t="shared" si="218"/>
        <v>0</v>
      </c>
      <c r="E585" s="4">
        <f t="shared" si="219"/>
        <v>0</v>
      </c>
      <c r="F585" s="4">
        <f t="shared" si="220"/>
        <v>0</v>
      </c>
      <c r="G585" s="4">
        <f t="shared" si="221"/>
        <v>0</v>
      </c>
      <c r="I585" s="8" t="s">
        <v>977</v>
      </c>
      <c r="J585" s="9">
        <f t="shared" si="222"/>
        <v>1</v>
      </c>
      <c r="K585" s="9">
        <f t="shared" si="239"/>
        <v>0</v>
      </c>
      <c r="L585" s="9">
        <f t="shared" si="223"/>
        <v>0</v>
      </c>
      <c r="M585" s="9">
        <f t="shared" si="224"/>
        <v>0</v>
      </c>
      <c r="N585" s="9">
        <f t="shared" si="225"/>
        <v>0</v>
      </c>
      <c r="O585" s="9">
        <f t="shared" si="226"/>
        <v>0</v>
      </c>
      <c r="P585" s="9">
        <f t="shared" si="227"/>
        <v>0</v>
      </c>
      <c r="Q585" s="9">
        <f t="shared" si="228"/>
        <v>0</v>
      </c>
      <c r="R585" s="9">
        <f t="shared" si="229"/>
        <v>0</v>
      </c>
      <c r="S585" s="9">
        <f t="shared" si="230"/>
        <v>0</v>
      </c>
      <c r="T585" s="9">
        <f t="shared" si="231"/>
        <v>0</v>
      </c>
      <c r="U585" s="9">
        <f t="shared" si="232"/>
        <v>0</v>
      </c>
      <c r="V585" s="9">
        <f t="shared" si="233"/>
        <v>0</v>
      </c>
      <c r="W585" s="9">
        <f t="shared" si="234"/>
        <v>0</v>
      </c>
      <c r="X585" s="9">
        <f t="shared" si="235"/>
        <v>0</v>
      </c>
      <c r="Y585" s="9">
        <f t="shared" si="236"/>
        <v>0</v>
      </c>
      <c r="Z585" s="9">
        <f t="shared" si="237"/>
        <v>0</v>
      </c>
      <c r="AA585" s="10">
        <f t="shared" si="238"/>
        <v>0</v>
      </c>
    </row>
    <row r="586" spans="1:27" x14ac:dyDescent="0.3">
      <c r="A586" s="4" t="s">
        <v>1304</v>
      </c>
      <c r="B586" s="4">
        <f t="shared" si="216"/>
        <v>0</v>
      </c>
      <c r="C586" s="4">
        <f t="shared" si="217"/>
        <v>1</v>
      </c>
      <c r="D586" s="4">
        <f t="shared" si="218"/>
        <v>0</v>
      </c>
      <c r="E586" s="4">
        <f t="shared" si="219"/>
        <v>0</v>
      </c>
      <c r="F586" s="4">
        <f t="shared" si="220"/>
        <v>0</v>
      </c>
      <c r="G586" s="4">
        <f t="shared" si="221"/>
        <v>0</v>
      </c>
      <c r="I586" s="11" t="s">
        <v>1294</v>
      </c>
      <c r="J586" s="9">
        <f t="shared" si="222"/>
        <v>0</v>
      </c>
      <c r="K586" s="9">
        <f t="shared" si="239"/>
        <v>0</v>
      </c>
      <c r="L586" s="9">
        <f t="shared" si="223"/>
        <v>0</v>
      </c>
      <c r="M586" s="9">
        <f t="shared" si="224"/>
        <v>0</v>
      </c>
      <c r="N586" s="9">
        <f t="shared" si="225"/>
        <v>0</v>
      </c>
      <c r="O586" s="9">
        <f t="shared" si="226"/>
        <v>0</v>
      </c>
      <c r="P586" s="9">
        <f t="shared" si="227"/>
        <v>0</v>
      </c>
      <c r="Q586" s="9">
        <f t="shared" si="228"/>
        <v>0</v>
      </c>
      <c r="R586" s="9">
        <f t="shared" si="229"/>
        <v>0</v>
      </c>
      <c r="S586" s="9">
        <f t="shared" si="230"/>
        <v>0</v>
      </c>
      <c r="T586" s="9">
        <f t="shared" si="231"/>
        <v>0</v>
      </c>
      <c r="U586" s="9">
        <f t="shared" si="232"/>
        <v>0</v>
      </c>
      <c r="V586" s="9">
        <f t="shared" si="233"/>
        <v>0</v>
      </c>
      <c r="W586" s="9">
        <f t="shared" si="234"/>
        <v>0</v>
      </c>
      <c r="X586" s="9">
        <f t="shared" si="235"/>
        <v>0</v>
      </c>
      <c r="Y586" s="9">
        <f t="shared" si="236"/>
        <v>0</v>
      </c>
      <c r="Z586" s="9">
        <f t="shared" si="237"/>
        <v>0</v>
      </c>
      <c r="AA586" s="10">
        <f t="shared" si="238"/>
        <v>0</v>
      </c>
    </row>
    <row r="587" spans="1:27" x14ac:dyDescent="0.3">
      <c r="A587" s="18" t="s">
        <v>1294</v>
      </c>
      <c r="B587" s="4">
        <f t="shared" si="216"/>
        <v>0</v>
      </c>
      <c r="C587" s="4">
        <f t="shared" si="217"/>
        <v>0</v>
      </c>
      <c r="D587" s="4">
        <f t="shared" si="218"/>
        <v>0</v>
      </c>
      <c r="E587" s="4">
        <f t="shared" si="219"/>
        <v>0</v>
      </c>
      <c r="F587" s="4">
        <f t="shared" si="220"/>
        <v>0</v>
      </c>
      <c r="G587" s="4">
        <f t="shared" si="221"/>
        <v>0</v>
      </c>
      <c r="I587" s="8" t="s">
        <v>994</v>
      </c>
      <c r="J587" s="9">
        <f t="shared" si="222"/>
        <v>0</v>
      </c>
      <c r="K587" s="9">
        <f t="shared" si="239"/>
        <v>0</v>
      </c>
      <c r="L587" s="9">
        <f t="shared" si="223"/>
        <v>0</v>
      </c>
      <c r="M587" s="9">
        <f t="shared" si="224"/>
        <v>0</v>
      </c>
      <c r="N587" s="9">
        <f t="shared" si="225"/>
        <v>0</v>
      </c>
      <c r="O587" s="9">
        <f t="shared" si="226"/>
        <v>0</v>
      </c>
      <c r="P587" s="9">
        <f t="shared" si="227"/>
        <v>1</v>
      </c>
      <c r="Q587" s="9">
        <f t="shared" si="228"/>
        <v>0</v>
      </c>
      <c r="R587" s="9">
        <f t="shared" si="229"/>
        <v>0</v>
      </c>
      <c r="S587" s="9">
        <f t="shared" si="230"/>
        <v>0</v>
      </c>
      <c r="T587" s="9">
        <f t="shared" si="231"/>
        <v>0</v>
      </c>
      <c r="U587" s="9">
        <f t="shared" si="232"/>
        <v>0</v>
      </c>
      <c r="V587" s="9">
        <f t="shared" si="233"/>
        <v>0</v>
      </c>
      <c r="W587" s="9">
        <f t="shared" si="234"/>
        <v>0</v>
      </c>
      <c r="X587" s="9">
        <f t="shared" si="235"/>
        <v>0</v>
      </c>
      <c r="Y587" s="9">
        <f t="shared" si="236"/>
        <v>0</v>
      </c>
      <c r="Z587" s="9">
        <f t="shared" si="237"/>
        <v>0</v>
      </c>
      <c r="AA587" s="10">
        <f t="shared" si="238"/>
        <v>0</v>
      </c>
    </row>
    <row r="588" spans="1:27" x14ac:dyDescent="0.3">
      <c r="A588" s="4" t="s">
        <v>1294</v>
      </c>
      <c r="B588" s="4">
        <f t="shared" si="216"/>
        <v>0</v>
      </c>
      <c r="C588" s="4">
        <f t="shared" si="217"/>
        <v>0</v>
      </c>
      <c r="D588" s="4">
        <f t="shared" si="218"/>
        <v>0</v>
      </c>
      <c r="E588" s="4">
        <f t="shared" si="219"/>
        <v>0</v>
      </c>
      <c r="F588" s="4">
        <f t="shared" si="220"/>
        <v>0</v>
      </c>
      <c r="G588" s="4">
        <f t="shared" si="221"/>
        <v>0</v>
      </c>
      <c r="I588" s="11" t="s">
        <v>996</v>
      </c>
      <c r="J588" s="9">
        <f t="shared" si="222"/>
        <v>0</v>
      </c>
      <c r="K588" s="9">
        <f t="shared" si="239"/>
        <v>0</v>
      </c>
      <c r="L588" s="9">
        <f t="shared" si="223"/>
        <v>0</v>
      </c>
      <c r="M588" s="9">
        <f t="shared" si="224"/>
        <v>0</v>
      </c>
      <c r="N588" s="9">
        <f t="shared" si="225"/>
        <v>0</v>
      </c>
      <c r="O588" s="9">
        <f t="shared" si="226"/>
        <v>0</v>
      </c>
      <c r="P588" s="9">
        <f t="shared" si="227"/>
        <v>0</v>
      </c>
      <c r="Q588" s="9">
        <f t="shared" si="228"/>
        <v>1</v>
      </c>
      <c r="R588" s="9">
        <f t="shared" si="229"/>
        <v>0</v>
      </c>
      <c r="S588" s="9">
        <f t="shared" si="230"/>
        <v>0</v>
      </c>
      <c r="T588" s="9">
        <f t="shared" si="231"/>
        <v>0</v>
      </c>
      <c r="U588" s="9">
        <f t="shared" si="232"/>
        <v>0</v>
      </c>
      <c r="V588" s="9">
        <f t="shared" si="233"/>
        <v>0</v>
      </c>
      <c r="W588" s="9">
        <f t="shared" si="234"/>
        <v>0</v>
      </c>
      <c r="X588" s="9">
        <f t="shared" si="235"/>
        <v>0</v>
      </c>
      <c r="Y588" s="9">
        <f t="shared" si="236"/>
        <v>0</v>
      </c>
      <c r="Z588" s="9">
        <f t="shared" si="237"/>
        <v>0</v>
      </c>
      <c r="AA588" s="10">
        <f t="shared" si="238"/>
        <v>0</v>
      </c>
    </row>
    <row r="589" spans="1:27" x14ac:dyDescent="0.3">
      <c r="A589" s="18" t="s">
        <v>1302</v>
      </c>
      <c r="B589" s="4">
        <f t="shared" si="216"/>
        <v>1</v>
      </c>
      <c r="C589" s="4">
        <f t="shared" si="217"/>
        <v>0</v>
      </c>
      <c r="D589" s="4">
        <f t="shared" si="218"/>
        <v>0</v>
      </c>
      <c r="E589" s="4">
        <f t="shared" si="219"/>
        <v>0</v>
      </c>
      <c r="F589" s="4">
        <f t="shared" si="220"/>
        <v>0</v>
      </c>
      <c r="G589" s="4">
        <f t="shared" si="221"/>
        <v>0</v>
      </c>
      <c r="I589" s="8" t="s">
        <v>990</v>
      </c>
      <c r="J589" s="9">
        <f t="shared" si="222"/>
        <v>0</v>
      </c>
      <c r="K589" s="9">
        <f t="shared" si="239"/>
        <v>0</v>
      </c>
      <c r="L589" s="9">
        <f t="shared" si="223"/>
        <v>0</v>
      </c>
      <c r="M589" s="9">
        <f t="shared" si="224"/>
        <v>0</v>
      </c>
      <c r="N589" s="9">
        <f t="shared" si="225"/>
        <v>1</v>
      </c>
      <c r="O589" s="9">
        <f t="shared" si="226"/>
        <v>0</v>
      </c>
      <c r="P589" s="9">
        <f t="shared" si="227"/>
        <v>0</v>
      </c>
      <c r="Q589" s="9">
        <f t="shared" si="228"/>
        <v>0</v>
      </c>
      <c r="R589" s="9">
        <f t="shared" si="229"/>
        <v>0</v>
      </c>
      <c r="S589" s="9">
        <f t="shared" si="230"/>
        <v>0</v>
      </c>
      <c r="T589" s="9">
        <f t="shared" si="231"/>
        <v>0</v>
      </c>
      <c r="U589" s="9">
        <f t="shared" si="232"/>
        <v>0</v>
      </c>
      <c r="V589" s="9">
        <f t="shared" si="233"/>
        <v>0</v>
      </c>
      <c r="W589" s="9">
        <f t="shared" si="234"/>
        <v>0</v>
      </c>
      <c r="X589" s="9">
        <f t="shared" si="235"/>
        <v>0</v>
      </c>
      <c r="Y589" s="9">
        <f t="shared" si="236"/>
        <v>0</v>
      </c>
      <c r="Z589" s="9">
        <f t="shared" si="237"/>
        <v>0</v>
      </c>
      <c r="AA589" s="10">
        <f t="shared" si="238"/>
        <v>0</v>
      </c>
    </row>
    <row r="590" spans="1:27" x14ac:dyDescent="0.3">
      <c r="A590" s="4" t="s">
        <v>1305</v>
      </c>
      <c r="B590" s="4">
        <f t="shared" si="216"/>
        <v>0</v>
      </c>
      <c r="C590" s="4">
        <f t="shared" si="217"/>
        <v>0</v>
      </c>
      <c r="D590" s="4">
        <f t="shared" si="218"/>
        <v>0</v>
      </c>
      <c r="E590" s="4">
        <f t="shared" si="219"/>
        <v>0</v>
      </c>
      <c r="F590" s="4">
        <f t="shared" si="220"/>
        <v>0</v>
      </c>
      <c r="G590" s="4">
        <f t="shared" si="221"/>
        <v>1</v>
      </c>
      <c r="I590" s="11" t="s">
        <v>982</v>
      </c>
      <c r="J590" s="9">
        <f t="shared" si="222"/>
        <v>0</v>
      </c>
      <c r="K590" s="9">
        <f t="shared" si="239"/>
        <v>1</v>
      </c>
      <c r="L590" s="9">
        <f t="shared" si="223"/>
        <v>0</v>
      </c>
      <c r="M590" s="9">
        <f t="shared" si="224"/>
        <v>0</v>
      </c>
      <c r="N590" s="9">
        <f t="shared" si="225"/>
        <v>0</v>
      </c>
      <c r="O590" s="9">
        <f t="shared" si="226"/>
        <v>0</v>
      </c>
      <c r="P590" s="9">
        <f t="shared" si="227"/>
        <v>0</v>
      </c>
      <c r="Q590" s="9">
        <f t="shared" si="228"/>
        <v>0</v>
      </c>
      <c r="R590" s="9">
        <f t="shared" si="229"/>
        <v>0</v>
      </c>
      <c r="S590" s="9">
        <f t="shared" si="230"/>
        <v>0</v>
      </c>
      <c r="T590" s="9">
        <f t="shared" si="231"/>
        <v>0</v>
      </c>
      <c r="U590" s="9">
        <f t="shared" si="232"/>
        <v>0</v>
      </c>
      <c r="V590" s="9">
        <f t="shared" si="233"/>
        <v>0</v>
      </c>
      <c r="W590" s="9">
        <f t="shared" si="234"/>
        <v>0</v>
      </c>
      <c r="X590" s="9">
        <f t="shared" si="235"/>
        <v>0</v>
      </c>
      <c r="Y590" s="9">
        <f t="shared" si="236"/>
        <v>0</v>
      </c>
      <c r="Z590" s="9">
        <f t="shared" si="237"/>
        <v>0</v>
      </c>
      <c r="AA590" s="10">
        <f t="shared" si="238"/>
        <v>0</v>
      </c>
    </row>
    <row r="591" spans="1:27" x14ac:dyDescent="0.3">
      <c r="A591" s="18" t="s">
        <v>1305</v>
      </c>
      <c r="B591" s="4">
        <f t="shared" si="216"/>
        <v>0</v>
      </c>
      <c r="C591" s="4">
        <f t="shared" si="217"/>
        <v>0</v>
      </c>
      <c r="D591" s="4">
        <f t="shared" si="218"/>
        <v>0</v>
      </c>
      <c r="E591" s="4">
        <f t="shared" si="219"/>
        <v>0</v>
      </c>
      <c r="F591" s="4">
        <f t="shared" si="220"/>
        <v>0</v>
      </c>
      <c r="G591" s="4">
        <f t="shared" si="221"/>
        <v>1</v>
      </c>
      <c r="I591" s="8" t="s">
        <v>996</v>
      </c>
      <c r="J591" s="9">
        <f t="shared" si="222"/>
        <v>0</v>
      </c>
      <c r="K591" s="9">
        <f t="shared" si="239"/>
        <v>0</v>
      </c>
      <c r="L591" s="9">
        <f t="shared" si="223"/>
        <v>0</v>
      </c>
      <c r="M591" s="9">
        <f t="shared" si="224"/>
        <v>0</v>
      </c>
      <c r="N591" s="9">
        <f t="shared" si="225"/>
        <v>0</v>
      </c>
      <c r="O591" s="9">
        <f t="shared" si="226"/>
        <v>0</v>
      </c>
      <c r="P591" s="9">
        <f t="shared" si="227"/>
        <v>0</v>
      </c>
      <c r="Q591" s="9">
        <f t="shared" si="228"/>
        <v>1</v>
      </c>
      <c r="R591" s="9">
        <f t="shared" si="229"/>
        <v>0</v>
      </c>
      <c r="S591" s="9">
        <f t="shared" si="230"/>
        <v>0</v>
      </c>
      <c r="T591" s="9">
        <f t="shared" si="231"/>
        <v>0</v>
      </c>
      <c r="U591" s="9">
        <f t="shared" si="232"/>
        <v>0</v>
      </c>
      <c r="V591" s="9">
        <f t="shared" si="233"/>
        <v>0</v>
      </c>
      <c r="W591" s="9">
        <f t="shared" si="234"/>
        <v>0</v>
      </c>
      <c r="X591" s="9">
        <f t="shared" si="235"/>
        <v>0</v>
      </c>
      <c r="Y591" s="9">
        <f t="shared" si="236"/>
        <v>0</v>
      </c>
      <c r="Z591" s="9">
        <f t="shared" si="237"/>
        <v>0</v>
      </c>
      <c r="AA591" s="10">
        <f t="shared" si="238"/>
        <v>0</v>
      </c>
    </row>
    <row r="592" spans="1:27" x14ac:dyDescent="0.3">
      <c r="A592" s="4" t="s">
        <v>1303</v>
      </c>
      <c r="B592" s="4">
        <f t="shared" si="216"/>
        <v>0</v>
      </c>
      <c r="C592" s="4">
        <f t="shared" si="217"/>
        <v>0</v>
      </c>
      <c r="D592" s="4">
        <f t="shared" si="218"/>
        <v>0</v>
      </c>
      <c r="E592" s="4">
        <f t="shared" si="219"/>
        <v>0</v>
      </c>
      <c r="F592" s="4">
        <f t="shared" si="220"/>
        <v>1</v>
      </c>
      <c r="G592" s="4">
        <f t="shared" si="221"/>
        <v>0</v>
      </c>
      <c r="I592" s="11" t="s">
        <v>977</v>
      </c>
      <c r="J592" s="9">
        <f t="shared" si="222"/>
        <v>1</v>
      </c>
      <c r="K592" s="9">
        <f t="shared" si="239"/>
        <v>0</v>
      </c>
      <c r="L592" s="9">
        <f t="shared" si="223"/>
        <v>0</v>
      </c>
      <c r="M592" s="9">
        <f t="shared" si="224"/>
        <v>0</v>
      </c>
      <c r="N592" s="9">
        <f t="shared" si="225"/>
        <v>0</v>
      </c>
      <c r="O592" s="9">
        <f t="shared" si="226"/>
        <v>0</v>
      </c>
      <c r="P592" s="9">
        <f t="shared" si="227"/>
        <v>0</v>
      </c>
      <c r="Q592" s="9">
        <f t="shared" si="228"/>
        <v>0</v>
      </c>
      <c r="R592" s="9">
        <f t="shared" si="229"/>
        <v>0</v>
      </c>
      <c r="S592" s="9">
        <f t="shared" si="230"/>
        <v>0</v>
      </c>
      <c r="T592" s="9">
        <f t="shared" si="231"/>
        <v>0</v>
      </c>
      <c r="U592" s="9">
        <f t="shared" si="232"/>
        <v>0</v>
      </c>
      <c r="V592" s="9">
        <f t="shared" si="233"/>
        <v>0</v>
      </c>
      <c r="W592" s="9">
        <f t="shared" si="234"/>
        <v>0</v>
      </c>
      <c r="X592" s="9">
        <f t="shared" si="235"/>
        <v>0</v>
      </c>
      <c r="Y592" s="9">
        <f t="shared" si="236"/>
        <v>0</v>
      </c>
      <c r="Z592" s="9">
        <f t="shared" si="237"/>
        <v>0</v>
      </c>
      <c r="AA592" s="10">
        <f t="shared" si="238"/>
        <v>0</v>
      </c>
    </row>
    <row r="593" spans="1:27" x14ac:dyDescent="0.3">
      <c r="A593" s="18" t="s">
        <v>1303</v>
      </c>
      <c r="B593" s="4">
        <f t="shared" si="216"/>
        <v>0</v>
      </c>
      <c r="C593" s="4">
        <f t="shared" si="217"/>
        <v>0</v>
      </c>
      <c r="D593" s="4">
        <f t="shared" si="218"/>
        <v>0</v>
      </c>
      <c r="E593" s="4">
        <f t="shared" si="219"/>
        <v>0</v>
      </c>
      <c r="F593" s="4">
        <f t="shared" si="220"/>
        <v>1</v>
      </c>
      <c r="G593" s="4">
        <f t="shared" si="221"/>
        <v>0</v>
      </c>
      <c r="I593" s="8" t="s">
        <v>996</v>
      </c>
      <c r="J593" s="9">
        <f t="shared" si="222"/>
        <v>0</v>
      </c>
      <c r="K593" s="9">
        <f t="shared" si="239"/>
        <v>0</v>
      </c>
      <c r="L593" s="9">
        <f t="shared" si="223"/>
        <v>0</v>
      </c>
      <c r="M593" s="9">
        <f t="shared" si="224"/>
        <v>0</v>
      </c>
      <c r="N593" s="9">
        <f t="shared" si="225"/>
        <v>0</v>
      </c>
      <c r="O593" s="9">
        <f t="shared" si="226"/>
        <v>0</v>
      </c>
      <c r="P593" s="9">
        <f t="shared" si="227"/>
        <v>0</v>
      </c>
      <c r="Q593" s="9">
        <f t="shared" si="228"/>
        <v>1</v>
      </c>
      <c r="R593" s="9">
        <f t="shared" si="229"/>
        <v>0</v>
      </c>
      <c r="S593" s="9">
        <f t="shared" si="230"/>
        <v>0</v>
      </c>
      <c r="T593" s="9">
        <f t="shared" si="231"/>
        <v>0</v>
      </c>
      <c r="U593" s="9">
        <f t="shared" si="232"/>
        <v>0</v>
      </c>
      <c r="V593" s="9">
        <f t="shared" si="233"/>
        <v>0</v>
      </c>
      <c r="W593" s="9">
        <f t="shared" si="234"/>
        <v>0</v>
      </c>
      <c r="X593" s="9">
        <f t="shared" si="235"/>
        <v>0</v>
      </c>
      <c r="Y593" s="9">
        <f t="shared" si="236"/>
        <v>0</v>
      </c>
      <c r="Z593" s="9">
        <f t="shared" si="237"/>
        <v>0</v>
      </c>
      <c r="AA593" s="10">
        <f t="shared" si="238"/>
        <v>0</v>
      </c>
    </row>
    <row r="594" spans="1:27" x14ac:dyDescent="0.3">
      <c r="A594" s="4" t="s">
        <v>1303</v>
      </c>
      <c r="B594" s="4">
        <f t="shared" si="216"/>
        <v>0</v>
      </c>
      <c r="C594" s="4">
        <f t="shared" si="217"/>
        <v>0</v>
      </c>
      <c r="D594" s="4">
        <f t="shared" si="218"/>
        <v>0</v>
      </c>
      <c r="E594" s="4">
        <f t="shared" si="219"/>
        <v>0</v>
      </c>
      <c r="F594" s="4">
        <f t="shared" si="220"/>
        <v>1</v>
      </c>
      <c r="G594" s="4">
        <f t="shared" si="221"/>
        <v>0</v>
      </c>
      <c r="I594" s="11" t="s">
        <v>1011</v>
      </c>
      <c r="J594" s="9">
        <f t="shared" si="222"/>
        <v>0</v>
      </c>
      <c r="K594" s="9">
        <f t="shared" si="239"/>
        <v>0</v>
      </c>
      <c r="L594" s="9">
        <f t="shared" si="223"/>
        <v>0</v>
      </c>
      <c r="M594" s="9">
        <f t="shared" si="224"/>
        <v>0</v>
      </c>
      <c r="N594" s="9">
        <f t="shared" si="225"/>
        <v>0</v>
      </c>
      <c r="O594" s="9">
        <f t="shared" si="226"/>
        <v>0</v>
      </c>
      <c r="P594" s="9">
        <f t="shared" si="227"/>
        <v>0</v>
      </c>
      <c r="Q594" s="9">
        <f t="shared" si="228"/>
        <v>0</v>
      </c>
      <c r="R594" s="9">
        <f t="shared" si="229"/>
        <v>0</v>
      </c>
      <c r="S594" s="9">
        <f t="shared" si="230"/>
        <v>1</v>
      </c>
      <c r="T594" s="9">
        <f t="shared" si="231"/>
        <v>0</v>
      </c>
      <c r="U594" s="9">
        <f t="shared" si="232"/>
        <v>0</v>
      </c>
      <c r="V594" s="9">
        <f t="shared" si="233"/>
        <v>0</v>
      </c>
      <c r="W594" s="9">
        <f t="shared" si="234"/>
        <v>0</v>
      </c>
      <c r="X594" s="9">
        <f t="shared" si="235"/>
        <v>0</v>
      </c>
      <c r="Y594" s="9">
        <f t="shared" si="236"/>
        <v>0</v>
      </c>
      <c r="Z594" s="9">
        <f t="shared" si="237"/>
        <v>0</v>
      </c>
      <c r="AA594" s="10">
        <f t="shared" si="238"/>
        <v>0</v>
      </c>
    </row>
    <row r="595" spans="1:27" x14ac:dyDescent="0.3">
      <c r="A595" s="18" t="s">
        <v>1305</v>
      </c>
      <c r="B595" s="4">
        <f t="shared" si="216"/>
        <v>0</v>
      </c>
      <c r="C595" s="4">
        <f t="shared" si="217"/>
        <v>0</v>
      </c>
      <c r="D595" s="4">
        <f t="shared" si="218"/>
        <v>0</v>
      </c>
      <c r="E595" s="4">
        <f t="shared" si="219"/>
        <v>0</v>
      </c>
      <c r="F595" s="4">
        <f t="shared" si="220"/>
        <v>0</v>
      </c>
      <c r="G595" s="4">
        <f t="shared" si="221"/>
        <v>1</v>
      </c>
      <c r="I595" s="8" t="s">
        <v>977</v>
      </c>
      <c r="J595" s="9">
        <f t="shared" si="222"/>
        <v>1</v>
      </c>
      <c r="K595" s="9">
        <f t="shared" si="239"/>
        <v>0</v>
      </c>
      <c r="L595" s="9">
        <f t="shared" si="223"/>
        <v>0</v>
      </c>
      <c r="M595" s="9">
        <f t="shared" si="224"/>
        <v>0</v>
      </c>
      <c r="N595" s="9">
        <f t="shared" si="225"/>
        <v>0</v>
      </c>
      <c r="O595" s="9">
        <f t="shared" si="226"/>
        <v>0</v>
      </c>
      <c r="P595" s="9">
        <f t="shared" si="227"/>
        <v>0</v>
      </c>
      <c r="Q595" s="9">
        <f t="shared" si="228"/>
        <v>0</v>
      </c>
      <c r="R595" s="9">
        <f t="shared" si="229"/>
        <v>0</v>
      </c>
      <c r="S595" s="9">
        <f t="shared" si="230"/>
        <v>0</v>
      </c>
      <c r="T595" s="9">
        <f t="shared" si="231"/>
        <v>0</v>
      </c>
      <c r="U595" s="9">
        <f t="shared" si="232"/>
        <v>0</v>
      </c>
      <c r="V595" s="9">
        <f t="shared" si="233"/>
        <v>0</v>
      </c>
      <c r="W595" s="9">
        <f t="shared" si="234"/>
        <v>0</v>
      </c>
      <c r="X595" s="9">
        <f t="shared" si="235"/>
        <v>0</v>
      </c>
      <c r="Y595" s="9">
        <f t="shared" si="236"/>
        <v>0</v>
      </c>
      <c r="Z595" s="9">
        <f t="shared" si="237"/>
        <v>0</v>
      </c>
      <c r="AA595" s="10">
        <f t="shared" si="238"/>
        <v>0</v>
      </c>
    </row>
    <row r="596" spans="1:27" x14ac:dyDescent="0.3">
      <c r="A596" s="4" t="s">
        <v>1305</v>
      </c>
      <c r="B596" s="4">
        <f t="shared" si="216"/>
        <v>0</v>
      </c>
      <c r="C596" s="4">
        <f t="shared" si="217"/>
        <v>0</v>
      </c>
      <c r="D596" s="4">
        <f t="shared" si="218"/>
        <v>0</v>
      </c>
      <c r="E596" s="4">
        <f t="shared" si="219"/>
        <v>0</v>
      </c>
      <c r="F596" s="4">
        <f t="shared" si="220"/>
        <v>0</v>
      </c>
      <c r="G596" s="4">
        <f t="shared" si="221"/>
        <v>1</v>
      </c>
      <c r="I596" s="11" t="s">
        <v>977</v>
      </c>
      <c r="J596" s="9">
        <f t="shared" si="222"/>
        <v>1</v>
      </c>
      <c r="K596" s="9">
        <f t="shared" si="239"/>
        <v>0</v>
      </c>
      <c r="L596" s="9">
        <f t="shared" si="223"/>
        <v>0</v>
      </c>
      <c r="M596" s="9">
        <f t="shared" si="224"/>
        <v>0</v>
      </c>
      <c r="N596" s="9">
        <f t="shared" si="225"/>
        <v>0</v>
      </c>
      <c r="O596" s="9">
        <f t="shared" si="226"/>
        <v>0</v>
      </c>
      <c r="P596" s="9">
        <f t="shared" si="227"/>
        <v>0</v>
      </c>
      <c r="Q596" s="9">
        <f t="shared" si="228"/>
        <v>0</v>
      </c>
      <c r="R596" s="9">
        <f t="shared" si="229"/>
        <v>0</v>
      </c>
      <c r="S596" s="9">
        <f t="shared" si="230"/>
        <v>0</v>
      </c>
      <c r="T596" s="9">
        <f t="shared" si="231"/>
        <v>0</v>
      </c>
      <c r="U596" s="9">
        <f t="shared" si="232"/>
        <v>0</v>
      </c>
      <c r="V596" s="9">
        <f t="shared" si="233"/>
        <v>0</v>
      </c>
      <c r="W596" s="9">
        <f t="shared" si="234"/>
        <v>0</v>
      </c>
      <c r="X596" s="9">
        <f t="shared" si="235"/>
        <v>0</v>
      </c>
      <c r="Y596" s="9">
        <f t="shared" si="236"/>
        <v>0</v>
      </c>
      <c r="Z596" s="9">
        <f t="shared" si="237"/>
        <v>0</v>
      </c>
      <c r="AA596" s="10">
        <f t="shared" si="238"/>
        <v>0</v>
      </c>
    </row>
    <row r="597" spans="1:27" x14ac:dyDescent="0.3">
      <c r="A597" s="18" t="s">
        <v>1305</v>
      </c>
      <c r="B597" s="4">
        <f t="shared" si="216"/>
        <v>0</v>
      </c>
      <c r="C597" s="4">
        <f t="shared" si="217"/>
        <v>0</v>
      </c>
      <c r="D597" s="4">
        <f t="shared" si="218"/>
        <v>0</v>
      </c>
      <c r="E597" s="4">
        <f t="shared" si="219"/>
        <v>0</v>
      </c>
      <c r="F597" s="4">
        <f t="shared" si="220"/>
        <v>0</v>
      </c>
      <c r="G597" s="4">
        <f t="shared" si="221"/>
        <v>1</v>
      </c>
      <c r="I597" s="8" t="s">
        <v>996</v>
      </c>
      <c r="J597" s="9">
        <f t="shared" si="222"/>
        <v>0</v>
      </c>
      <c r="K597" s="9">
        <f t="shared" si="239"/>
        <v>0</v>
      </c>
      <c r="L597" s="9">
        <f t="shared" si="223"/>
        <v>0</v>
      </c>
      <c r="M597" s="9">
        <f t="shared" si="224"/>
        <v>0</v>
      </c>
      <c r="N597" s="9">
        <f t="shared" si="225"/>
        <v>0</v>
      </c>
      <c r="O597" s="9">
        <f t="shared" si="226"/>
        <v>0</v>
      </c>
      <c r="P597" s="9">
        <f t="shared" si="227"/>
        <v>0</v>
      </c>
      <c r="Q597" s="9">
        <f t="shared" si="228"/>
        <v>1</v>
      </c>
      <c r="R597" s="9">
        <f t="shared" si="229"/>
        <v>0</v>
      </c>
      <c r="S597" s="9">
        <f t="shared" si="230"/>
        <v>0</v>
      </c>
      <c r="T597" s="9">
        <f t="shared" si="231"/>
        <v>0</v>
      </c>
      <c r="U597" s="9">
        <f t="shared" si="232"/>
        <v>0</v>
      </c>
      <c r="V597" s="9">
        <f t="shared" si="233"/>
        <v>0</v>
      </c>
      <c r="W597" s="9">
        <f t="shared" si="234"/>
        <v>0</v>
      </c>
      <c r="X597" s="9">
        <f t="shared" si="235"/>
        <v>0</v>
      </c>
      <c r="Y597" s="9">
        <f t="shared" si="236"/>
        <v>0</v>
      </c>
      <c r="Z597" s="9">
        <f t="shared" si="237"/>
        <v>0</v>
      </c>
      <c r="AA597" s="10">
        <f t="shared" si="238"/>
        <v>0</v>
      </c>
    </row>
    <row r="598" spans="1:27" x14ac:dyDescent="0.3">
      <c r="A598" s="4" t="s">
        <v>1302</v>
      </c>
      <c r="B598" s="4">
        <f t="shared" si="216"/>
        <v>1</v>
      </c>
      <c r="C598" s="4">
        <f t="shared" si="217"/>
        <v>0</v>
      </c>
      <c r="D598" s="4">
        <f t="shared" si="218"/>
        <v>0</v>
      </c>
      <c r="E598" s="4">
        <f t="shared" si="219"/>
        <v>0</v>
      </c>
      <c r="F598" s="4">
        <f t="shared" si="220"/>
        <v>0</v>
      </c>
      <c r="G598" s="4">
        <f t="shared" si="221"/>
        <v>0</v>
      </c>
      <c r="I598" s="11" t="s">
        <v>990</v>
      </c>
      <c r="J598" s="9">
        <f t="shared" si="222"/>
        <v>0</v>
      </c>
      <c r="K598" s="9">
        <f t="shared" si="239"/>
        <v>0</v>
      </c>
      <c r="L598" s="9">
        <f t="shared" si="223"/>
        <v>0</v>
      </c>
      <c r="M598" s="9">
        <f t="shared" si="224"/>
        <v>0</v>
      </c>
      <c r="N598" s="9">
        <f t="shared" si="225"/>
        <v>1</v>
      </c>
      <c r="O598" s="9">
        <f t="shared" si="226"/>
        <v>0</v>
      </c>
      <c r="P598" s="9">
        <f t="shared" si="227"/>
        <v>0</v>
      </c>
      <c r="Q598" s="9">
        <f t="shared" si="228"/>
        <v>0</v>
      </c>
      <c r="R598" s="9">
        <f t="shared" si="229"/>
        <v>0</v>
      </c>
      <c r="S598" s="9">
        <f t="shared" si="230"/>
        <v>0</v>
      </c>
      <c r="T598" s="9">
        <f t="shared" si="231"/>
        <v>0</v>
      </c>
      <c r="U598" s="9">
        <f t="shared" si="232"/>
        <v>0</v>
      </c>
      <c r="V598" s="9">
        <f t="shared" si="233"/>
        <v>0</v>
      </c>
      <c r="W598" s="9">
        <f t="shared" si="234"/>
        <v>0</v>
      </c>
      <c r="X598" s="9">
        <f t="shared" si="235"/>
        <v>0</v>
      </c>
      <c r="Y598" s="9">
        <f t="shared" si="236"/>
        <v>0</v>
      </c>
      <c r="Z598" s="9">
        <f t="shared" si="237"/>
        <v>0</v>
      </c>
      <c r="AA598" s="10">
        <f t="shared" si="238"/>
        <v>0</v>
      </c>
    </row>
    <row r="599" spans="1:27" x14ac:dyDescent="0.3">
      <c r="A599" s="18" t="s">
        <v>1302</v>
      </c>
      <c r="B599" s="4">
        <f t="shared" si="216"/>
        <v>1</v>
      </c>
      <c r="C599" s="4">
        <f t="shared" si="217"/>
        <v>0</v>
      </c>
      <c r="D599" s="4">
        <f t="shared" si="218"/>
        <v>0</v>
      </c>
      <c r="E599" s="4">
        <f t="shared" si="219"/>
        <v>0</v>
      </c>
      <c r="F599" s="4">
        <f t="shared" si="220"/>
        <v>0</v>
      </c>
      <c r="G599" s="4">
        <f t="shared" si="221"/>
        <v>0</v>
      </c>
      <c r="I599" s="8" t="s">
        <v>1026</v>
      </c>
      <c r="J599" s="9">
        <f t="shared" si="222"/>
        <v>0</v>
      </c>
      <c r="K599" s="9">
        <f t="shared" si="239"/>
        <v>0</v>
      </c>
      <c r="L599" s="9">
        <f t="shared" si="223"/>
        <v>0</v>
      </c>
      <c r="M599" s="9">
        <f t="shared" si="224"/>
        <v>0</v>
      </c>
      <c r="N599" s="9">
        <f t="shared" si="225"/>
        <v>0</v>
      </c>
      <c r="O599" s="9">
        <f t="shared" si="226"/>
        <v>0</v>
      </c>
      <c r="P599" s="9">
        <f t="shared" si="227"/>
        <v>0</v>
      </c>
      <c r="Q599" s="9">
        <f t="shared" si="228"/>
        <v>0</v>
      </c>
      <c r="R599" s="9">
        <f t="shared" si="229"/>
        <v>0</v>
      </c>
      <c r="S599" s="9">
        <f t="shared" si="230"/>
        <v>0</v>
      </c>
      <c r="T599" s="9">
        <f t="shared" si="231"/>
        <v>1</v>
      </c>
      <c r="U599" s="9">
        <f t="shared" si="232"/>
        <v>0</v>
      </c>
      <c r="V599" s="9">
        <f t="shared" si="233"/>
        <v>0</v>
      </c>
      <c r="W599" s="9">
        <f t="shared" si="234"/>
        <v>0</v>
      </c>
      <c r="X599" s="9">
        <f t="shared" si="235"/>
        <v>0</v>
      </c>
      <c r="Y599" s="9">
        <f t="shared" si="236"/>
        <v>0</v>
      </c>
      <c r="Z599" s="9">
        <f t="shared" si="237"/>
        <v>0</v>
      </c>
      <c r="AA599" s="10">
        <f t="shared" si="238"/>
        <v>0</v>
      </c>
    </row>
    <row r="600" spans="1:27" x14ac:dyDescent="0.3">
      <c r="A600" s="4" t="s">
        <v>1303</v>
      </c>
      <c r="B600" s="4">
        <f t="shared" si="216"/>
        <v>0</v>
      </c>
      <c r="C600" s="4">
        <f t="shared" si="217"/>
        <v>0</v>
      </c>
      <c r="D600" s="4">
        <f t="shared" si="218"/>
        <v>0</v>
      </c>
      <c r="E600" s="4">
        <f t="shared" si="219"/>
        <v>0</v>
      </c>
      <c r="F600" s="4">
        <f t="shared" si="220"/>
        <v>1</v>
      </c>
      <c r="G600" s="4">
        <f t="shared" si="221"/>
        <v>0</v>
      </c>
      <c r="I600" s="11" t="s">
        <v>982</v>
      </c>
      <c r="J600" s="9">
        <f t="shared" si="222"/>
        <v>0</v>
      </c>
      <c r="K600" s="9">
        <f t="shared" si="239"/>
        <v>1</v>
      </c>
      <c r="L600" s="9">
        <f t="shared" si="223"/>
        <v>0</v>
      </c>
      <c r="M600" s="9">
        <f t="shared" si="224"/>
        <v>0</v>
      </c>
      <c r="N600" s="9">
        <f t="shared" si="225"/>
        <v>0</v>
      </c>
      <c r="O600" s="9">
        <f t="shared" si="226"/>
        <v>0</v>
      </c>
      <c r="P600" s="9">
        <f t="shared" si="227"/>
        <v>0</v>
      </c>
      <c r="Q600" s="9">
        <f t="shared" si="228"/>
        <v>0</v>
      </c>
      <c r="R600" s="9">
        <f t="shared" si="229"/>
        <v>0</v>
      </c>
      <c r="S600" s="9">
        <f t="shared" si="230"/>
        <v>0</v>
      </c>
      <c r="T600" s="9">
        <f t="shared" si="231"/>
        <v>0</v>
      </c>
      <c r="U600" s="9">
        <f t="shared" si="232"/>
        <v>0</v>
      </c>
      <c r="V600" s="9">
        <f t="shared" si="233"/>
        <v>0</v>
      </c>
      <c r="W600" s="9">
        <f t="shared" si="234"/>
        <v>0</v>
      </c>
      <c r="X600" s="9">
        <f t="shared" si="235"/>
        <v>0</v>
      </c>
      <c r="Y600" s="9">
        <f t="shared" si="236"/>
        <v>0</v>
      </c>
      <c r="Z600" s="9">
        <f t="shared" si="237"/>
        <v>0</v>
      </c>
      <c r="AA600" s="10">
        <f t="shared" si="238"/>
        <v>0</v>
      </c>
    </row>
    <row r="601" spans="1:27" x14ac:dyDescent="0.3">
      <c r="A601" s="18" t="s">
        <v>1302</v>
      </c>
      <c r="B601" s="4">
        <f t="shared" si="216"/>
        <v>1</v>
      </c>
      <c r="C601" s="4">
        <f t="shared" si="217"/>
        <v>0</v>
      </c>
      <c r="D601" s="4">
        <f t="shared" si="218"/>
        <v>0</v>
      </c>
      <c r="E601" s="4">
        <f t="shared" si="219"/>
        <v>0</v>
      </c>
      <c r="F601" s="4">
        <f t="shared" si="220"/>
        <v>0</v>
      </c>
      <c r="G601" s="4">
        <f t="shared" si="221"/>
        <v>0</v>
      </c>
      <c r="I601" s="8" t="s">
        <v>994</v>
      </c>
      <c r="J601" s="9">
        <f t="shared" si="222"/>
        <v>0</v>
      </c>
      <c r="K601" s="9">
        <f t="shared" si="239"/>
        <v>0</v>
      </c>
      <c r="L601" s="9">
        <f t="shared" si="223"/>
        <v>0</v>
      </c>
      <c r="M601" s="9">
        <f t="shared" si="224"/>
        <v>0</v>
      </c>
      <c r="N601" s="9">
        <f t="shared" si="225"/>
        <v>0</v>
      </c>
      <c r="O601" s="9">
        <f t="shared" si="226"/>
        <v>0</v>
      </c>
      <c r="P601" s="9">
        <f t="shared" si="227"/>
        <v>1</v>
      </c>
      <c r="Q601" s="9">
        <f t="shared" si="228"/>
        <v>0</v>
      </c>
      <c r="R601" s="9">
        <f t="shared" si="229"/>
        <v>0</v>
      </c>
      <c r="S601" s="9">
        <f t="shared" si="230"/>
        <v>0</v>
      </c>
      <c r="T601" s="9">
        <f t="shared" si="231"/>
        <v>0</v>
      </c>
      <c r="U601" s="9">
        <f t="shared" si="232"/>
        <v>0</v>
      </c>
      <c r="V601" s="9">
        <f t="shared" si="233"/>
        <v>0</v>
      </c>
      <c r="W601" s="9">
        <f t="shared" si="234"/>
        <v>0</v>
      </c>
      <c r="X601" s="9">
        <f t="shared" si="235"/>
        <v>0</v>
      </c>
      <c r="Y601" s="9">
        <f t="shared" si="236"/>
        <v>0</v>
      </c>
      <c r="Z601" s="9">
        <f t="shared" si="237"/>
        <v>0</v>
      </c>
      <c r="AA601" s="10">
        <f t="shared" si="238"/>
        <v>0</v>
      </c>
    </row>
    <row r="602" spans="1:27" x14ac:dyDescent="0.3">
      <c r="A602" s="4" t="s">
        <v>1302</v>
      </c>
      <c r="B602" s="4">
        <f t="shared" si="216"/>
        <v>1</v>
      </c>
      <c r="C602" s="4">
        <f t="shared" si="217"/>
        <v>0</v>
      </c>
      <c r="D602" s="4">
        <f t="shared" si="218"/>
        <v>0</v>
      </c>
      <c r="E602" s="4">
        <f t="shared" si="219"/>
        <v>0</v>
      </c>
      <c r="F602" s="4">
        <f t="shared" si="220"/>
        <v>0</v>
      </c>
      <c r="G602" s="4">
        <f t="shared" si="221"/>
        <v>0</v>
      </c>
      <c r="I602" s="11" t="s">
        <v>977</v>
      </c>
      <c r="J602" s="9">
        <f t="shared" si="222"/>
        <v>1</v>
      </c>
      <c r="K602" s="9">
        <f t="shared" si="239"/>
        <v>0</v>
      </c>
      <c r="L602" s="9">
        <f t="shared" si="223"/>
        <v>0</v>
      </c>
      <c r="M602" s="9">
        <f t="shared" si="224"/>
        <v>0</v>
      </c>
      <c r="N602" s="9">
        <f t="shared" si="225"/>
        <v>0</v>
      </c>
      <c r="O602" s="9">
        <f t="shared" si="226"/>
        <v>0</v>
      </c>
      <c r="P602" s="9">
        <f t="shared" si="227"/>
        <v>0</v>
      </c>
      <c r="Q602" s="9">
        <f t="shared" si="228"/>
        <v>0</v>
      </c>
      <c r="R602" s="9">
        <f t="shared" si="229"/>
        <v>0</v>
      </c>
      <c r="S602" s="9">
        <f t="shared" si="230"/>
        <v>0</v>
      </c>
      <c r="T602" s="9">
        <f t="shared" si="231"/>
        <v>0</v>
      </c>
      <c r="U602" s="9">
        <f t="shared" si="232"/>
        <v>0</v>
      </c>
      <c r="V602" s="9">
        <f t="shared" si="233"/>
        <v>0</v>
      </c>
      <c r="W602" s="9">
        <f t="shared" si="234"/>
        <v>0</v>
      </c>
      <c r="X602" s="9">
        <f t="shared" si="235"/>
        <v>0</v>
      </c>
      <c r="Y602" s="9">
        <f t="shared" si="236"/>
        <v>0</v>
      </c>
      <c r="Z602" s="9">
        <f t="shared" si="237"/>
        <v>0</v>
      </c>
      <c r="AA602" s="10">
        <f t="shared" si="238"/>
        <v>0</v>
      </c>
    </row>
    <row r="603" spans="1:27" x14ac:dyDescent="0.3">
      <c r="A603" s="18" t="s">
        <v>1302</v>
      </c>
      <c r="B603" s="4">
        <f t="shared" si="216"/>
        <v>1</v>
      </c>
      <c r="C603" s="4">
        <f t="shared" si="217"/>
        <v>0</v>
      </c>
      <c r="D603" s="4">
        <f t="shared" si="218"/>
        <v>0</v>
      </c>
      <c r="E603" s="4">
        <f t="shared" si="219"/>
        <v>0</v>
      </c>
      <c r="F603" s="4">
        <f t="shared" si="220"/>
        <v>0</v>
      </c>
      <c r="G603" s="4">
        <f t="shared" si="221"/>
        <v>0</v>
      </c>
      <c r="I603" s="8" t="s">
        <v>977</v>
      </c>
      <c r="J603" s="9">
        <f t="shared" si="222"/>
        <v>1</v>
      </c>
      <c r="K603" s="9">
        <f t="shared" si="239"/>
        <v>0</v>
      </c>
      <c r="L603" s="9">
        <f t="shared" si="223"/>
        <v>0</v>
      </c>
      <c r="M603" s="9">
        <f t="shared" si="224"/>
        <v>0</v>
      </c>
      <c r="N603" s="9">
        <f t="shared" si="225"/>
        <v>0</v>
      </c>
      <c r="O603" s="9">
        <f t="shared" si="226"/>
        <v>0</v>
      </c>
      <c r="P603" s="9">
        <f t="shared" si="227"/>
        <v>0</v>
      </c>
      <c r="Q603" s="9">
        <f t="shared" si="228"/>
        <v>0</v>
      </c>
      <c r="R603" s="9">
        <f t="shared" si="229"/>
        <v>0</v>
      </c>
      <c r="S603" s="9">
        <f t="shared" si="230"/>
        <v>0</v>
      </c>
      <c r="T603" s="9">
        <f t="shared" si="231"/>
        <v>0</v>
      </c>
      <c r="U603" s="9">
        <f t="shared" si="232"/>
        <v>0</v>
      </c>
      <c r="V603" s="9">
        <f t="shared" si="233"/>
        <v>0</v>
      </c>
      <c r="W603" s="9">
        <f t="shared" si="234"/>
        <v>0</v>
      </c>
      <c r="X603" s="9">
        <f t="shared" si="235"/>
        <v>0</v>
      </c>
      <c r="Y603" s="9">
        <f t="shared" si="236"/>
        <v>0</v>
      </c>
      <c r="Z603" s="9">
        <f t="shared" si="237"/>
        <v>0</v>
      </c>
      <c r="AA603" s="10">
        <f t="shared" si="238"/>
        <v>0</v>
      </c>
    </row>
    <row r="604" spans="1:27" x14ac:dyDescent="0.3">
      <c r="A604" s="4" t="s">
        <v>1302</v>
      </c>
      <c r="B604" s="4">
        <f t="shared" si="216"/>
        <v>1</v>
      </c>
      <c r="C604" s="4">
        <f t="shared" si="217"/>
        <v>0</v>
      </c>
      <c r="D604" s="4">
        <f t="shared" si="218"/>
        <v>0</v>
      </c>
      <c r="E604" s="4">
        <f t="shared" si="219"/>
        <v>0</v>
      </c>
      <c r="F604" s="4">
        <f t="shared" si="220"/>
        <v>0</v>
      </c>
      <c r="G604" s="4">
        <f t="shared" si="221"/>
        <v>0</v>
      </c>
      <c r="I604" s="11" t="s">
        <v>977</v>
      </c>
      <c r="J604" s="9">
        <f t="shared" si="222"/>
        <v>1</v>
      </c>
      <c r="K604" s="9">
        <f t="shared" si="239"/>
        <v>0</v>
      </c>
      <c r="L604" s="9">
        <f t="shared" si="223"/>
        <v>0</v>
      </c>
      <c r="M604" s="9">
        <f t="shared" si="224"/>
        <v>0</v>
      </c>
      <c r="N604" s="9">
        <f t="shared" si="225"/>
        <v>0</v>
      </c>
      <c r="O604" s="9">
        <f t="shared" si="226"/>
        <v>0</v>
      </c>
      <c r="P604" s="9">
        <f t="shared" si="227"/>
        <v>0</v>
      </c>
      <c r="Q604" s="9">
        <f t="shared" si="228"/>
        <v>0</v>
      </c>
      <c r="R604" s="9">
        <f t="shared" si="229"/>
        <v>0</v>
      </c>
      <c r="S604" s="9">
        <f t="shared" si="230"/>
        <v>0</v>
      </c>
      <c r="T604" s="9">
        <f t="shared" si="231"/>
        <v>0</v>
      </c>
      <c r="U604" s="9">
        <f t="shared" si="232"/>
        <v>0</v>
      </c>
      <c r="V604" s="9">
        <f t="shared" si="233"/>
        <v>0</v>
      </c>
      <c r="W604" s="9">
        <f t="shared" si="234"/>
        <v>0</v>
      </c>
      <c r="X604" s="9">
        <f t="shared" si="235"/>
        <v>0</v>
      </c>
      <c r="Y604" s="9">
        <f t="shared" si="236"/>
        <v>0</v>
      </c>
      <c r="Z604" s="9">
        <f t="shared" si="237"/>
        <v>0</v>
      </c>
      <c r="AA604" s="10">
        <f t="shared" si="238"/>
        <v>0</v>
      </c>
    </row>
    <row r="605" spans="1:27" x14ac:dyDescent="0.3">
      <c r="A605" s="18" t="s">
        <v>1302</v>
      </c>
      <c r="B605" s="4">
        <f t="shared" si="216"/>
        <v>1</v>
      </c>
      <c r="C605" s="4">
        <f t="shared" si="217"/>
        <v>0</v>
      </c>
      <c r="D605" s="4">
        <f t="shared" si="218"/>
        <v>0</v>
      </c>
      <c r="E605" s="4">
        <f t="shared" si="219"/>
        <v>0</v>
      </c>
      <c r="F605" s="4">
        <f t="shared" si="220"/>
        <v>0</v>
      </c>
      <c r="G605" s="4">
        <f t="shared" si="221"/>
        <v>0</v>
      </c>
      <c r="I605" s="8" t="s">
        <v>982</v>
      </c>
      <c r="J605" s="9">
        <f t="shared" si="222"/>
        <v>0</v>
      </c>
      <c r="K605" s="9">
        <f t="shared" si="239"/>
        <v>1</v>
      </c>
      <c r="L605" s="9">
        <f t="shared" si="223"/>
        <v>0</v>
      </c>
      <c r="M605" s="9">
        <f t="shared" si="224"/>
        <v>0</v>
      </c>
      <c r="N605" s="9">
        <f t="shared" si="225"/>
        <v>0</v>
      </c>
      <c r="O605" s="9">
        <f t="shared" si="226"/>
        <v>0</v>
      </c>
      <c r="P605" s="9">
        <f t="shared" si="227"/>
        <v>0</v>
      </c>
      <c r="Q605" s="9">
        <f t="shared" si="228"/>
        <v>0</v>
      </c>
      <c r="R605" s="9">
        <f t="shared" si="229"/>
        <v>0</v>
      </c>
      <c r="S605" s="9">
        <f t="shared" si="230"/>
        <v>0</v>
      </c>
      <c r="T605" s="9">
        <f t="shared" si="231"/>
        <v>0</v>
      </c>
      <c r="U605" s="9">
        <f t="shared" si="232"/>
        <v>0</v>
      </c>
      <c r="V605" s="9">
        <f t="shared" si="233"/>
        <v>0</v>
      </c>
      <c r="W605" s="9">
        <f t="shared" si="234"/>
        <v>0</v>
      </c>
      <c r="X605" s="9">
        <f t="shared" si="235"/>
        <v>0</v>
      </c>
      <c r="Y605" s="9">
        <f t="shared" si="236"/>
        <v>0</v>
      </c>
      <c r="Z605" s="9">
        <f t="shared" si="237"/>
        <v>0</v>
      </c>
      <c r="AA605" s="10">
        <f t="shared" si="238"/>
        <v>0</v>
      </c>
    </row>
    <row r="606" spans="1:27" x14ac:dyDescent="0.3">
      <c r="A606" s="4" t="s">
        <v>1303</v>
      </c>
      <c r="B606" s="4">
        <f t="shared" si="216"/>
        <v>0</v>
      </c>
      <c r="C606" s="4">
        <f t="shared" si="217"/>
        <v>0</v>
      </c>
      <c r="D606" s="4">
        <f t="shared" si="218"/>
        <v>0</v>
      </c>
      <c r="E606" s="4">
        <f t="shared" si="219"/>
        <v>0</v>
      </c>
      <c r="F606" s="4">
        <f t="shared" si="220"/>
        <v>1</v>
      </c>
      <c r="G606" s="4">
        <f t="shared" si="221"/>
        <v>0</v>
      </c>
      <c r="I606" s="11" t="s">
        <v>988</v>
      </c>
      <c r="J606" s="9">
        <f t="shared" si="222"/>
        <v>0</v>
      </c>
      <c r="K606" s="9">
        <f t="shared" si="239"/>
        <v>0</v>
      </c>
      <c r="L606" s="9">
        <f t="shared" si="223"/>
        <v>1</v>
      </c>
      <c r="M606" s="9">
        <f t="shared" si="224"/>
        <v>0</v>
      </c>
      <c r="N606" s="9">
        <f t="shared" si="225"/>
        <v>0</v>
      </c>
      <c r="O606" s="9">
        <f t="shared" si="226"/>
        <v>0</v>
      </c>
      <c r="P606" s="9">
        <f t="shared" si="227"/>
        <v>0</v>
      </c>
      <c r="Q606" s="9">
        <f t="shared" si="228"/>
        <v>0</v>
      </c>
      <c r="R606" s="9">
        <f t="shared" si="229"/>
        <v>0</v>
      </c>
      <c r="S606" s="9">
        <f t="shared" si="230"/>
        <v>0</v>
      </c>
      <c r="T606" s="9">
        <f t="shared" si="231"/>
        <v>0</v>
      </c>
      <c r="U606" s="9">
        <f t="shared" si="232"/>
        <v>0</v>
      </c>
      <c r="V606" s="9">
        <f t="shared" si="233"/>
        <v>0</v>
      </c>
      <c r="W606" s="9">
        <f t="shared" si="234"/>
        <v>0</v>
      </c>
      <c r="X606" s="9">
        <f t="shared" si="235"/>
        <v>0</v>
      </c>
      <c r="Y606" s="9">
        <f t="shared" si="236"/>
        <v>0</v>
      </c>
      <c r="Z606" s="9">
        <f t="shared" si="237"/>
        <v>0</v>
      </c>
      <c r="AA606" s="10">
        <f t="shared" si="238"/>
        <v>0</v>
      </c>
    </row>
    <row r="607" spans="1:27" x14ac:dyDescent="0.3">
      <c r="A607" s="18" t="s">
        <v>1302</v>
      </c>
      <c r="B607" s="4">
        <f t="shared" si="216"/>
        <v>1</v>
      </c>
      <c r="C607" s="4">
        <f t="shared" si="217"/>
        <v>0</v>
      </c>
      <c r="D607" s="4">
        <f t="shared" si="218"/>
        <v>0</v>
      </c>
      <c r="E607" s="4">
        <f t="shared" si="219"/>
        <v>0</v>
      </c>
      <c r="F607" s="4">
        <f t="shared" si="220"/>
        <v>0</v>
      </c>
      <c r="G607" s="4">
        <f t="shared" si="221"/>
        <v>0</v>
      </c>
      <c r="I607" s="8" t="s">
        <v>1294</v>
      </c>
      <c r="J607" s="9">
        <f t="shared" si="222"/>
        <v>0</v>
      </c>
      <c r="K607" s="9">
        <f t="shared" si="239"/>
        <v>0</v>
      </c>
      <c r="L607" s="9">
        <f t="shared" si="223"/>
        <v>0</v>
      </c>
      <c r="M607" s="9">
        <f t="shared" si="224"/>
        <v>0</v>
      </c>
      <c r="N607" s="9">
        <f t="shared" si="225"/>
        <v>0</v>
      </c>
      <c r="O607" s="9">
        <f t="shared" si="226"/>
        <v>0</v>
      </c>
      <c r="P607" s="9">
        <f t="shared" si="227"/>
        <v>0</v>
      </c>
      <c r="Q607" s="9">
        <f t="shared" si="228"/>
        <v>0</v>
      </c>
      <c r="R607" s="9">
        <f t="shared" si="229"/>
        <v>0</v>
      </c>
      <c r="S607" s="9">
        <f t="shared" si="230"/>
        <v>0</v>
      </c>
      <c r="T607" s="9">
        <f t="shared" si="231"/>
        <v>0</v>
      </c>
      <c r="U607" s="9">
        <f t="shared" si="232"/>
        <v>0</v>
      </c>
      <c r="V607" s="9">
        <f t="shared" si="233"/>
        <v>0</v>
      </c>
      <c r="W607" s="9">
        <f t="shared" si="234"/>
        <v>0</v>
      </c>
      <c r="X607" s="9">
        <f t="shared" si="235"/>
        <v>0</v>
      </c>
      <c r="Y607" s="9">
        <f t="shared" si="236"/>
        <v>0</v>
      </c>
      <c r="Z607" s="9">
        <f t="shared" si="237"/>
        <v>0</v>
      </c>
      <c r="AA607" s="10">
        <f t="shared" si="238"/>
        <v>0</v>
      </c>
    </row>
    <row r="608" spans="1:27" x14ac:dyDescent="0.3">
      <c r="A608" s="4" t="s">
        <v>1294</v>
      </c>
      <c r="B608" s="4">
        <f t="shared" si="216"/>
        <v>0</v>
      </c>
      <c r="C608" s="4">
        <f t="shared" si="217"/>
        <v>0</v>
      </c>
      <c r="D608" s="4">
        <f t="shared" si="218"/>
        <v>0</v>
      </c>
      <c r="E608" s="4">
        <f t="shared" si="219"/>
        <v>0</v>
      </c>
      <c r="F608" s="4">
        <f t="shared" si="220"/>
        <v>0</v>
      </c>
      <c r="G608" s="4">
        <f t="shared" si="221"/>
        <v>0</v>
      </c>
      <c r="I608" s="11" t="s">
        <v>996</v>
      </c>
      <c r="J608" s="9">
        <f t="shared" si="222"/>
        <v>0</v>
      </c>
      <c r="K608" s="9">
        <f t="shared" si="239"/>
        <v>0</v>
      </c>
      <c r="L608" s="9">
        <f t="shared" si="223"/>
        <v>0</v>
      </c>
      <c r="M608" s="9">
        <f t="shared" si="224"/>
        <v>0</v>
      </c>
      <c r="N608" s="9">
        <f t="shared" si="225"/>
        <v>0</v>
      </c>
      <c r="O608" s="9">
        <f t="shared" si="226"/>
        <v>0</v>
      </c>
      <c r="P608" s="9">
        <f t="shared" si="227"/>
        <v>0</v>
      </c>
      <c r="Q608" s="9">
        <f t="shared" si="228"/>
        <v>1</v>
      </c>
      <c r="R608" s="9">
        <f t="shared" si="229"/>
        <v>0</v>
      </c>
      <c r="S608" s="9">
        <f t="shared" si="230"/>
        <v>0</v>
      </c>
      <c r="T608" s="9">
        <f t="shared" si="231"/>
        <v>0</v>
      </c>
      <c r="U608" s="9">
        <f t="shared" si="232"/>
        <v>0</v>
      </c>
      <c r="V608" s="9">
        <f t="shared" si="233"/>
        <v>0</v>
      </c>
      <c r="W608" s="9">
        <f t="shared" si="234"/>
        <v>0</v>
      </c>
      <c r="X608" s="9">
        <f t="shared" si="235"/>
        <v>0</v>
      </c>
      <c r="Y608" s="9">
        <f t="shared" si="236"/>
        <v>0</v>
      </c>
      <c r="Z608" s="9">
        <f t="shared" si="237"/>
        <v>0</v>
      </c>
      <c r="AA608" s="10">
        <f t="shared" si="238"/>
        <v>0</v>
      </c>
    </row>
    <row r="609" spans="1:27" x14ac:dyDescent="0.3">
      <c r="A609" s="18" t="s">
        <v>1303</v>
      </c>
      <c r="B609" s="4">
        <f t="shared" si="216"/>
        <v>0</v>
      </c>
      <c r="C609" s="4">
        <f t="shared" si="217"/>
        <v>0</v>
      </c>
      <c r="D609" s="4">
        <f t="shared" si="218"/>
        <v>0</v>
      </c>
      <c r="E609" s="4">
        <f t="shared" si="219"/>
        <v>0</v>
      </c>
      <c r="F609" s="4">
        <f t="shared" si="220"/>
        <v>1</v>
      </c>
      <c r="G609" s="4">
        <f t="shared" si="221"/>
        <v>0</v>
      </c>
      <c r="I609" s="8" t="s">
        <v>994</v>
      </c>
      <c r="J609" s="9">
        <f t="shared" si="222"/>
        <v>0</v>
      </c>
      <c r="K609" s="9">
        <f t="shared" si="239"/>
        <v>0</v>
      </c>
      <c r="L609" s="9">
        <f t="shared" si="223"/>
        <v>0</v>
      </c>
      <c r="M609" s="9">
        <f t="shared" si="224"/>
        <v>0</v>
      </c>
      <c r="N609" s="9">
        <f t="shared" si="225"/>
        <v>0</v>
      </c>
      <c r="O609" s="9">
        <f t="shared" si="226"/>
        <v>0</v>
      </c>
      <c r="P609" s="9">
        <f t="shared" si="227"/>
        <v>1</v>
      </c>
      <c r="Q609" s="9">
        <f t="shared" si="228"/>
        <v>0</v>
      </c>
      <c r="R609" s="9">
        <f t="shared" si="229"/>
        <v>0</v>
      </c>
      <c r="S609" s="9">
        <f t="shared" si="230"/>
        <v>0</v>
      </c>
      <c r="T609" s="9">
        <f t="shared" si="231"/>
        <v>0</v>
      </c>
      <c r="U609" s="9">
        <f t="shared" si="232"/>
        <v>0</v>
      </c>
      <c r="V609" s="9">
        <f t="shared" si="233"/>
        <v>0</v>
      </c>
      <c r="W609" s="9">
        <f t="shared" si="234"/>
        <v>0</v>
      </c>
      <c r="X609" s="9">
        <f t="shared" si="235"/>
        <v>0</v>
      </c>
      <c r="Y609" s="9">
        <f t="shared" si="236"/>
        <v>0</v>
      </c>
      <c r="Z609" s="9">
        <f t="shared" si="237"/>
        <v>0</v>
      </c>
      <c r="AA609" s="10">
        <f t="shared" si="238"/>
        <v>0</v>
      </c>
    </row>
    <row r="610" spans="1:27" x14ac:dyDescent="0.3">
      <c r="A610" s="4" t="s">
        <v>1305</v>
      </c>
      <c r="B610" s="4">
        <f t="shared" si="216"/>
        <v>0</v>
      </c>
      <c r="C610" s="4">
        <f t="shared" si="217"/>
        <v>0</v>
      </c>
      <c r="D610" s="4">
        <f t="shared" si="218"/>
        <v>0</v>
      </c>
      <c r="E610" s="4">
        <f t="shared" si="219"/>
        <v>0</v>
      </c>
      <c r="F610" s="4">
        <f t="shared" si="220"/>
        <v>0</v>
      </c>
      <c r="G610" s="4">
        <f t="shared" si="221"/>
        <v>1</v>
      </c>
      <c r="I610" s="11" t="s">
        <v>988</v>
      </c>
      <c r="J610" s="9">
        <f t="shared" si="222"/>
        <v>0</v>
      </c>
      <c r="K610" s="9">
        <f t="shared" si="239"/>
        <v>0</v>
      </c>
      <c r="L610" s="9">
        <f t="shared" si="223"/>
        <v>1</v>
      </c>
      <c r="M610" s="9">
        <f t="shared" si="224"/>
        <v>0</v>
      </c>
      <c r="N610" s="9">
        <f t="shared" si="225"/>
        <v>0</v>
      </c>
      <c r="O610" s="9">
        <f t="shared" si="226"/>
        <v>0</v>
      </c>
      <c r="P610" s="9">
        <f t="shared" si="227"/>
        <v>0</v>
      </c>
      <c r="Q610" s="9">
        <f t="shared" si="228"/>
        <v>0</v>
      </c>
      <c r="R610" s="9">
        <f t="shared" si="229"/>
        <v>0</v>
      </c>
      <c r="S610" s="9">
        <f t="shared" si="230"/>
        <v>0</v>
      </c>
      <c r="T610" s="9">
        <f t="shared" si="231"/>
        <v>0</v>
      </c>
      <c r="U610" s="9">
        <f t="shared" si="232"/>
        <v>0</v>
      </c>
      <c r="V610" s="9">
        <f t="shared" si="233"/>
        <v>0</v>
      </c>
      <c r="W610" s="9">
        <f t="shared" si="234"/>
        <v>0</v>
      </c>
      <c r="X610" s="9">
        <f t="shared" si="235"/>
        <v>0</v>
      </c>
      <c r="Y610" s="9">
        <f t="shared" si="236"/>
        <v>0</v>
      </c>
      <c r="Z610" s="9">
        <f t="shared" si="237"/>
        <v>0</v>
      </c>
      <c r="AA610" s="10">
        <f t="shared" si="238"/>
        <v>0</v>
      </c>
    </row>
    <row r="611" spans="1:27" x14ac:dyDescent="0.3">
      <c r="A611" s="18" t="s">
        <v>1305</v>
      </c>
      <c r="B611" s="4">
        <f t="shared" si="216"/>
        <v>0</v>
      </c>
      <c r="C611" s="4">
        <f t="shared" si="217"/>
        <v>0</v>
      </c>
      <c r="D611" s="4">
        <f t="shared" si="218"/>
        <v>0</v>
      </c>
      <c r="E611" s="4">
        <f t="shared" si="219"/>
        <v>0</v>
      </c>
      <c r="F611" s="4">
        <f t="shared" si="220"/>
        <v>0</v>
      </c>
      <c r="G611" s="4">
        <f t="shared" si="221"/>
        <v>1</v>
      </c>
      <c r="I611" s="8" t="s">
        <v>988</v>
      </c>
      <c r="J611" s="9">
        <f t="shared" si="222"/>
        <v>0</v>
      </c>
      <c r="K611" s="9">
        <f t="shared" si="239"/>
        <v>0</v>
      </c>
      <c r="L611" s="9">
        <f t="shared" si="223"/>
        <v>1</v>
      </c>
      <c r="M611" s="9">
        <f t="shared" si="224"/>
        <v>0</v>
      </c>
      <c r="N611" s="9">
        <f t="shared" si="225"/>
        <v>0</v>
      </c>
      <c r="O611" s="9">
        <f t="shared" si="226"/>
        <v>0</v>
      </c>
      <c r="P611" s="9">
        <f t="shared" si="227"/>
        <v>0</v>
      </c>
      <c r="Q611" s="9">
        <f t="shared" si="228"/>
        <v>0</v>
      </c>
      <c r="R611" s="9">
        <f t="shared" si="229"/>
        <v>0</v>
      </c>
      <c r="S611" s="9">
        <f t="shared" si="230"/>
        <v>0</v>
      </c>
      <c r="T611" s="9">
        <f t="shared" si="231"/>
        <v>0</v>
      </c>
      <c r="U611" s="9">
        <f t="shared" si="232"/>
        <v>0</v>
      </c>
      <c r="V611" s="9">
        <f t="shared" si="233"/>
        <v>0</v>
      </c>
      <c r="W611" s="9">
        <f t="shared" si="234"/>
        <v>0</v>
      </c>
      <c r="X611" s="9">
        <f t="shared" si="235"/>
        <v>0</v>
      </c>
      <c r="Y611" s="9">
        <f t="shared" si="236"/>
        <v>0</v>
      </c>
      <c r="Z611" s="9">
        <f t="shared" si="237"/>
        <v>0</v>
      </c>
      <c r="AA611" s="10">
        <f t="shared" si="238"/>
        <v>0</v>
      </c>
    </row>
    <row r="612" spans="1:27" x14ac:dyDescent="0.3">
      <c r="A612" s="4" t="s">
        <v>1303</v>
      </c>
      <c r="B612" s="4">
        <f t="shared" si="216"/>
        <v>0</v>
      </c>
      <c r="C612" s="4">
        <f t="shared" si="217"/>
        <v>0</v>
      </c>
      <c r="D612" s="4">
        <f t="shared" si="218"/>
        <v>0</v>
      </c>
      <c r="E612" s="4">
        <f t="shared" si="219"/>
        <v>0</v>
      </c>
      <c r="F612" s="4">
        <f t="shared" si="220"/>
        <v>1</v>
      </c>
      <c r="G612" s="4">
        <f t="shared" si="221"/>
        <v>0</v>
      </c>
      <c r="I612" s="11" t="s">
        <v>1088</v>
      </c>
      <c r="J612" s="9">
        <f t="shared" si="222"/>
        <v>0</v>
      </c>
      <c r="K612" s="9">
        <f t="shared" si="239"/>
        <v>0</v>
      </c>
      <c r="L612" s="9">
        <f t="shared" si="223"/>
        <v>0</v>
      </c>
      <c r="M612" s="9">
        <f t="shared" si="224"/>
        <v>0</v>
      </c>
      <c r="N612" s="9">
        <f t="shared" si="225"/>
        <v>0</v>
      </c>
      <c r="O612" s="9">
        <f t="shared" si="226"/>
        <v>0</v>
      </c>
      <c r="P612" s="9">
        <f t="shared" si="227"/>
        <v>0</v>
      </c>
      <c r="Q612" s="9">
        <f t="shared" si="228"/>
        <v>0</v>
      </c>
      <c r="R612" s="9">
        <f t="shared" si="229"/>
        <v>0</v>
      </c>
      <c r="S612" s="9">
        <f t="shared" si="230"/>
        <v>0</v>
      </c>
      <c r="T612" s="9">
        <f t="shared" si="231"/>
        <v>0</v>
      </c>
      <c r="U612" s="9">
        <f t="shared" si="232"/>
        <v>0</v>
      </c>
      <c r="V612" s="9">
        <f t="shared" si="233"/>
        <v>0</v>
      </c>
      <c r="W612" s="9">
        <f t="shared" si="234"/>
        <v>0</v>
      </c>
      <c r="X612" s="9">
        <f t="shared" si="235"/>
        <v>0</v>
      </c>
      <c r="Y612" s="9">
        <f t="shared" si="236"/>
        <v>0</v>
      </c>
      <c r="Z612" s="9">
        <f t="shared" si="237"/>
        <v>1</v>
      </c>
      <c r="AA612" s="10">
        <f t="shared" si="238"/>
        <v>0</v>
      </c>
    </row>
    <row r="613" spans="1:27" x14ac:dyDescent="0.3">
      <c r="A613" s="18" t="s">
        <v>1294</v>
      </c>
      <c r="B613" s="4">
        <f t="shared" si="216"/>
        <v>0</v>
      </c>
      <c r="C613" s="4">
        <f t="shared" si="217"/>
        <v>0</v>
      </c>
      <c r="D613" s="4">
        <f t="shared" si="218"/>
        <v>0</v>
      </c>
      <c r="E613" s="4">
        <f t="shared" si="219"/>
        <v>0</v>
      </c>
      <c r="F613" s="4">
        <f t="shared" si="220"/>
        <v>0</v>
      </c>
      <c r="G613" s="4">
        <f t="shared" si="221"/>
        <v>0</v>
      </c>
      <c r="I613" s="8" t="s">
        <v>988</v>
      </c>
      <c r="J613" s="9">
        <f t="shared" si="222"/>
        <v>0</v>
      </c>
      <c r="K613" s="9">
        <f t="shared" si="239"/>
        <v>0</v>
      </c>
      <c r="L613" s="9">
        <f t="shared" si="223"/>
        <v>1</v>
      </c>
      <c r="M613" s="9">
        <f t="shared" si="224"/>
        <v>0</v>
      </c>
      <c r="N613" s="9">
        <f t="shared" si="225"/>
        <v>0</v>
      </c>
      <c r="O613" s="9">
        <f t="shared" si="226"/>
        <v>0</v>
      </c>
      <c r="P613" s="9">
        <f t="shared" si="227"/>
        <v>0</v>
      </c>
      <c r="Q613" s="9">
        <f t="shared" si="228"/>
        <v>0</v>
      </c>
      <c r="R613" s="9">
        <f t="shared" si="229"/>
        <v>0</v>
      </c>
      <c r="S613" s="9">
        <f t="shared" si="230"/>
        <v>0</v>
      </c>
      <c r="T613" s="9">
        <f t="shared" si="231"/>
        <v>0</v>
      </c>
      <c r="U613" s="9">
        <f t="shared" si="232"/>
        <v>0</v>
      </c>
      <c r="V613" s="9">
        <f t="shared" si="233"/>
        <v>0</v>
      </c>
      <c r="W613" s="9">
        <f t="shared" si="234"/>
        <v>0</v>
      </c>
      <c r="X613" s="9">
        <f t="shared" si="235"/>
        <v>0</v>
      </c>
      <c r="Y613" s="9">
        <f t="shared" si="236"/>
        <v>0</v>
      </c>
      <c r="Z613" s="9">
        <f t="shared" si="237"/>
        <v>0</v>
      </c>
      <c r="AA613" s="10">
        <f t="shared" si="238"/>
        <v>0</v>
      </c>
    </row>
    <row r="614" spans="1:27" x14ac:dyDescent="0.3">
      <c r="A614" s="4" t="s">
        <v>1302</v>
      </c>
      <c r="B614" s="4">
        <f t="shared" si="216"/>
        <v>1</v>
      </c>
      <c r="C614" s="4">
        <f t="shared" si="217"/>
        <v>0</v>
      </c>
      <c r="D614" s="4">
        <f t="shared" si="218"/>
        <v>0</v>
      </c>
      <c r="E614" s="4">
        <f t="shared" si="219"/>
        <v>0</v>
      </c>
      <c r="F614" s="4">
        <f t="shared" si="220"/>
        <v>0</v>
      </c>
      <c r="G614" s="4">
        <f t="shared" si="221"/>
        <v>0</v>
      </c>
      <c r="I614" s="11" t="s">
        <v>988</v>
      </c>
      <c r="J614" s="9">
        <f t="shared" si="222"/>
        <v>0</v>
      </c>
      <c r="K614" s="9">
        <f t="shared" si="239"/>
        <v>0</v>
      </c>
      <c r="L614" s="9">
        <f t="shared" si="223"/>
        <v>1</v>
      </c>
      <c r="M614" s="9">
        <f t="shared" si="224"/>
        <v>0</v>
      </c>
      <c r="N614" s="9">
        <f t="shared" si="225"/>
        <v>0</v>
      </c>
      <c r="O614" s="9">
        <f t="shared" si="226"/>
        <v>0</v>
      </c>
      <c r="P614" s="9">
        <f t="shared" si="227"/>
        <v>0</v>
      </c>
      <c r="Q614" s="9">
        <f t="shared" si="228"/>
        <v>0</v>
      </c>
      <c r="R614" s="9">
        <f t="shared" si="229"/>
        <v>0</v>
      </c>
      <c r="S614" s="9">
        <f t="shared" si="230"/>
        <v>0</v>
      </c>
      <c r="T614" s="9">
        <f t="shared" si="231"/>
        <v>0</v>
      </c>
      <c r="U614" s="9">
        <f t="shared" si="232"/>
        <v>0</v>
      </c>
      <c r="V614" s="9">
        <f t="shared" si="233"/>
        <v>0</v>
      </c>
      <c r="W614" s="9">
        <f t="shared" si="234"/>
        <v>0</v>
      </c>
      <c r="X614" s="9">
        <f t="shared" si="235"/>
        <v>0</v>
      </c>
      <c r="Y614" s="9">
        <f t="shared" si="236"/>
        <v>0</v>
      </c>
      <c r="Z614" s="9">
        <f t="shared" si="237"/>
        <v>0</v>
      </c>
      <c r="AA614" s="10">
        <f t="shared" si="238"/>
        <v>0</v>
      </c>
    </row>
    <row r="615" spans="1:27" x14ac:dyDescent="0.3">
      <c r="A615" s="18" t="s">
        <v>1302</v>
      </c>
      <c r="B615" s="4">
        <f t="shared" si="216"/>
        <v>1</v>
      </c>
      <c r="C615" s="4">
        <f t="shared" si="217"/>
        <v>0</v>
      </c>
      <c r="D615" s="4">
        <f t="shared" si="218"/>
        <v>0</v>
      </c>
      <c r="E615" s="4">
        <f t="shared" si="219"/>
        <v>0</v>
      </c>
      <c r="F615" s="4">
        <f t="shared" si="220"/>
        <v>0</v>
      </c>
      <c r="G615" s="4">
        <f t="shared" si="221"/>
        <v>0</v>
      </c>
      <c r="I615" s="8" t="s">
        <v>990</v>
      </c>
      <c r="J615" s="9">
        <f t="shared" si="222"/>
        <v>0</v>
      </c>
      <c r="K615" s="9">
        <f t="shared" si="239"/>
        <v>0</v>
      </c>
      <c r="L615" s="9">
        <f t="shared" si="223"/>
        <v>0</v>
      </c>
      <c r="M615" s="9">
        <f t="shared" si="224"/>
        <v>0</v>
      </c>
      <c r="N615" s="9">
        <f t="shared" si="225"/>
        <v>1</v>
      </c>
      <c r="O615" s="9">
        <f t="shared" si="226"/>
        <v>0</v>
      </c>
      <c r="P615" s="9">
        <f t="shared" si="227"/>
        <v>0</v>
      </c>
      <c r="Q615" s="9">
        <f t="shared" si="228"/>
        <v>0</v>
      </c>
      <c r="R615" s="9">
        <f t="shared" si="229"/>
        <v>0</v>
      </c>
      <c r="S615" s="9">
        <f t="shared" si="230"/>
        <v>0</v>
      </c>
      <c r="T615" s="9">
        <f t="shared" si="231"/>
        <v>0</v>
      </c>
      <c r="U615" s="9">
        <f t="shared" si="232"/>
        <v>0</v>
      </c>
      <c r="V615" s="9">
        <f t="shared" si="233"/>
        <v>0</v>
      </c>
      <c r="W615" s="9">
        <f t="shared" si="234"/>
        <v>0</v>
      </c>
      <c r="X615" s="9">
        <f t="shared" si="235"/>
        <v>0</v>
      </c>
      <c r="Y615" s="9">
        <f t="shared" si="236"/>
        <v>0</v>
      </c>
      <c r="Z615" s="9">
        <f t="shared" si="237"/>
        <v>0</v>
      </c>
      <c r="AA615" s="10">
        <f t="shared" si="238"/>
        <v>0</v>
      </c>
    </row>
    <row r="616" spans="1:27" x14ac:dyDescent="0.3">
      <c r="A616" s="4" t="s">
        <v>1303</v>
      </c>
      <c r="B616" s="4">
        <f t="shared" si="216"/>
        <v>0</v>
      </c>
      <c r="C616" s="4">
        <f t="shared" si="217"/>
        <v>0</v>
      </c>
      <c r="D616" s="4">
        <f t="shared" si="218"/>
        <v>0</v>
      </c>
      <c r="E616" s="4">
        <f t="shared" si="219"/>
        <v>0</v>
      </c>
      <c r="F616" s="4">
        <f t="shared" si="220"/>
        <v>1</v>
      </c>
      <c r="G616" s="4">
        <f t="shared" si="221"/>
        <v>0</v>
      </c>
      <c r="I616" s="11" t="s">
        <v>1088</v>
      </c>
      <c r="J616" s="9">
        <f t="shared" si="222"/>
        <v>0</v>
      </c>
      <c r="K616" s="9">
        <f t="shared" si="239"/>
        <v>0</v>
      </c>
      <c r="L616" s="9">
        <f t="shared" si="223"/>
        <v>0</v>
      </c>
      <c r="M616" s="9">
        <f t="shared" si="224"/>
        <v>0</v>
      </c>
      <c r="N616" s="9">
        <f t="shared" si="225"/>
        <v>0</v>
      </c>
      <c r="O616" s="9">
        <f t="shared" si="226"/>
        <v>0</v>
      </c>
      <c r="P616" s="9">
        <f t="shared" si="227"/>
        <v>0</v>
      </c>
      <c r="Q616" s="9">
        <f t="shared" si="228"/>
        <v>0</v>
      </c>
      <c r="R616" s="9">
        <f t="shared" si="229"/>
        <v>0</v>
      </c>
      <c r="S616" s="9">
        <f t="shared" si="230"/>
        <v>0</v>
      </c>
      <c r="T616" s="9">
        <f t="shared" si="231"/>
        <v>0</v>
      </c>
      <c r="U616" s="9">
        <f t="shared" si="232"/>
        <v>0</v>
      </c>
      <c r="V616" s="9">
        <f t="shared" si="233"/>
        <v>0</v>
      </c>
      <c r="W616" s="9">
        <f t="shared" si="234"/>
        <v>0</v>
      </c>
      <c r="X616" s="9">
        <f t="shared" si="235"/>
        <v>0</v>
      </c>
      <c r="Y616" s="9">
        <f t="shared" si="236"/>
        <v>0</v>
      </c>
      <c r="Z616" s="9">
        <f t="shared" si="237"/>
        <v>1</v>
      </c>
      <c r="AA616" s="10">
        <f t="shared" si="238"/>
        <v>0</v>
      </c>
    </row>
    <row r="617" spans="1:27" x14ac:dyDescent="0.3">
      <c r="A617" s="18" t="s">
        <v>1303</v>
      </c>
      <c r="B617" s="4">
        <f t="shared" si="216"/>
        <v>0</v>
      </c>
      <c r="C617" s="4">
        <f t="shared" si="217"/>
        <v>0</v>
      </c>
      <c r="D617" s="4">
        <f t="shared" si="218"/>
        <v>0</v>
      </c>
      <c r="E617" s="4">
        <f t="shared" si="219"/>
        <v>0</v>
      </c>
      <c r="F617" s="4">
        <f t="shared" si="220"/>
        <v>1</v>
      </c>
      <c r="G617" s="4">
        <f t="shared" si="221"/>
        <v>0</v>
      </c>
      <c r="I617" s="8" t="s">
        <v>988</v>
      </c>
      <c r="J617" s="9">
        <f t="shared" si="222"/>
        <v>0</v>
      </c>
      <c r="K617" s="9">
        <f t="shared" si="239"/>
        <v>0</v>
      </c>
      <c r="L617" s="9">
        <f t="shared" si="223"/>
        <v>1</v>
      </c>
      <c r="M617" s="9">
        <f t="shared" si="224"/>
        <v>0</v>
      </c>
      <c r="N617" s="9">
        <f t="shared" si="225"/>
        <v>0</v>
      </c>
      <c r="O617" s="9">
        <f t="shared" si="226"/>
        <v>0</v>
      </c>
      <c r="P617" s="9">
        <f t="shared" si="227"/>
        <v>0</v>
      </c>
      <c r="Q617" s="9">
        <f t="shared" si="228"/>
        <v>0</v>
      </c>
      <c r="R617" s="9">
        <f t="shared" si="229"/>
        <v>0</v>
      </c>
      <c r="S617" s="9">
        <f t="shared" si="230"/>
        <v>0</v>
      </c>
      <c r="T617" s="9">
        <f t="shared" si="231"/>
        <v>0</v>
      </c>
      <c r="U617" s="9">
        <f t="shared" si="232"/>
        <v>0</v>
      </c>
      <c r="V617" s="9">
        <f t="shared" si="233"/>
        <v>0</v>
      </c>
      <c r="W617" s="9">
        <f t="shared" si="234"/>
        <v>0</v>
      </c>
      <c r="X617" s="9">
        <f t="shared" si="235"/>
        <v>0</v>
      </c>
      <c r="Y617" s="9">
        <f t="shared" si="236"/>
        <v>0</v>
      </c>
      <c r="Z617" s="9">
        <f t="shared" si="237"/>
        <v>0</v>
      </c>
      <c r="AA617" s="10">
        <f t="shared" si="238"/>
        <v>0</v>
      </c>
    </row>
    <row r="618" spans="1:27" x14ac:dyDescent="0.3">
      <c r="A618" s="4" t="s">
        <v>1305</v>
      </c>
      <c r="B618" s="4">
        <f t="shared" si="216"/>
        <v>0</v>
      </c>
      <c r="C618" s="4">
        <f t="shared" si="217"/>
        <v>0</v>
      </c>
      <c r="D618" s="4">
        <f t="shared" si="218"/>
        <v>0</v>
      </c>
      <c r="E618" s="4">
        <f t="shared" si="219"/>
        <v>0</v>
      </c>
      <c r="F618" s="4">
        <f t="shared" si="220"/>
        <v>0</v>
      </c>
      <c r="G618" s="4">
        <f t="shared" si="221"/>
        <v>1</v>
      </c>
      <c r="I618" s="11" t="s">
        <v>977</v>
      </c>
      <c r="J618" s="9">
        <f t="shared" si="222"/>
        <v>1</v>
      </c>
      <c r="K618" s="9">
        <f t="shared" si="239"/>
        <v>0</v>
      </c>
      <c r="L618" s="9">
        <f t="shared" si="223"/>
        <v>0</v>
      </c>
      <c r="M618" s="9">
        <f t="shared" si="224"/>
        <v>0</v>
      </c>
      <c r="N618" s="9">
        <f t="shared" si="225"/>
        <v>0</v>
      </c>
      <c r="O618" s="9">
        <f t="shared" si="226"/>
        <v>0</v>
      </c>
      <c r="P618" s="9">
        <f t="shared" si="227"/>
        <v>0</v>
      </c>
      <c r="Q618" s="9">
        <f t="shared" si="228"/>
        <v>0</v>
      </c>
      <c r="R618" s="9">
        <f t="shared" si="229"/>
        <v>0</v>
      </c>
      <c r="S618" s="9">
        <f t="shared" si="230"/>
        <v>0</v>
      </c>
      <c r="T618" s="9">
        <f t="shared" si="231"/>
        <v>0</v>
      </c>
      <c r="U618" s="9">
        <f t="shared" si="232"/>
        <v>0</v>
      </c>
      <c r="V618" s="9">
        <f t="shared" si="233"/>
        <v>0</v>
      </c>
      <c r="W618" s="9">
        <f t="shared" si="234"/>
        <v>0</v>
      </c>
      <c r="X618" s="9">
        <f t="shared" si="235"/>
        <v>0</v>
      </c>
      <c r="Y618" s="9">
        <f t="shared" si="236"/>
        <v>0</v>
      </c>
      <c r="Z618" s="9">
        <f t="shared" si="237"/>
        <v>0</v>
      </c>
      <c r="AA618" s="10">
        <f t="shared" si="238"/>
        <v>0</v>
      </c>
    </row>
    <row r="619" spans="1:27" x14ac:dyDescent="0.3">
      <c r="A619" s="18" t="s">
        <v>1305</v>
      </c>
      <c r="B619" s="4">
        <f t="shared" si="216"/>
        <v>0</v>
      </c>
      <c r="C619" s="4">
        <f t="shared" si="217"/>
        <v>0</v>
      </c>
      <c r="D619" s="4">
        <f t="shared" si="218"/>
        <v>0</v>
      </c>
      <c r="E619" s="4">
        <f t="shared" si="219"/>
        <v>0</v>
      </c>
      <c r="F619" s="4">
        <f t="shared" si="220"/>
        <v>0</v>
      </c>
      <c r="G619" s="4">
        <f t="shared" si="221"/>
        <v>1</v>
      </c>
      <c r="I619" s="8" t="s">
        <v>994</v>
      </c>
      <c r="J619" s="9">
        <f t="shared" si="222"/>
        <v>0</v>
      </c>
      <c r="K619" s="9">
        <f t="shared" si="239"/>
        <v>0</v>
      </c>
      <c r="L619" s="9">
        <f t="shared" si="223"/>
        <v>0</v>
      </c>
      <c r="M619" s="9">
        <f t="shared" si="224"/>
        <v>0</v>
      </c>
      <c r="N619" s="9">
        <f t="shared" si="225"/>
        <v>0</v>
      </c>
      <c r="O619" s="9">
        <f t="shared" si="226"/>
        <v>0</v>
      </c>
      <c r="P619" s="9">
        <f t="shared" si="227"/>
        <v>1</v>
      </c>
      <c r="Q619" s="9">
        <f t="shared" si="228"/>
        <v>0</v>
      </c>
      <c r="R619" s="9">
        <f t="shared" si="229"/>
        <v>0</v>
      </c>
      <c r="S619" s="9">
        <f t="shared" si="230"/>
        <v>0</v>
      </c>
      <c r="T619" s="9">
        <f t="shared" si="231"/>
        <v>0</v>
      </c>
      <c r="U619" s="9">
        <f t="shared" si="232"/>
        <v>0</v>
      </c>
      <c r="V619" s="9">
        <f t="shared" si="233"/>
        <v>0</v>
      </c>
      <c r="W619" s="9">
        <f t="shared" si="234"/>
        <v>0</v>
      </c>
      <c r="X619" s="9">
        <f t="shared" si="235"/>
        <v>0</v>
      </c>
      <c r="Y619" s="9">
        <f t="shared" si="236"/>
        <v>0</v>
      </c>
      <c r="Z619" s="9">
        <f t="shared" si="237"/>
        <v>0</v>
      </c>
      <c r="AA619" s="10">
        <f t="shared" si="238"/>
        <v>0</v>
      </c>
    </row>
    <row r="620" spans="1:27" x14ac:dyDescent="0.3">
      <c r="A620" s="4" t="s">
        <v>1302</v>
      </c>
      <c r="B620" s="4">
        <f t="shared" si="216"/>
        <v>1</v>
      </c>
      <c r="C620" s="4">
        <f t="shared" si="217"/>
        <v>0</v>
      </c>
      <c r="D620" s="4">
        <f t="shared" si="218"/>
        <v>0</v>
      </c>
      <c r="E620" s="4">
        <f t="shared" si="219"/>
        <v>0</v>
      </c>
      <c r="F620" s="4">
        <f t="shared" si="220"/>
        <v>0</v>
      </c>
      <c r="G620" s="4">
        <f t="shared" si="221"/>
        <v>0</v>
      </c>
      <c r="I620" s="11" t="s">
        <v>977</v>
      </c>
      <c r="J620" s="9">
        <f t="shared" si="222"/>
        <v>1</v>
      </c>
      <c r="K620" s="9">
        <f t="shared" si="239"/>
        <v>0</v>
      </c>
      <c r="L620" s="9">
        <f t="shared" si="223"/>
        <v>0</v>
      </c>
      <c r="M620" s="9">
        <f t="shared" si="224"/>
        <v>0</v>
      </c>
      <c r="N620" s="9">
        <f t="shared" si="225"/>
        <v>0</v>
      </c>
      <c r="O620" s="9">
        <f t="shared" si="226"/>
        <v>0</v>
      </c>
      <c r="P620" s="9">
        <f t="shared" si="227"/>
        <v>0</v>
      </c>
      <c r="Q620" s="9">
        <f t="shared" si="228"/>
        <v>0</v>
      </c>
      <c r="R620" s="9">
        <f t="shared" si="229"/>
        <v>0</v>
      </c>
      <c r="S620" s="9">
        <f t="shared" si="230"/>
        <v>0</v>
      </c>
      <c r="T620" s="9">
        <f t="shared" si="231"/>
        <v>0</v>
      </c>
      <c r="U620" s="9">
        <f t="shared" si="232"/>
        <v>0</v>
      </c>
      <c r="V620" s="9">
        <f t="shared" si="233"/>
        <v>0</v>
      </c>
      <c r="W620" s="9">
        <f t="shared" si="234"/>
        <v>0</v>
      </c>
      <c r="X620" s="9">
        <f t="shared" si="235"/>
        <v>0</v>
      </c>
      <c r="Y620" s="9">
        <f t="shared" si="236"/>
        <v>0</v>
      </c>
      <c r="Z620" s="9">
        <f t="shared" si="237"/>
        <v>0</v>
      </c>
      <c r="AA620" s="10">
        <f t="shared" si="238"/>
        <v>0</v>
      </c>
    </row>
    <row r="621" spans="1:27" x14ac:dyDescent="0.3">
      <c r="A621" s="18" t="s">
        <v>1302</v>
      </c>
      <c r="B621" s="4">
        <f t="shared" si="216"/>
        <v>1</v>
      </c>
      <c r="C621" s="4">
        <f t="shared" si="217"/>
        <v>0</v>
      </c>
      <c r="D621" s="4">
        <f t="shared" si="218"/>
        <v>0</v>
      </c>
      <c r="E621" s="4">
        <f t="shared" si="219"/>
        <v>0</v>
      </c>
      <c r="F621" s="4">
        <f t="shared" si="220"/>
        <v>0</v>
      </c>
      <c r="G621" s="4">
        <f t="shared" si="221"/>
        <v>0</v>
      </c>
      <c r="I621" s="8" t="s">
        <v>1044</v>
      </c>
      <c r="J621" s="9">
        <f t="shared" si="222"/>
        <v>0</v>
      </c>
      <c r="K621" s="9">
        <f t="shared" si="239"/>
        <v>0</v>
      </c>
      <c r="L621" s="9">
        <f t="shared" si="223"/>
        <v>0</v>
      </c>
      <c r="M621" s="9">
        <f t="shared" si="224"/>
        <v>0</v>
      </c>
      <c r="N621" s="9">
        <f t="shared" si="225"/>
        <v>0</v>
      </c>
      <c r="O621" s="9">
        <f t="shared" si="226"/>
        <v>0</v>
      </c>
      <c r="P621" s="9">
        <f t="shared" si="227"/>
        <v>0</v>
      </c>
      <c r="Q621" s="9">
        <f t="shared" si="228"/>
        <v>0</v>
      </c>
      <c r="R621" s="9">
        <f t="shared" si="229"/>
        <v>0</v>
      </c>
      <c r="S621" s="9">
        <f t="shared" si="230"/>
        <v>0</v>
      </c>
      <c r="T621" s="9">
        <f t="shared" si="231"/>
        <v>0</v>
      </c>
      <c r="U621" s="9">
        <f t="shared" si="232"/>
        <v>1</v>
      </c>
      <c r="V621" s="9">
        <f t="shared" si="233"/>
        <v>0</v>
      </c>
      <c r="W621" s="9">
        <f t="shared" si="234"/>
        <v>0</v>
      </c>
      <c r="X621" s="9">
        <f t="shared" si="235"/>
        <v>0</v>
      </c>
      <c r="Y621" s="9">
        <f t="shared" si="236"/>
        <v>0</v>
      </c>
      <c r="Z621" s="9">
        <f t="shared" si="237"/>
        <v>0</v>
      </c>
      <c r="AA621" s="10">
        <f t="shared" si="238"/>
        <v>0</v>
      </c>
    </row>
    <row r="622" spans="1:27" x14ac:dyDescent="0.3">
      <c r="A622" s="4" t="s">
        <v>1303</v>
      </c>
      <c r="B622" s="4">
        <f t="shared" si="216"/>
        <v>0</v>
      </c>
      <c r="C622" s="4">
        <f t="shared" si="217"/>
        <v>0</v>
      </c>
      <c r="D622" s="4">
        <f t="shared" si="218"/>
        <v>0</v>
      </c>
      <c r="E622" s="4">
        <f t="shared" si="219"/>
        <v>0</v>
      </c>
      <c r="F622" s="4">
        <f t="shared" si="220"/>
        <v>1</v>
      </c>
      <c r="G622" s="4">
        <f t="shared" si="221"/>
        <v>0</v>
      </c>
      <c r="I622" s="11" t="s">
        <v>996</v>
      </c>
      <c r="J622" s="9">
        <f t="shared" si="222"/>
        <v>0</v>
      </c>
      <c r="K622" s="9">
        <f t="shared" si="239"/>
        <v>0</v>
      </c>
      <c r="L622" s="9">
        <f t="shared" si="223"/>
        <v>0</v>
      </c>
      <c r="M622" s="9">
        <f t="shared" si="224"/>
        <v>0</v>
      </c>
      <c r="N622" s="9">
        <f t="shared" si="225"/>
        <v>0</v>
      </c>
      <c r="O622" s="9">
        <f t="shared" si="226"/>
        <v>0</v>
      </c>
      <c r="P622" s="9">
        <f t="shared" si="227"/>
        <v>0</v>
      </c>
      <c r="Q622" s="9">
        <f t="shared" si="228"/>
        <v>1</v>
      </c>
      <c r="R622" s="9">
        <f t="shared" si="229"/>
        <v>0</v>
      </c>
      <c r="S622" s="9">
        <f t="shared" si="230"/>
        <v>0</v>
      </c>
      <c r="T622" s="9">
        <f t="shared" si="231"/>
        <v>0</v>
      </c>
      <c r="U622" s="9">
        <f t="shared" si="232"/>
        <v>0</v>
      </c>
      <c r="V622" s="9">
        <f t="shared" si="233"/>
        <v>0</v>
      </c>
      <c r="W622" s="9">
        <f t="shared" si="234"/>
        <v>0</v>
      </c>
      <c r="X622" s="9">
        <f t="shared" si="235"/>
        <v>0</v>
      </c>
      <c r="Y622" s="9">
        <f t="shared" si="236"/>
        <v>0</v>
      </c>
      <c r="Z622" s="9">
        <f t="shared" si="237"/>
        <v>0</v>
      </c>
      <c r="AA622" s="10">
        <f t="shared" si="238"/>
        <v>0</v>
      </c>
    </row>
    <row r="623" spans="1:27" x14ac:dyDescent="0.3">
      <c r="A623" s="18" t="s">
        <v>1303</v>
      </c>
      <c r="B623" s="4">
        <f t="shared" si="216"/>
        <v>0</v>
      </c>
      <c r="C623" s="4">
        <f t="shared" si="217"/>
        <v>0</v>
      </c>
      <c r="D623" s="4">
        <f t="shared" si="218"/>
        <v>0</v>
      </c>
      <c r="E623" s="4">
        <f t="shared" si="219"/>
        <v>0</v>
      </c>
      <c r="F623" s="4">
        <f t="shared" si="220"/>
        <v>1</v>
      </c>
      <c r="G623" s="4">
        <f t="shared" si="221"/>
        <v>0</v>
      </c>
      <c r="I623" s="8" t="s">
        <v>977</v>
      </c>
      <c r="J623" s="9">
        <f t="shared" si="222"/>
        <v>1</v>
      </c>
      <c r="K623" s="9">
        <f t="shared" si="239"/>
        <v>0</v>
      </c>
      <c r="L623" s="9">
        <f t="shared" si="223"/>
        <v>0</v>
      </c>
      <c r="M623" s="9">
        <f t="shared" si="224"/>
        <v>0</v>
      </c>
      <c r="N623" s="9">
        <f t="shared" si="225"/>
        <v>0</v>
      </c>
      <c r="O623" s="9">
        <f t="shared" si="226"/>
        <v>0</v>
      </c>
      <c r="P623" s="9">
        <f t="shared" si="227"/>
        <v>0</v>
      </c>
      <c r="Q623" s="9">
        <f t="shared" si="228"/>
        <v>0</v>
      </c>
      <c r="R623" s="9">
        <f t="shared" si="229"/>
        <v>0</v>
      </c>
      <c r="S623" s="9">
        <f t="shared" si="230"/>
        <v>0</v>
      </c>
      <c r="T623" s="9">
        <f t="shared" si="231"/>
        <v>0</v>
      </c>
      <c r="U623" s="9">
        <f t="shared" si="232"/>
        <v>0</v>
      </c>
      <c r="V623" s="9">
        <f t="shared" si="233"/>
        <v>0</v>
      </c>
      <c r="W623" s="9">
        <f t="shared" si="234"/>
        <v>0</v>
      </c>
      <c r="X623" s="9">
        <f t="shared" si="235"/>
        <v>0</v>
      </c>
      <c r="Y623" s="9">
        <f t="shared" si="236"/>
        <v>0</v>
      </c>
      <c r="Z623" s="9">
        <f t="shared" si="237"/>
        <v>0</v>
      </c>
      <c r="AA623" s="10">
        <f t="shared" si="238"/>
        <v>0</v>
      </c>
    </row>
    <row r="624" spans="1:27" x14ac:dyDescent="0.3">
      <c r="A624" s="4" t="s">
        <v>1303</v>
      </c>
      <c r="B624" s="4">
        <f t="shared" si="216"/>
        <v>0</v>
      </c>
      <c r="C624" s="4">
        <f t="shared" si="217"/>
        <v>0</v>
      </c>
      <c r="D624" s="4">
        <f t="shared" si="218"/>
        <v>0</v>
      </c>
      <c r="E624" s="4">
        <f t="shared" si="219"/>
        <v>0</v>
      </c>
      <c r="F624" s="4">
        <f t="shared" si="220"/>
        <v>1</v>
      </c>
      <c r="G624" s="4">
        <f t="shared" si="221"/>
        <v>0</v>
      </c>
      <c r="I624" s="11" t="s">
        <v>994</v>
      </c>
      <c r="J624" s="9">
        <f t="shared" si="222"/>
        <v>0</v>
      </c>
      <c r="K624" s="9">
        <f t="shared" si="239"/>
        <v>0</v>
      </c>
      <c r="L624" s="9">
        <f t="shared" si="223"/>
        <v>0</v>
      </c>
      <c r="M624" s="9">
        <f t="shared" si="224"/>
        <v>0</v>
      </c>
      <c r="N624" s="9">
        <f t="shared" si="225"/>
        <v>0</v>
      </c>
      <c r="O624" s="9">
        <f t="shared" si="226"/>
        <v>0</v>
      </c>
      <c r="P624" s="9">
        <f t="shared" si="227"/>
        <v>1</v>
      </c>
      <c r="Q624" s="9">
        <f t="shared" si="228"/>
        <v>0</v>
      </c>
      <c r="R624" s="9">
        <f t="shared" si="229"/>
        <v>0</v>
      </c>
      <c r="S624" s="9">
        <f t="shared" si="230"/>
        <v>0</v>
      </c>
      <c r="T624" s="9">
        <f t="shared" si="231"/>
        <v>0</v>
      </c>
      <c r="U624" s="9">
        <f t="shared" si="232"/>
        <v>0</v>
      </c>
      <c r="V624" s="9">
        <f t="shared" si="233"/>
        <v>0</v>
      </c>
      <c r="W624" s="9">
        <f t="shared" si="234"/>
        <v>0</v>
      </c>
      <c r="X624" s="9">
        <f t="shared" si="235"/>
        <v>0</v>
      </c>
      <c r="Y624" s="9">
        <f t="shared" si="236"/>
        <v>0</v>
      </c>
      <c r="Z624" s="9">
        <f t="shared" si="237"/>
        <v>0</v>
      </c>
      <c r="AA624" s="10">
        <f t="shared" si="238"/>
        <v>0</v>
      </c>
    </row>
    <row r="625" spans="1:27" x14ac:dyDescent="0.3">
      <c r="A625" s="18" t="s">
        <v>1302</v>
      </c>
      <c r="B625" s="4">
        <f t="shared" si="216"/>
        <v>1</v>
      </c>
      <c r="C625" s="4">
        <f t="shared" si="217"/>
        <v>0</v>
      </c>
      <c r="D625" s="4">
        <f t="shared" si="218"/>
        <v>0</v>
      </c>
      <c r="E625" s="4">
        <f t="shared" si="219"/>
        <v>0</v>
      </c>
      <c r="F625" s="4">
        <f t="shared" si="220"/>
        <v>0</v>
      </c>
      <c r="G625" s="4">
        <f t="shared" si="221"/>
        <v>0</v>
      </c>
      <c r="I625" s="8" t="s">
        <v>994</v>
      </c>
      <c r="J625" s="9">
        <f t="shared" si="222"/>
        <v>0</v>
      </c>
      <c r="K625" s="9">
        <f t="shared" si="239"/>
        <v>0</v>
      </c>
      <c r="L625" s="9">
        <f t="shared" si="223"/>
        <v>0</v>
      </c>
      <c r="M625" s="9">
        <f t="shared" si="224"/>
        <v>0</v>
      </c>
      <c r="N625" s="9">
        <f t="shared" si="225"/>
        <v>0</v>
      </c>
      <c r="O625" s="9">
        <f t="shared" si="226"/>
        <v>0</v>
      </c>
      <c r="P625" s="9">
        <f t="shared" si="227"/>
        <v>1</v>
      </c>
      <c r="Q625" s="9">
        <f t="shared" si="228"/>
        <v>0</v>
      </c>
      <c r="R625" s="9">
        <f t="shared" si="229"/>
        <v>0</v>
      </c>
      <c r="S625" s="9">
        <f t="shared" si="230"/>
        <v>0</v>
      </c>
      <c r="T625" s="9">
        <f t="shared" si="231"/>
        <v>0</v>
      </c>
      <c r="U625" s="9">
        <f t="shared" si="232"/>
        <v>0</v>
      </c>
      <c r="V625" s="9">
        <f t="shared" si="233"/>
        <v>0</v>
      </c>
      <c r="W625" s="9">
        <f t="shared" si="234"/>
        <v>0</v>
      </c>
      <c r="X625" s="9">
        <f t="shared" si="235"/>
        <v>0</v>
      </c>
      <c r="Y625" s="9">
        <f t="shared" si="236"/>
        <v>0</v>
      </c>
      <c r="Z625" s="9">
        <f t="shared" si="237"/>
        <v>0</v>
      </c>
      <c r="AA625" s="10">
        <f t="shared" si="238"/>
        <v>0</v>
      </c>
    </row>
    <row r="626" spans="1:27" x14ac:dyDescent="0.3">
      <c r="A626" s="4" t="s">
        <v>1302</v>
      </c>
      <c r="B626" s="4">
        <f t="shared" si="216"/>
        <v>1</v>
      </c>
      <c r="C626" s="4">
        <f t="shared" si="217"/>
        <v>0</v>
      </c>
      <c r="D626" s="4">
        <f t="shared" si="218"/>
        <v>0</v>
      </c>
      <c r="E626" s="4">
        <f t="shared" si="219"/>
        <v>0</v>
      </c>
      <c r="F626" s="4">
        <f t="shared" si="220"/>
        <v>0</v>
      </c>
      <c r="G626" s="4">
        <f t="shared" si="221"/>
        <v>0</v>
      </c>
      <c r="I626" s="11" t="s">
        <v>977</v>
      </c>
      <c r="J626" s="9">
        <f t="shared" si="222"/>
        <v>1</v>
      </c>
      <c r="K626" s="9">
        <f t="shared" si="239"/>
        <v>0</v>
      </c>
      <c r="L626" s="9">
        <f t="shared" si="223"/>
        <v>0</v>
      </c>
      <c r="M626" s="9">
        <f t="shared" si="224"/>
        <v>0</v>
      </c>
      <c r="N626" s="9">
        <f t="shared" si="225"/>
        <v>0</v>
      </c>
      <c r="O626" s="9">
        <f t="shared" si="226"/>
        <v>0</v>
      </c>
      <c r="P626" s="9">
        <f t="shared" si="227"/>
        <v>0</v>
      </c>
      <c r="Q626" s="9">
        <f t="shared" si="228"/>
        <v>0</v>
      </c>
      <c r="R626" s="9">
        <f t="shared" si="229"/>
        <v>0</v>
      </c>
      <c r="S626" s="9">
        <f t="shared" si="230"/>
        <v>0</v>
      </c>
      <c r="T626" s="9">
        <f t="shared" si="231"/>
        <v>0</v>
      </c>
      <c r="U626" s="9">
        <f t="shared" si="232"/>
        <v>0</v>
      </c>
      <c r="V626" s="9">
        <f t="shared" si="233"/>
        <v>0</v>
      </c>
      <c r="W626" s="9">
        <f t="shared" si="234"/>
        <v>0</v>
      </c>
      <c r="X626" s="9">
        <f t="shared" si="235"/>
        <v>0</v>
      </c>
      <c r="Y626" s="9">
        <f t="shared" si="236"/>
        <v>0</v>
      </c>
      <c r="Z626" s="9">
        <f t="shared" si="237"/>
        <v>0</v>
      </c>
      <c r="AA626" s="10">
        <f t="shared" si="238"/>
        <v>0</v>
      </c>
    </row>
    <row r="627" spans="1:27" x14ac:dyDescent="0.3">
      <c r="A627" s="18" t="s">
        <v>1304</v>
      </c>
      <c r="B627" s="4">
        <f t="shared" si="216"/>
        <v>0</v>
      </c>
      <c r="C627" s="4">
        <f t="shared" si="217"/>
        <v>1</v>
      </c>
      <c r="D627" s="4">
        <f t="shared" si="218"/>
        <v>0</v>
      </c>
      <c r="E627" s="4">
        <f t="shared" si="219"/>
        <v>0</v>
      </c>
      <c r="F627" s="4">
        <f t="shared" si="220"/>
        <v>0</v>
      </c>
      <c r="G627" s="4">
        <f t="shared" si="221"/>
        <v>0</v>
      </c>
      <c r="I627" s="8" t="s">
        <v>1088</v>
      </c>
      <c r="J627" s="9">
        <f t="shared" si="222"/>
        <v>0</v>
      </c>
      <c r="K627" s="9">
        <f t="shared" si="239"/>
        <v>0</v>
      </c>
      <c r="L627" s="9">
        <f t="shared" si="223"/>
        <v>0</v>
      </c>
      <c r="M627" s="9">
        <f t="shared" si="224"/>
        <v>0</v>
      </c>
      <c r="N627" s="9">
        <f t="shared" si="225"/>
        <v>0</v>
      </c>
      <c r="O627" s="9">
        <f t="shared" si="226"/>
        <v>0</v>
      </c>
      <c r="P627" s="9">
        <f t="shared" si="227"/>
        <v>0</v>
      </c>
      <c r="Q627" s="9">
        <f t="shared" si="228"/>
        <v>0</v>
      </c>
      <c r="R627" s="9">
        <f t="shared" si="229"/>
        <v>0</v>
      </c>
      <c r="S627" s="9">
        <f t="shared" si="230"/>
        <v>0</v>
      </c>
      <c r="T627" s="9">
        <f t="shared" si="231"/>
        <v>0</v>
      </c>
      <c r="U627" s="9">
        <f t="shared" si="232"/>
        <v>0</v>
      </c>
      <c r="V627" s="9">
        <f t="shared" si="233"/>
        <v>0</v>
      </c>
      <c r="W627" s="9">
        <f t="shared" si="234"/>
        <v>0</v>
      </c>
      <c r="X627" s="9">
        <f t="shared" si="235"/>
        <v>0</v>
      </c>
      <c r="Y627" s="9">
        <f t="shared" si="236"/>
        <v>0</v>
      </c>
      <c r="Z627" s="9">
        <f t="shared" si="237"/>
        <v>1</v>
      </c>
      <c r="AA627" s="10">
        <f t="shared" si="238"/>
        <v>0</v>
      </c>
    </row>
    <row r="628" spans="1:27" x14ac:dyDescent="0.3">
      <c r="A628" s="4" t="s">
        <v>1302</v>
      </c>
      <c r="B628" s="4">
        <f t="shared" si="216"/>
        <v>1</v>
      </c>
      <c r="C628" s="4">
        <f t="shared" si="217"/>
        <v>0</v>
      </c>
      <c r="D628" s="4">
        <f t="shared" si="218"/>
        <v>0</v>
      </c>
      <c r="E628" s="4">
        <f t="shared" si="219"/>
        <v>0</v>
      </c>
      <c r="F628" s="4">
        <f t="shared" si="220"/>
        <v>0</v>
      </c>
      <c r="G628" s="4">
        <f t="shared" si="221"/>
        <v>0</v>
      </c>
      <c r="I628" s="11" t="s">
        <v>996</v>
      </c>
      <c r="J628" s="9">
        <f t="shared" si="222"/>
        <v>0</v>
      </c>
      <c r="K628" s="9">
        <f t="shared" si="239"/>
        <v>0</v>
      </c>
      <c r="L628" s="9">
        <f t="shared" si="223"/>
        <v>0</v>
      </c>
      <c r="M628" s="9">
        <f t="shared" si="224"/>
        <v>0</v>
      </c>
      <c r="N628" s="9">
        <f t="shared" si="225"/>
        <v>0</v>
      </c>
      <c r="O628" s="9">
        <f t="shared" si="226"/>
        <v>0</v>
      </c>
      <c r="P628" s="9">
        <f t="shared" si="227"/>
        <v>0</v>
      </c>
      <c r="Q628" s="9">
        <f t="shared" si="228"/>
        <v>1</v>
      </c>
      <c r="R628" s="9">
        <f t="shared" si="229"/>
        <v>0</v>
      </c>
      <c r="S628" s="9">
        <f t="shared" si="230"/>
        <v>0</v>
      </c>
      <c r="T628" s="9">
        <f t="shared" si="231"/>
        <v>0</v>
      </c>
      <c r="U628" s="9">
        <f t="shared" si="232"/>
        <v>0</v>
      </c>
      <c r="V628" s="9">
        <f t="shared" si="233"/>
        <v>0</v>
      </c>
      <c r="W628" s="9">
        <f t="shared" si="234"/>
        <v>0</v>
      </c>
      <c r="X628" s="9">
        <f t="shared" si="235"/>
        <v>0</v>
      </c>
      <c r="Y628" s="9">
        <f t="shared" si="236"/>
        <v>0</v>
      </c>
      <c r="Z628" s="9">
        <f t="shared" si="237"/>
        <v>0</v>
      </c>
      <c r="AA628" s="10">
        <f t="shared" si="238"/>
        <v>0</v>
      </c>
    </row>
    <row r="629" spans="1:27" x14ac:dyDescent="0.3">
      <c r="A629" s="18" t="s">
        <v>1302</v>
      </c>
      <c r="B629" s="4">
        <f t="shared" si="216"/>
        <v>1</v>
      </c>
      <c r="C629" s="4">
        <f t="shared" si="217"/>
        <v>0</v>
      </c>
      <c r="D629" s="4">
        <f t="shared" si="218"/>
        <v>0</v>
      </c>
      <c r="E629" s="4">
        <f t="shared" si="219"/>
        <v>0</v>
      </c>
      <c r="F629" s="4">
        <f t="shared" si="220"/>
        <v>0</v>
      </c>
      <c r="G629" s="4">
        <f t="shared" si="221"/>
        <v>0</v>
      </c>
      <c r="I629" s="8" t="s">
        <v>996</v>
      </c>
      <c r="J629" s="9">
        <f t="shared" si="222"/>
        <v>0</v>
      </c>
      <c r="K629" s="9">
        <f t="shared" si="239"/>
        <v>0</v>
      </c>
      <c r="L629" s="9">
        <f t="shared" si="223"/>
        <v>0</v>
      </c>
      <c r="M629" s="9">
        <f t="shared" si="224"/>
        <v>0</v>
      </c>
      <c r="N629" s="9">
        <f t="shared" si="225"/>
        <v>0</v>
      </c>
      <c r="O629" s="9">
        <f t="shared" si="226"/>
        <v>0</v>
      </c>
      <c r="P629" s="9">
        <f t="shared" si="227"/>
        <v>0</v>
      </c>
      <c r="Q629" s="9">
        <f t="shared" si="228"/>
        <v>1</v>
      </c>
      <c r="R629" s="9">
        <f t="shared" si="229"/>
        <v>0</v>
      </c>
      <c r="S629" s="9">
        <f t="shared" si="230"/>
        <v>0</v>
      </c>
      <c r="T629" s="9">
        <f t="shared" si="231"/>
        <v>0</v>
      </c>
      <c r="U629" s="9">
        <f t="shared" si="232"/>
        <v>0</v>
      </c>
      <c r="V629" s="9">
        <f t="shared" si="233"/>
        <v>0</v>
      </c>
      <c r="W629" s="9">
        <f t="shared" si="234"/>
        <v>0</v>
      </c>
      <c r="X629" s="9">
        <f t="shared" si="235"/>
        <v>0</v>
      </c>
      <c r="Y629" s="9">
        <f t="shared" si="236"/>
        <v>0</v>
      </c>
      <c r="Z629" s="9">
        <f t="shared" si="237"/>
        <v>0</v>
      </c>
      <c r="AA629" s="10">
        <f t="shared" si="238"/>
        <v>0</v>
      </c>
    </row>
    <row r="630" spans="1:27" x14ac:dyDescent="0.3">
      <c r="A630" s="4" t="s">
        <v>1302</v>
      </c>
      <c r="B630" s="4">
        <f t="shared" si="216"/>
        <v>1</v>
      </c>
      <c r="C630" s="4">
        <f t="shared" si="217"/>
        <v>0</v>
      </c>
      <c r="D630" s="4">
        <f t="shared" si="218"/>
        <v>0</v>
      </c>
      <c r="E630" s="4">
        <f t="shared" si="219"/>
        <v>0</v>
      </c>
      <c r="F630" s="4">
        <f t="shared" si="220"/>
        <v>0</v>
      </c>
      <c r="G630" s="4">
        <f t="shared" si="221"/>
        <v>0</v>
      </c>
      <c r="I630" s="11" t="s">
        <v>988</v>
      </c>
      <c r="J630" s="9">
        <f t="shared" si="222"/>
        <v>0</v>
      </c>
      <c r="K630" s="9">
        <f t="shared" si="239"/>
        <v>0</v>
      </c>
      <c r="L630" s="9">
        <f t="shared" si="223"/>
        <v>1</v>
      </c>
      <c r="M630" s="9">
        <f t="shared" si="224"/>
        <v>0</v>
      </c>
      <c r="N630" s="9">
        <f t="shared" si="225"/>
        <v>0</v>
      </c>
      <c r="O630" s="9">
        <f t="shared" si="226"/>
        <v>0</v>
      </c>
      <c r="P630" s="9">
        <f t="shared" si="227"/>
        <v>0</v>
      </c>
      <c r="Q630" s="9">
        <f t="shared" si="228"/>
        <v>0</v>
      </c>
      <c r="R630" s="9">
        <f t="shared" si="229"/>
        <v>0</v>
      </c>
      <c r="S630" s="9">
        <f t="shared" si="230"/>
        <v>0</v>
      </c>
      <c r="T630" s="9">
        <f t="shared" si="231"/>
        <v>0</v>
      </c>
      <c r="U630" s="9">
        <f t="shared" si="232"/>
        <v>0</v>
      </c>
      <c r="V630" s="9">
        <f t="shared" si="233"/>
        <v>0</v>
      </c>
      <c r="W630" s="9">
        <f t="shared" si="234"/>
        <v>0</v>
      </c>
      <c r="X630" s="9">
        <f t="shared" si="235"/>
        <v>0</v>
      </c>
      <c r="Y630" s="9">
        <f t="shared" si="236"/>
        <v>0</v>
      </c>
      <c r="Z630" s="9">
        <f t="shared" si="237"/>
        <v>0</v>
      </c>
      <c r="AA630" s="10">
        <f t="shared" si="238"/>
        <v>0</v>
      </c>
    </row>
    <row r="631" spans="1:27" x14ac:dyDescent="0.3">
      <c r="A631" s="18" t="s">
        <v>1303</v>
      </c>
      <c r="B631" s="4">
        <f t="shared" si="216"/>
        <v>0</v>
      </c>
      <c r="C631" s="4">
        <f t="shared" si="217"/>
        <v>0</v>
      </c>
      <c r="D631" s="4">
        <f t="shared" si="218"/>
        <v>0</v>
      </c>
      <c r="E631" s="4">
        <f t="shared" si="219"/>
        <v>0</v>
      </c>
      <c r="F631" s="4">
        <f t="shared" si="220"/>
        <v>1</v>
      </c>
      <c r="G631" s="4">
        <f t="shared" si="221"/>
        <v>0</v>
      </c>
      <c r="I631" s="8" t="s">
        <v>990</v>
      </c>
      <c r="J631" s="9">
        <f t="shared" si="222"/>
        <v>0</v>
      </c>
      <c r="K631" s="9">
        <f t="shared" si="239"/>
        <v>0</v>
      </c>
      <c r="L631" s="9">
        <f t="shared" si="223"/>
        <v>0</v>
      </c>
      <c r="M631" s="9">
        <f t="shared" si="224"/>
        <v>0</v>
      </c>
      <c r="N631" s="9">
        <f t="shared" si="225"/>
        <v>1</v>
      </c>
      <c r="O631" s="9">
        <f t="shared" si="226"/>
        <v>0</v>
      </c>
      <c r="P631" s="9">
        <f t="shared" si="227"/>
        <v>0</v>
      </c>
      <c r="Q631" s="9">
        <f t="shared" si="228"/>
        <v>0</v>
      </c>
      <c r="R631" s="9">
        <f t="shared" si="229"/>
        <v>0</v>
      </c>
      <c r="S631" s="9">
        <f t="shared" si="230"/>
        <v>0</v>
      </c>
      <c r="T631" s="9">
        <f t="shared" si="231"/>
        <v>0</v>
      </c>
      <c r="U631" s="9">
        <f t="shared" si="232"/>
        <v>0</v>
      </c>
      <c r="V631" s="9">
        <f t="shared" si="233"/>
        <v>0</v>
      </c>
      <c r="W631" s="9">
        <f t="shared" si="234"/>
        <v>0</v>
      </c>
      <c r="X631" s="9">
        <f t="shared" si="235"/>
        <v>0</v>
      </c>
      <c r="Y631" s="9">
        <f t="shared" si="236"/>
        <v>0</v>
      </c>
      <c r="Z631" s="9">
        <f t="shared" si="237"/>
        <v>0</v>
      </c>
      <c r="AA631" s="10">
        <f t="shared" si="238"/>
        <v>0</v>
      </c>
    </row>
    <row r="632" spans="1:27" x14ac:dyDescent="0.3">
      <c r="A632" s="4" t="s">
        <v>1302</v>
      </c>
      <c r="B632" s="4">
        <f t="shared" si="216"/>
        <v>1</v>
      </c>
      <c r="C632" s="4">
        <f t="shared" si="217"/>
        <v>0</v>
      </c>
      <c r="D632" s="4">
        <f t="shared" si="218"/>
        <v>0</v>
      </c>
      <c r="E632" s="4">
        <f t="shared" si="219"/>
        <v>0</v>
      </c>
      <c r="F632" s="4">
        <f t="shared" si="220"/>
        <v>0</v>
      </c>
      <c r="G632" s="4">
        <f t="shared" si="221"/>
        <v>0</v>
      </c>
      <c r="I632" s="11" t="s">
        <v>994</v>
      </c>
      <c r="J632" s="9">
        <f t="shared" si="222"/>
        <v>0</v>
      </c>
      <c r="K632" s="9">
        <f t="shared" si="239"/>
        <v>0</v>
      </c>
      <c r="L632" s="9">
        <f t="shared" si="223"/>
        <v>0</v>
      </c>
      <c r="M632" s="9">
        <f t="shared" si="224"/>
        <v>0</v>
      </c>
      <c r="N632" s="9">
        <f t="shared" si="225"/>
        <v>0</v>
      </c>
      <c r="O632" s="9">
        <f t="shared" si="226"/>
        <v>0</v>
      </c>
      <c r="P632" s="9">
        <f t="shared" si="227"/>
        <v>1</v>
      </c>
      <c r="Q632" s="9">
        <f t="shared" si="228"/>
        <v>0</v>
      </c>
      <c r="R632" s="9">
        <f t="shared" si="229"/>
        <v>0</v>
      </c>
      <c r="S632" s="9">
        <f t="shared" si="230"/>
        <v>0</v>
      </c>
      <c r="T632" s="9">
        <f t="shared" si="231"/>
        <v>0</v>
      </c>
      <c r="U632" s="9">
        <f t="shared" si="232"/>
        <v>0</v>
      </c>
      <c r="V632" s="9">
        <f t="shared" si="233"/>
        <v>0</v>
      </c>
      <c r="W632" s="9">
        <f t="shared" si="234"/>
        <v>0</v>
      </c>
      <c r="X632" s="9">
        <f t="shared" si="235"/>
        <v>0</v>
      </c>
      <c r="Y632" s="9">
        <f t="shared" si="236"/>
        <v>0</v>
      </c>
      <c r="Z632" s="9">
        <f t="shared" si="237"/>
        <v>0</v>
      </c>
      <c r="AA632" s="10">
        <f t="shared" si="238"/>
        <v>0</v>
      </c>
    </row>
    <row r="633" spans="1:27" x14ac:dyDescent="0.3">
      <c r="A633" s="18" t="s">
        <v>1304</v>
      </c>
      <c r="B633" s="4">
        <f t="shared" si="216"/>
        <v>0</v>
      </c>
      <c r="C633" s="4">
        <f t="shared" si="217"/>
        <v>1</v>
      </c>
      <c r="D633" s="4">
        <f t="shared" si="218"/>
        <v>0</v>
      </c>
      <c r="E633" s="4">
        <f t="shared" si="219"/>
        <v>0</v>
      </c>
      <c r="F633" s="4">
        <f t="shared" si="220"/>
        <v>0</v>
      </c>
      <c r="G633" s="4">
        <f t="shared" si="221"/>
        <v>0</v>
      </c>
      <c r="I633" s="8" t="s">
        <v>1004</v>
      </c>
      <c r="J633" s="9">
        <f t="shared" si="222"/>
        <v>0</v>
      </c>
      <c r="K633" s="9">
        <f t="shared" si="239"/>
        <v>0</v>
      </c>
      <c r="L633" s="9">
        <f t="shared" si="223"/>
        <v>0</v>
      </c>
      <c r="M633" s="9">
        <f t="shared" si="224"/>
        <v>0</v>
      </c>
      <c r="N633" s="9">
        <f t="shared" si="225"/>
        <v>0</v>
      </c>
      <c r="O633" s="9">
        <f t="shared" si="226"/>
        <v>0</v>
      </c>
      <c r="P633" s="9">
        <f t="shared" si="227"/>
        <v>0</v>
      </c>
      <c r="Q633" s="9">
        <f t="shared" si="228"/>
        <v>0</v>
      </c>
      <c r="R633" s="9">
        <f t="shared" si="229"/>
        <v>1</v>
      </c>
      <c r="S633" s="9">
        <f t="shared" si="230"/>
        <v>0</v>
      </c>
      <c r="T633" s="9">
        <f t="shared" si="231"/>
        <v>0</v>
      </c>
      <c r="U633" s="9">
        <f t="shared" si="232"/>
        <v>0</v>
      </c>
      <c r="V633" s="9">
        <f t="shared" si="233"/>
        <v>0</v>
      </c>
      <c r="W633" s="9">
        <f t="shared" si="234"/>
        <v>0</v>
      </c>
      <c r="X633" s="9">
        <f t="shared" si="235"/>
        <v>0</v>
      </c>
      <c r="Y633" s="9">
        <f t="shared" si="236"/>
        <v>0</v>
      </c>
      <c r="Z633" s="9">
        <f t="shared" si="237"/>
        <v>0</v>
      </c>
      <c r="AA633" s="10">
        <f t="shared" si="238"/>
        <v>0</v>
      </c>
    </row>
    <row r="634" spans="1:27" x14ac:dyDescent="0.3">
      <c r="A634" s="4" t="s">
        <v>1302</v>
      </c>
      <c r="B634" s="4">
        <f t="shared" si="216"/>
        <v>1</v>
      </c>
      <c r="C634" s="4">
        <f t="shared" si="217"/>
        <v>0</v>
      </c>
      <c r="D634" s="4">
        <f t="shared" si="218"/>
        <v>0</v>
      </c>
      <c r="E634" s="4">
        <f t="shared" si="219"/>
        <v>0</v>
      </c>
      <c r="F634" s="4">
        <f t="shared" si="220"/>
        <v>0</v>
      </c>
      <c r="G634" s="4">
        <f t="shared" si="221"/>
        <v>0</v>
      </c>
      <c r="I634" s="11" t="s">
        <v>994</v>
      </c>
      <c r="J634" s="9">
        <f t="shared" si="222"/>
        <v>0</v>
      </c>
      <c r="K634" s="9">
        <f t="shared" si="239"/>
        <v>0</v>
      </c>
      <c r="L634" s="9">
        <f t="shared" si="223"/>
        <v>0</v>
      </c>
      <c r="M634" s="9">
        <f t="shared" si="224"/>
        <v>0</v>
      </c>
      <c r="N634" s="9">
        <f t="shared" si="225"/>
        <v>0</v>
      </c>
      <c r="O634" s="9">
        <f t="shared" si="226"/>
        <v>0</v>
      </c>
      <c r="P634" s="9">
        <f t="shared" si="227"/>
        <v>1</v>
      </c>
      <c r="Q634" s="9">
        <f t="shared" si="228"/>
        <v>0</v>
      </c>
      <c r="R634" s="9">
        <f t="shared" si="229"/>
        <v>0</v>
      </c>
      <c r="S634" s="9">
        <f t="shared" si="230"/>
        <v>0</v>
      </c>
      <c r="T634" s="9">
        <f t="shared" si="231"/>
        <v>0</v>
      </c>
      <c r="U634" s="9">
        <f t="shared" si="232"/>
        <v>0</v>
      </c>
      <c r="V634" s="9">
        <f t="shared" si="233"/>
        <v>0</v>
      </c>
      <c r="W634" s="9">
        <f t="shared" si="234"/>
        <v>0</v>
      </c>
      <c r="X634" s="9">
        <f t="shared" si="235"/>
        <v>0</v>
      </c>
      <c r="Y634" s="9">
        <f t="shared" si="236"/>
        <v>0</v>
      </c>
      <c r="Z634" s="9">
        <f t="shared" si="237"/>
        <v>0</v>
      </c>
      <c r="AA634" s="10">
        <f t="shared" si="238"/>
        <v>0</v>
      </c>
    </row>
    <row r="635" spans="1:27" x14ac:dyDescent="0.3">
      <c r="A635" s="18" t="s">
        <v>1302</v>
      </c>
      <c r="B635" s="4">
        <f t="shared" si="216"/>
        <v>1</v>
      </c>
      <c r="C635" s="4">
        <f t="shared" si="217"/>
        <v>0</v>
      </c>
      <c r="D635" s="4">
        <f t="shared" si="218"/>
        <v>0</v>
      </c>
      <c r="E635" s="4">
        <f t="shared" si="219"/>
        <v>0</v>
      </c>
      <c r="F635" s="4">
        <f t="shared" si="220"/>
        <v>0</v>
      </c>
      <c r="G635" s="4">
        <f t="shared" si="221"/>
        <v>0</v>
      </c>
      <c r="I635" s="8" t="s">
        <v>1044</v>
      </c>
      <c r="J635" s="9">
        <f t="shared" si="222"/>
        <v>0</v>
      </c>
      <c r="K635" s="9">
        <f t="shared" si="239"/>
        <v>0</v>
      </c>
      <c r="L635" s="9">
        <f t="shared" si="223"/>
        <v>0</v>
      </c>
      <c r="M635" s="9">
        <f t="shared" si="224"/>
        <v>0</v>
      </c>
      <c r="N635" s="9">
        <f t="shared" si="225"/>
        <v>0</v>
      </c>
      <c r="O635" s="9">
        <f t="shared" si="226"/>
        <v>0</v>
      </c>
      <c r="P635" s="9">
        <f t="shared" si="227"/>
        <v>0</v>
      </c>
      <c r="Q635" s="9">
        <f t="shared" si="228"/>
        <v>0</v>
      </c>
      <c r="R635" s="9">
        <f t="shared" si="229"/>
        <v>0</v>
      </c>
      <c r="S635" s="9">
        <f t="shared" si="230"/>
        <v>0</v>
      </c>
      <c r="T635" s="9">
        <f t="shared" si="231"/>
        <v>0</v>
      </c>
      <c r="U635" s="9">
        <f t="shared" si="232"/>
        <v>1</v>
      </c>
      <c r="V635" s="9">
        <f t="shared" si="233"/>
        <v>0</v>
      </c>
      <c r="W635" s="9">
        <f t="shared" si="234"/>
        <v>0</v>
      </c>
      <c r="X635" s="9">
        <f t="shared" si="235"/>
        <v>0</v>
      </c>
      <c r="Y635" s="9">
        <f t="shared" si="236"/>
        <v>0</v>
      </c>
      <c r="Z635" s="9">
        <f t="shared" si="237"/>
        <v>0</v>
      </c>
      <c r="AA635" s="10">
        <f t="shared" si="238"/>
        <v>0</v>
      </c>
    </row>
    <row r="636" spans="1:27" x14ac:dyDescent="0.3">
      <c r="A636" s="4" t="s">
        <v>1302</v>
      </c>
      <c r="B636" s="4">
        <f t="shared" si="216"/>
        <v>1</v>
      </c>
      <c r="C636" s="4">
        <f t="shared" si="217"/>
        <v>0</v>
      </c>
      <c r="D636" s="4">
        <f t="shared" si="218"/>
        <v>0</v>
      </c>
      <c r="E636" s="4">
        <f t="shared" si="219"/>
        <v>0</v>
      </c>
      <c r="F636" s="4">
        <f t="shared" si="220"/>
        <v>0</v>
      </c>
      <c r="G636" s="4">
        <f t="shared" si="221"/>
        <v>0</v>
      </c>
      <c r="I636" s="11" t="s">
        <v>988</v>
      </c>
      <c r="J636" s="9">
        <f t="shared" si="222"/>
        <v>0</v>
      </c>
      <c r="K636" s="9">
        <f t="shared" si="239"/>
        <v>0</v>
      </c>
      <c r="L636" s="9">
        <f t="shared" si="223"/>
        <v>1</v>
      </c>
      <c r="M636" s="9">
        <f t="shared" si="224"/>
        <v>0</v>
      </c>
      <c r="N636" s="9">
        <f t="shared" si="225"/>
        <v>0</v>
      </c>
      <c r="O636" s="9">
        <f t="shared" si="226"/>
        <v>0</v>
      </c>
      <c r="P636" s="9">
        <f t="shared" si="227"/>
        <v>0</v>
      </c>
      <c r="Q636" s="9">
        <f t="shared" si="228"/>
        <v>0</v>
      </c>
      <c r="R636" s="9">
        <f t="shared" si="229"/>
        <v>0</v>
      </c>
      <c r="S636" s="9">
        <f t="shared" si="230"/>
        <v>0</v>
      </c>
      <c r="T636" s="9">
        <f t="shared" si="231"/>
        <v>0</v>
      </c>
      <c r="U636" s="9">
        <f t="shared" si="232"/>
        <v>0</v>
      </c>
      <c r="V636" s="9">
        <f t="shared" si="233"/>
        <v>0</v>
      </c>
      <c r="W636" s="9">
        <f t="shared" si="234"/>
        <v>0</v>
      </c>
      <c r="X636" s="9">
        <f t="shared" si="235"/>
        <v>0</v>
      </c>
      <c r="Y636" s="9">
        <f t="shared" si="236"/>
        <v>0</v>
      </c>
      <c r="Z636" s="9">
        <f t="shared" si="237"/>
        <v>0</v>
      </c>
      <c r="AA636" s="10">
        <f t="shared" si="238"/>
        <v>0</v>
      </c>
    </row>
    <row r="637" spans="1:27" x14ac:dyDescent="0.3">
      <c r="A637" s="18" t="s">
        <v>1302</v>
      </c>
      <c r="B637" s="4">
        <f t="shared" si="216"/>
        <v>1</v>
      </c>
      <c r="C637" s="4">
        <f t="shared" si="217"/>
        <v>0</v>
      </c>
      <c r="D637" s="4">
        <f t="shared" si="218"/>
        <v>0</v>
      </c>
      <c r="E637" s="4">
        <f t="shared" si="219"/>
        <v>0</v>
      </c>
      <c r="F637" s="4">
        <f t="shared" si="220"/>
        <v>0</v>
      </c>
      <c r="G637" s="4">
        <f t="shared" si="221"/>
        <v>0</v>
      </c>
      <c r="I637" s="8" t="s">
        <v>977</v>
      </c>
      <c r="J637" s="9">
        <f t="shared" si="222"/>
        <v>1</v>
      </c>
      <c r="K637" s="9">
        <f t="shared" si="239"/>
        <v>0</v>
      </c>
      <c r="L637" s="9">
        <f t="shared" si="223"/>
        <v>0</v>
      </c>
      <c r="M637" s="9">
        <f t="shared" si="224"/>
        <v>0</v>
      </c>
      <c r="N637" s="9">
        <f t="shared" si="225"/>
        <v>0</v>
      </c>
      <c r="O637" s="9">
        <f t="shared" si="226"/>
        <v>0</v>
      </c>
      <c r="P637" s="9">
        <f t="shared" si="227"/>
        <v>0</v>
      </c>
      <c r="Q637" s="9">
        <f t="shared" si="228"/>
        <v>0</v>
      </c>
      <c r="R637" s="9">
        <f t="shared" si="229"/>
        <v>0</v>
      </c>
      <c r="S637" s="9">
        <f t="shared" si="230"/>
        <v>0</v>
      </c>
      <c r="T637" s="9">
        <f t="shared" si="231"/>
        <v>0</v>
      </c>
      <c r="U637" s="9">
        <f t="shared" si="232"/>
        <v>0</v>
      </c>
      <c r="V637" s="9">
        <f t="shared" si="233"/>
        <v>0</v>
      </c>
      <c r="W637" s="9">
        <f t="shared" si="234"/>
        <v>0</v>
      </c>
      <c r="X637" s="9">
        <f t="shared" si="235"/>
        <v>0</v>
      </c>
      <c r="Y637" s="9">
        <f t="shared" si="236"/>
        <v>0</v>
      </c>
      <c r="Z637" s="9">
        <f t="shared" si="237"/>
        <v>0</v>
      </c>
      <c r="AA637" s="10">
        <f t="shared" si="238"/>
        <v>0</v>
      </c>
    </row>
    <row r="638" spans="1:27" x14ac:dyDescent="0.3">
      <c r="A638" s="4" t="s">
        <v>1302</v>
      </c>
      <c r="B638" s="4">
        <f t="shared" si="216"/>
        <v>1</v>
      </c>
      <c r="C638" s="4">
        <f t="shared" si="217"/>
        <v>0</v>
      </c>
      <c r="D638" s="4">
        <f t="shared" si="218"/>
        <v>0</v>
      </c>
      <c r="E638" s="4">
        <f t="shared" si="219"/>
        <v>0</v>
      </c>
      <c r="F638" s="4">
        <f t="shared" si="220"/>
        <v>0</v>
      </c>
      <c r="G638" s="4">
        <f t="shared" si="221"/>
        <v>0</v>
      </c>
      <c r="I638" s="11" t="s">
        <v>988</v>
      </c>
      <c r="J638" s="9">
        <f t="shared" si="222"/>
        <v>0</v>
      </c>
      <c r="K638" s="9">
        <f t="shared" si="239"/>
        <v>0</v>
      </c>
      <c r="L638" s="9">
        <f t="shared" si="223"/>
        <v>1</v>
      </c>
      <c r="M638" s="9">
        <f t="shared" si="224"/>
        <v>0</v>
      </c>
      <c r="N638" s="9">
        <f t="shared" si="225"/>
        <v>0</v>
      </c>
      <c r="O638" s="9">
        <f t="shared" si="226"/>
        <v>0</v>
      </c>
      <c r="P638" s="9">
        <f t="shared" si="227"/>
        <v>0</v>
      </c>
      <c r="Q638" s="9">
        <f t="shared" si="228"/>
        <v>0</v>
      </c>
      <c r="R638" s="9">
        <f t="shared" si="229"/>
        <v>0</v>
      </c>
      <c r="S638" s="9">
        <f t="shared" si="230"/>
        <v>0</v>
      </c>
      <c r="T638" s="9">
        <f t="shared" si="231"/>
        <v>0</v>
      </c>
      <c r="U638" s="9">
        <f t="shared" si="232"/>
        <v>0</v>
      </c>
      <c r="V638" s="9">
        <f t="shared" si="233"/>
        <v>0</v>
      </c>
      <c r="W638" s="9">
        <f t="shared" si="234"/>
        <v>0</v>
      </c>
      <c r="X638" s="9">
        <f t="shared" si="235"/>
        <v>0</v>
      </c>
      <c r="Y638" s="9">
        <f t="shared" si="236"/>
        <v>0</v>
      </c>
      <c r="Z638" s="9">
        <f t="shared" si="237"/>
        <v>0</v>
      </c>
      <c r="AA638" s="10">
        <f t="shared" si="238"/>
        <v>0</v>
      </c>
    </row>
    <row r="639" spans="1:27" x14ac:dyDescent="0.3">
      <c r="A639" s="18" t="s">
        <v>1302</v>
      </c>
      <c r="B639" s="4">
        <f t="shared" si="216"/>
        <v>1</v>
      </c>
      <c r="C639" s="4">
        <f t="shared" si="217"/>
        <v>0</v>
      </c>
      <c r="D639" s="4">
        <f t="shared" si="218"/>
        <v>0</v>
      </c>
      <c r="E639" s="4">
        <f t="shared" si="219"/>
        <v>0</v>
      </c>
      <c r="F639" s="4">
        <f t="shared" si="220"/>
        <v>0</v>
      </c>
      <c r="G639" s="4">
        <f t="shared" si="221"/>
        <v>0</v>
      </c>
      <c r="I639" s="8" t="s">
        <v>1026</v>
      </c>
      <c r="J639" s="9">
        <f t="shared" si="222"/>
        <v>0</v>
      </c>
      <c r="K639" s="9">
        <f t="shared" si="239"/>
        <v>0</v>
      </c>
      <c r="L639" s="9">
        <f t="shared" si="223"/>
        <v>0</v>
      </c>
      <c r="M639" s="9">
        <f t="shared" si="224"/>
        <v>0</v>
      </c>
      <c r="N639" s="9">
        <f t="shared" si="225"/>
        <v>0</v>
      </c>
      <c r="O639" s="9">
        <f t="shared" si="226"/>
        <v>0</v>
      </c>
      <c r="P639" s="9">
        <f t="shared" si="227"/>
        <v>0</v>
      </c>
      <c r="Q639" s="9">
        <f t="shared" si="228"/>
        <v>0</v>
      </c>
      <c r="R639" s="9">
        <f t="shared" si="229"/>
        <v>0</v>
      </c>
      <c r="S639" s="9">
        <f t="shared" si="230"/>
        <v>0</v>
      </c>
      <c r="T639" s="9">
        <f t="shared" si="231"/>
        <v>1</v>
      </c>
      <c r="U639" s="9">
        <f t="shared" si="232"/>
        <v>0</v>
      </c>
      <c r="V639" s="9">
        <f t="shared" si="233"/>
        <v>0</v>
      </c>
      <c r="W639" s="9">
        <f t="shared" si="234"/>
        <v>0</v>
      </c>
      <c r="X639" s="9">
        <f t="shared" si="235"/>
        <v>0</v>
      </c>
      <c r="Y639" s="9">
        <f t="shared" si="236"/>
        <v>0</v>
      </c>
      <c r="Z639" s="9">
        <f t="shared" si="237"/>
        <v>0</v>
      </c>
      <c r="AA639" s="10">
        <f t="shared" si="238"/>
        <v>0</v>
      </c>
    </row>
    <row r="640" spans="1:27" x14ac:dyDescent="0.3">
      <c r="A640" s="4" t="s">
        <v>1303</v>
      </c>
      <c r="B640" s="4">
        <f t="shared" si="216"/>
        <v>0</v>
      </c>
      <c r="C640" s="4">
        <f t="shared" si="217"/>
        <v>0</v>
      </c>
      <c r="D640" s="4">
        <f t="shared" si="218"/>
        <v>0</v>
      </c>
      <c r="E640" s="4">
        <f t="shared" si="219"/>
        <v>0</v>
      </c>
      <c r="F640" s="4">
        <f t="shared" si="220"/>
        <v>1</v>
      </c>
      <c r="G640" s="4">
        <f t="shared" si="221"/>
        <v>0</v>
      </c>
      <c r="I640" s="11" t="s">
        <v>1026</v>
      </c>
      <c r="J640" s="9">
        <f t="shared" si="222"/>
        <v>0</v>
      </c>
      <c r="K640" s="9">
        <f t="shared" si="239"/>
        <v>0</v>
      </c>
      <c r="L640" s="9">
        <f t="shared" si="223"/>
        <v>0</v>
      </c>
      <c r="M640" s="9">
        <f t="shared" si="224"/>
        <v>0</v>
      </c>
      <c r="N640" s="9">
        <f t="shared" si="225"/>
        <v>0</v>
      </c>
      <c r="O640" s="9">
        <f t="shared" si="226"/>
        <v>0</v>
      </c>
      <c r="P640" s="9">
        <f t="shared" si="227"/>
        <v>0</v>
      </c>
      <c r="Q640" s="9">
        <f t="shared" si="228"/>
        <v>0</v>
      </c>
      <c r="R640" s="9">
        <f t="shared" si="229"/>
        <v>0</v>
      </c>
      <c r="S640" s="9">
        <f t="shared" si="230"/>
        <v>0</v>
      </c>
      <c r="T640" s="9">
        <f t="shared" si="231"/>
        <v>1</v>
      </c>
      <c r="U640" s="9">
        <f t="shared" si="232"/>
        <v>0</v>
      </c>
      <c r="V640" s="9">
        <f t="shared" si="233"/>
        <v>0</v>
      </c>
      <c r="W640" s="9">
        <f t="shared" si="234"/>
        <v>0</v>
      </c>
      <c r="X640" s="9">
        <f t="shared" si="235"/>
        <v>0</v>
      </c>
      <c r="Y640" s="9">
        <f t="shared" si="236"/>
        <v>0</v>
      </c>
      <c r="Z640" s="9">
        <f t="shared" si="237"/>
        <v>0</v>
      </c>
      <c r="AA640" s="10">
        <f t="shared" si="238"/>
        <v>0</v>
      </c>
    </row>
    <row r="641" spans="1:27" x14ac:dyDescent="0.3">
      <c r="A641" s="18" t="s">
        <v>1302</v>
      </c>
      <c r="B641" s="4">
        <f t="shared" si="216"/>
        <v>1</v>
      </c>
      <c r="C641" s="4">
        <f t="shared" si="217"/>
        <v>0</v>
      </c>
      <c r="D641" s="4">
        <f t="shared" si="218"/>
        <v>0</v>
      </c>
      <c r="E641" s="4">
        <f t="shared" si="219"/>
        <v>0</v>
      </c>
      <c r="F641" s="4">
        <f t="shared" si="220"/>
        <v>0</v>
      </c>
      <c r="G641" s="4">
        <f t="shared" si="221"/>
        <v>0</v>
      </c>
      <c r="I641" s="8" t="s">
        <v>988</v>
      </c>
      <c r="J641" s="9">
        <f t="shared" si="222"/>
        <v>0</v>
      </c>
      <c r="K641" s="9">
        <f t="shared" si="239"/>
        <v>0</v>
      </c>
      <c r="L641" s="9">
        <f t="shared" si="223"/>
        <v>1</v>
      </c>
      <c r="M641" s="9">
        <f t="shared" si="224"/>
        <v>0</v>
      </c>
      <c r="N641" s="9">
        <f t="shared" si="225"/>
        <v>0</v>
      </c>
      <c r="O641" s="9">
        <f t="shared" si="226"/>
        <v>0</v>
      </c>
      <c r="P641" s="9">
        <f t="shared" si="227"/>
        <v>0</v>
      </c>
      <c r="Q641" s="9">
        <f t="shared" si="228"/>
        <v>0</v>
      </c>
      <c r="R641" s="9">
        <f t="shared" si="229"/>
        <v>0</v>
      </c>
      <c r="S641" s="9">
        <f t="shared" si="230"/>
        <v>0</v>
      </c>
      <c r="T641" s="9">
        <f t="shared" si="231"/>
        <v>0</v>
      </c>
      <c r="U641" s="9">
        <f t="shared" si="232"/>
        <v>0</v>
      </c>
      <c r="V641" s="9">
        <f t="shared" si="233"/>
        <v>0</v>
      </c>
      <c r="W641" s="9">
        <f t="shared" si="234"/>
        <v>0</v>
      </c>
      <c r="X641" s="9">
        <f t="shared" si="235"/>
        <v>0</v>
      </c>
      <c r="Y641" s="9">
        <f t="shared" si="236"/>
        <v>0</v>
      </c>
      <c r="Z641" s="9">
        <f t="shared" si="237"/>
        <v>0</v>
      </c>
      <c r="AA641" s="10">
        <f t="shared" si="238"/>
        <v>0</v>
      </c>
    </row>
    <row r="642" spans="1:27" x14ac:dyDescent="0.3">
      <c r="A642" s="4" t="s">
        <v>1304</v>
      </c>
      <c r="B642" s="4">
        <f t="shared" si="216"/>
        <v>0</v>
      </c>
      <c r="C642" s="4">
        <f t="shared" si="217"/>
        <v>1</v>
      </c>
      <c r="D642" s="4">
        <f t="shared" si="218"/>
        <v>0</v>
      </c>
      <c r="E642" s="4">
        <f t="shared" si="219"/>
        <v>0</v>
      </c>
      <c r="F642" s="4">
        <f t="shared" si="220"/>
        <v>0</v>
      </c>
      <c r="G642" s="4">
        <f t="shared" si="221"/>
        <v>0</v>
      </c>
      <c r="I642" s="11" t="s">
        <v>988</v>
      </c>
      <c r="J642" s="9">
        <f t="shared" si="222"/>
        <v>0</v>
      </c>
      <c r="K642" s="9">
        <f t="shared" si="239"/>
        <v>0</v>
      </c>
      <c r="L642" s="9">
        <f t="shared" si="223"/>
        <v>1</v>
      </c>
      <c r="M642" s="9">
        <f t="shared" si="224"/>
        <v>0</v>
      </c>
      <c r="N642" s="9">
        <f t="shared" si="225"/>
        <v>0</v>
      </c>
      <c r="O642" s="9">
        <f t="shared" si="226"/>
        <v>0</v>
      </c>
      <c r="P642" s="9">
        <f t="shared" si="227"/>
        <v>0</v>
      </c>
      <c r="Q642" s="9">
        <f t="shared" si="228"/>
        <v>0</v>
      </c>
      <c r="R642" s="9">
        <f t="shared" si="229"/>
        <v>0</v>
      </c>
      <c r="S642" s="9">
        <f t="shared" si="230"/>
        <v>0</v>
      </c>
      <c r="T642" s="9">
        <f t="shared" si="231"/>
        <v>0</v>
      </c>
      <c r="U642" s="9">
        <f t="shared" si="232"/>
        <v>0</v>
      </c>
      <c r="V642" s="9">
        <f t="shared" si="233"/>
        <v>0</v>
      </c>
      <c r="W642" s="9">
        <f t="shared" si="234"/>
        <v>0</v>
      </c>
      <c r="X642" s="9">
        <f t="shared" si="235"/>
        <v>0</v>
      </c>
      <c r="Y642" s="9">
        <f t="shared" si="236"/>
        <v>0</v>
      </c>
      <c r="Z642" s="9">
        <f t="shared" si="237"/>
        <v>0</v>
      </c>
      <c r="AA642" s="10">
        <f t="shared" si="238"/>
        <v>0</v>
      </c>
    </row>
    <row r="643" spans="1:27" x14ac:dyDescent="0.3">
      <c r="A643" s="18" t="s">
        <v>1294</v>
      </c>
      <c r="B643" s="4">
        <f t="shared" si="216"/>
        <v>0</v>
      </c>
      <c r="C643" s="4">
        <f t="shared" si="217"/>
        <v>0</v>
      </c>
      <c r="D643" s="4">
        <f t="shared" si="218"/>
        <v>0</v>
      </c>
      <c r="E643" s="4">
        <f t="shared" si="219"/>
        <v>0</v>
      </c>
      <c r="F643" s="4">
        <f t="shared" si="220"/>
        <v>0</v>
      </c>
      <c r="G643" s="4">
        <f t="shared" si="221"/>
        <v>0</v>
      </c>
      <c r="I643" s="8" t="s">
        <v>994</v>
      </c>
      <c r="J643" s="9">
        <f t="shared" si="222"/>
        <v>0</v>
      </c>
      <c r="K643" s="9">
        <f t="shared" si="239"/>
        <v>0</v>
      </c>
      <c r="L643" s="9">
        <f t="shared" si="223"/>
        <v>0</v>
      </c>
      <c r="M643" s="9">
        <f t="shared" si="224"/>
        <v>0</v>
      </c>
      <c r="N643" s="9">
        <f t="shared" si="225"/>
        <v>0</v>
      </c>
      <c r="O643" s="9">
        <f t="shared" si="226"/>
        <v>0</v>
      </c>
      <c r="P643" s="9">
        <f t="shared" si="227"/>
        <v>1</v>
      </c>
      <c r="Q643" s="9">
        <f t="shared" si="228"/>
        <v>0</v>
      </c>
      <c r="R643" s="9">
        <f t="shared" si="229"/>
        <v>0</v>
      </c>
      <c r="S643" s="9">
        <f t="shared" si="230"/>
        <v>0</v>
      </c>
      <c r="T643" s="9">
        <f t="shared" si="231"/>
        <v>0</v>
      </c>
      <c r="U643" s="9">
        <f t="shared" si="232"/>
        <v>0</v>
      </c>
      <c r="V643" s="9">
        <f t="shared" si="233"/>
        <v>0</v>
      </c>
      <c r="W643" s="9">
        <f t="shared" si="234"/>
        <v>0</v>
      </c>
      <c r="X643" s="9">
        <f t="shared" si="235"/>
        <v>0</v>
      </c>
      <c r="Y643" s="9">
        <f t="shared" si="236"/>
        <v>0</v>
      </c>
      <c r="Z643" s="9">
        <f t="shared" si="237"/>
        <v>0</v>
      </c>
      <c r="AA643" s="10">
        <f t="shared" si="238"/>
        <v>0</v>
      </c>
    </row>
    <row r="644" spans="1:27" x14ac:dyDescent="0.3">
      <c r="A644" s="4" t="s">
        <v>1294</v>
      </c>
      <c r="B644" s="4">
        <f t="shared" ref="B644:B707" si="240">IF($A644="Asia",1,0)</f>
        <v>0</v>
      </c>
      <c r="C644" s="4">
        <f t="shared" ref="C644:C707" si="241">IF(A644="Europe",1,0)</f>
        <v>0</v>
      </c>
      <c r="D644" s="4">
        <f t="shared" ref="D644:D707" si="242">IF(A644="Africa",1,0)</f>
        <v>0</v>
      </c>
      <c r="E644" s="4">
        <f t="shared" ref="E644:E707" si="243">IF($A644="Australia",1,0)</f>
        <v>0</v>
      </c>
      <c r="F644" s="4">
        <f t="shared" ref="F644:F707" si="244">IF($A644="North America",1,0)</f>
        <v>0</v>
      </c>
      <c r="G644" s="4">
        <f t="shared" ref="G644:G707" si="245">IF($A644="South America",1,0)</f>
        <v>0</v>
      </c>
      <c r="I644" s="11" t="s">
        <v>977</v>
      </c>
      <c r="J644" s="9">
        <f t="shared" ref="J644:J707" si="246">IF(I644="Music",1,0)</f>
        <v>1</v>
      </c>
      <c r="K644" s="9">
        <f t="shared" si="239"/>
        <v>0</v>
      </c>
      <c r="L644" s="9">
        <f t="shared" ref="L644:L707" si="247">IF(I644="Entertainment",1,0)</f>
        <v>0</v>
      </c>
      <c r="M644" s="9">
        <f t="shared" ref="M644:M707" si="248">IF(I644="Nonprofits &amp; Activism",1,0)</f>
        <v>0</v>
      </c>
      <c r="N644" s="9">
        <f t="shared" ref="N644:N707" si="249">IF(I644="Education",1,0)</f>
        <v>0</v>
      </c>
      <c r="O644" s="9">
        <f t="shared" ref="O644:O707" si="250">IF(I644="Shows",1,0)</f>
        <v>0</v>
      </c>
      <c r="P644" s="9">
        <f t="shared" ref="P644:P707" si="251">IF(I644="People &amp; Blogs",1,0)</f>
        <v>0</v>
      </c>
      <c r="Q644" s="9">
        <f t="shared" ref="Q644:Q707" si="252">IF(I644="Gaming",1,0)</f>
        <v>0</v>
      </c>
      <c r="R644" s="9">
        <f t="shared" ref="R644:R707" si="253">IF(I644="Sports",1,0)</f>
        <v>0</v>
      </c>
      <c r="S644" s="9">
        <f t="shared" ref="S644:S707" si="254">IF(I644="Howto &amp; Style",1,0)</f>
        <v>0</v>
      </c>
      <c r="T644" s="9">
        <f t="shared" ref="T644:T707" si="255">IF(I644="News &amp; Politics",1,0)</f>
        <v>0</v>
      </c>
      <c r="U644" s="9">
        <f t="shared" ref="U644:U707" si="256">IF(I644="Comedy",1,0)</f>
        <v>0</v>
      </c>
      <c r="V644" s="9">
        <f t="shared" ref="V644:V707" si="257">IF(I644="Trailers",1,0)</f>
        <v>0</v>
      </c>
      <c r="W644" s="9">
        <f t="shared" ref="W644:W707" si="258">IF(I644="Movies",1,0)</f>
        <v>0</v>
      </c>
      <c r="X644" s="9">
        <f t="shared" ref="X644:X707" si="259">IF(I644="Autos &amp; Vehicles",1,0)</f>
        <v>0</v>
      </c>
      <c r="Y644" s="9">
        <f t="shared" ref="Y644:Y707" si="260">IF(I644="Pets &amp; Animals",1,0)</f>
        <v>0</v>
      </c>
      <c r="Z644" s="9">
        <f t="shared" ref="Z644:Z707" si="261">IF(I644="Science &amp; Technology",1,0)</f>
        <v>0</v>
      </c>
      <c r="AA644" s="10">
        <f t="shared" ref="AA644:AA707" si="262">IF(I644="Travel &amp; Events",1,0)</f>
        <v>0</v>
      </c>
    </row>
    <row r="645" spans="1:27" x14ac:dyDescent="0.3">
      <c r="A645" s="18" t="s">
        <v>1304</v>
      </c>
      <c r="B645" s="4">
        <f t="shared" si="240"/>
        <v>0</v>
      </c>
      <c r="C645" s="4">
        <f t="shared" si="241"/>
        <v>1</v>
      </c>
      <c r="D645" s="4">
        <f t="shared" si="242"/>
        <v>0</v>
      </c>
      <c r="E645" s="4">
        <f t="shared" si="243"/>
        <v>0</v>
      </c>
      <c r="F645" s="4">
        <f t="shared" si="244"/>
        <v>0</v>
      </c>
      <c r="G645" s="4">
        <f t="shared" si="245"/>
        <v>0</v>
      </c>
      <c r="I645" s="8" t="s">
        <v>1011</v>
      </c>
      <c r="J645" s="9">
        <f t="shared" si="246"/>
        <v>0</v>
      </c>
      <c r="K645" s="9">
        <f t="shared" ref="K645:K708" si="263">IF(I645="Film &amp; Animation",1,0)</f>
        <v>0</v>
      </c>
      <c r="L645" s="9">
        <f t="shared" si="247"/>
        <v>0</v>
      </c>
      <c r="M645" s="9">
        <f t="shared" si="248"/>
        <v>0</v>
      </c>
      <c r="N645" s="9">
        <f t="shared" si="249"/>
        <v>0</v>
      </c>
      <c r="O645" s="9">
        <f t="shared" si="250"/>
        <v>0</v>
      </c>
      <c r="P645" s="9">
        <f t="shared" si="251"/>
        <v>0</v>
      </c>
      <c r="Q645" s="9">
        <f t="shared" si="252"/>
        <v>0</v>
      </c>
      <c r="R645" s="9">
        <f t="shared" si="253"/>
        <v>0</v>
      </c>
      <c r="S645" s="9">
        <f t="shared" si="254"/>
        <v>1</v>
      </c>
      <c r="T645" s="9">
        <f t="shared" si="255"/>
        <v>0</v>
      </c>
      <c r="U645" s="9">
        <f t="shared" si="256"/>
        <v>0</v>
      </c>
      <c r="V645" s="9">
        <f t="shared" si="257"/>
        <v>0</v>
      </c>
      <c r="W645" s="9">
        <f t="shared" si="258"/>
        <v>0</v>
      </c>
      <c r="X645" s="9">
        <f t="shared" si="259"/>
        <v>0</v>
      </c>
      <c r="Y645" s="9">
        <f t="shared" si="260"/>
        <v>0</v>
      </c>
      <c r="Z645" s="9">
        <f t="shared" si="261"/>
        <v>0</v>
      </c>
      <c r="AA645" s="10">
        <f t="shared" si="262"/>
        <v>0</v>
      </c>
    </row>
    <row r="646" spans="1:27" x14ac:dyDescent="0.3">
      <c r="A646" s="4" t="s">
        <v>1303</v>
      </c>
      <c r="B646" s="4">
        <f t="shared" si="240"/>
        <v>0</v>
      </c>
      <c r="C646" s="4">
        <f t="shared" si="241"/>
        <v>0</v>
      </c>
      <c r="D646" s="4">
        <f t="shared" si="242"/>
        <v>0</v>
      </c>
      <c r="E646" s="4">
        <f t="shared" si="243"/>
        <v>0</v>
      </c>
      <c r="F646" s="4">
        <f t="shared" si="244"/>
        <v>1</v>
      </c>
      <c r="G646" s="4">
        <f t="shared" si="245"/>
        <v>0</v>
      </c>
      <c r="I646" s="11" t="s">
        <v>994</v>
      </c>
      <c r="J646" s="9">
        <f t="shared" si="246"/>
        <v>0</v>
      </c>
      <c r="K646" s="9">
        <f t="shared" si="263"/>
        <v>0</v>
      </c>
      <c r="L646" s="9">
        <f t="shared" si="247"/>
        <v>0</v>
      </c>
      <c r="M646" s="9">
        <f t="shared" si="248"/>
        <v>0</v>
      </c>
      <c r="N646" s="9">
        <f t="shared" si="249"/>
        <v>0</v>
      </c>
      <c r="O646" s="9">
        <f t="shared" si="250"/>
        <v>0</v>
      </c>
      <c r="P646" s="9">
        <f t="shared" si="251"/>
        <v>1</v>
      </c>
      <c r="Q646" s="9">
        <f t="shared" si="252"/>
        <v>0</v>
      </c>
      <c r="R646" s="9">
        <f t="shared" si="253"/>
        <v>0</v>
      </c>
      <c r="S646" s="9">
        <f t="shared" si="254"/>
        <v>0</v>
      </c>
      <c r="T646" s="9">
        <f t="shared" si="255"/>
        <v>0</v>
      </c>
      <c r="U646" s="9">
        <f t="shared" si="256"/>
        <v>0</v>
      </c>
      <c r="V646" s="9">
        <f t="shared" si="257"/>
        <v>0</v>
      </c>
      <c r="W646" s="9">
        <f t="shared" si="258"/>
        <v>0</v>
      </c>
      <c r="X646" s="9">
        <f t="shared" si="259"/>
        <v>0</v>
      </c>
      <c r="Y646" s="9">
        <f t="shared" si="260"/>
        <v>0</v>
      </c>
      <c r="Z646" s="9">
        <f t="shared" si="261"/>
        <v>0</v>
      </c>
      <c r="AA646" s="10">
        <f t="shared" si="262"/>
        <v>0</v>
      </c>
    </row>
    <row r="647" spans="1:27" x14ac:dyDescent="0.3">
      <c r="A647" s="18" t="s">
        <v>1303</v>
      </c>
      <c r="B647" s="4">
        <f t="shared" si="240"/>
        <v>0</v>
      </c>
      <c r="C647" s="4">
        <f t="shared" si="241"/>
        <v>0</v>
      </c>
      <c r="D647" s="4">
        <f t="shared" si="242"/>
        <v>0</v>
      </c>
      <c r="E647" s="4">
        <f t="shared" si="243"/>
        <v>0</v>
      </c>
      <c r="F647" s="4">
        <f t="shared" si="244"/>
        <v>1</v>
      </c>
      <c r="G647" s="4">
        <f t="shared" si="245"/>
        <v>0</v>
      </c>
      <c r="I647" s="8" t="s">
        <v>994</v>
      </c>
      <c r="J647" s="9">
        <f t="shared" si="246"/>
        <v>0</v>
      </c>
      <c r="K647" s="9">
        <f t="shared" si="263"/>
        <v>0</v>
      </c>
      <c r="L647" s="9">
        <f t="shared" si="247"/>
        <v>0</v>
      </c>
      <c r="M647" s="9">
        <f t="shared" si="248"/>
        <v>0</v>
      </c>
      <c r="N647" s="9">
        <f t="shared" si="249"/>
        <v>0</v>
      </c>
      <c r="O647" s="9">
        <f t="shared" si="250"/>
        <v>0</v>
      </c>
      <c r="P647" s="9">
        <f t="shared" si="251"/>
        <v>1</v>
      </c>
      <c r="Q647" s="9">
        <f t="shared" si="252"/>
        <v>0</v>
      </c>
      <c r="R647" s="9">
        <f t="shared" si="253"/>
        <v>0</v>
      </c>
      <c r="S647" s="9">
        <f t="shared" si="254"/>
        <v>0</v>
      </c>
      <c r="T647" s="9">
        <f t="shared" si="255"/>
        <v>0</v>
      </c>
      <c r="U647" s="9">
        <f t="shared" si="256"/>
        <v>0</v>
      </c>
      <c r="V647" s="9">
        <f t="shared" si="257"/>
        <v>0</v>
      </c>
      <c r="W647" s="9">
        <f t="shared" si="258"/>
        <v>0</v>
      </c>
      <c r="X647" s="9">
        <f t="shared" si="259"/>
        <v>0</v>
      </c>
      <c r="Y647" s="9">
        <f t="shared" si="260"/>
        <v>0</v>
      </c>
      <c r="Z647" s="9">
        <f t="shared" si="261"/>
        <v>0</v>
      </c>
      <c r="AA647" s="10">
        <f t="shared" si="262"/>
        <v>0</v>
      </c>
    </row>
    <row r="648" spans="1:27" x14ac:dyDescent="0.3">
      <c r="A648" s="4" t="s">
        <v>1303</v>
      </c>
      <c r="B648" s="4">
        <f t="shared" si="240"/>
        <v>0</v>
      </c>
      <c r="C648" s="4">
        <f t="shared" si="241"/>
        <v>0</v>
      </c>
      <c r="D648" s="4">
        <f t="shared" si="242"/>
        <v>0</v>
      </c>
      <c r="E648" s="4">
        <f t="shared" si="243"/>
        <v>0</v>
      </c>
      <c r="F648" s="4">
        <f t="shared" si="244"/>
        <v>1</v>
      </c>
      <c r="G648" s="4">
        <f t="shared" si="245"/>
        <v>0</v>
      </c>
      <c r="I648" s="11" t="s">
        <v>1011</v>
      </c>
      <c r="J648" s="9">
        <f t="shared" si="246"/>
        <v>0</v>
      </c>
      <c r="K648" s="9">
        <f t="shared" si="263"/>
        <v>0</v>
      </c>
      <c r="L648" s="9">
        <f t="shared" si="247"/>
        <v>0</v>
      </c>
      <c r="M648" s="9">
        <f t="shared" si="248"/>
        <v>0</v>
      </c>
      <c r="N648" s="9">
        <f t="shared" si="249"/>
        <v>0</v>
      </c>
      <c r="O648" s="9">
        <f t="shared" si="250"/>
        <v>0</v>
      </c>
      <c r="P648" s="9">
        <f t="shared" si="251"/>
        <v>0</v>
      </c>
      <c r="Q648" s="9">
        <f t="shared" si="252"/>
        <v>0</v>
      </c>
      <c r="R648" s="9">
        <f t="shared" si="253"/>
        <v>0</v>
      </c>
      <c r="S648" s="9">
        <f t="shared" si="254"/>
        <v>1</v>
      </c>
      <c r="T648" s="9">
        <f t="shared" si="255"/>
        <v>0</v>
      </c>
      <c r="U648" s="9">
        <f t="shared" si="256"/>
        <v>0</v>
      </c>
      <c r="V648" s="9">
        <f t="shared" si="257"/>
        <v>0</v>
      </c>
      <c r="W648" s="9">
        <f t="shared" si="258"/>
        <v>0</v>
      </c>
      <c r="X648" s="9">
        <f t="shared" si="259"/>
        <v>0</v>
      </c>
      <c r="Y648" s="9">
        <f t="shared" si="260"/>
        <v>0</v>
      </c>
      <c r="Z648" s="9">
        <f t="shared" si="261"/>
        <v>0</v>
      </c>
      <c r="AA648" s="10">
        <f t="shared" si="262"/>
        <v>0</v>
      </c>
    </row>
    <row r="649" spans="1:27" x14ac:dyDescent="0.3">
      <c r="A649" s="18" t="s">
        <v>1302</v>
      </c>
      <c r="B649" s="4">
        <f t="shared" si="240"/>
        <v>1</v>
      </c>
      <c r="C649" s="4">
        <f t="shared" si="241"/>
        <v>0</v>
      </c>
      <c r="D649" s="4">
        <f t="shared" si="242"/>
        <v>0</v>
      </c>
      <c r="E649" s="4">
        <f t="shared" si="243"/>
        <v>0</v>
      </c>
      <c r="F649" s="4">
        <f t="shared" si="244"/>
        <v>0</v>
      </c>
      <c r="G649" s="4">
        <f t="shared" si="245"/>
        <v>0</v>
      </c>
      <c r="I649" s="8" t="s">
        <v>990</v>
      </c>
      <c r="J649" s="9">
        <f t="shared" si="246"/>
        <v>0</v>
      </c>
      <c r="K649" s="9">
        <f t="shared" si="263"/>
        <v>0</v>
      </c>
      <c r="L649" s="9">
        <f t="shared" si="247"/>
        <v>0</v>
      </c>
      <c r="M649" s="9">
        <f t="shared" si="248"/>
        <v>0</v>
      </c>
      <c r="N649" s="9">
        <f t="shared" si="249"/>
        <v>1</v>
      </c>
      <c r="O649" s="9">
        <f t="shared" si="250"/>
        <v>0</v>
      </c>
      <c r="P649" s="9">
        <f t="shared" si="251"/>
        <v>0</v>
      </c>
      <c r="Q649" s="9">
        <f t="shared" si="252"/>
        <v>0</v>
      </c>
      <c r="R649" s="9">
        <f t="shared" si="253"/>
        <v>0</v>
      </c>
      <c r="S649" s="9">
        <f t="shared" si="254"/>
        <v>0</v>
      </c>
      <c r="T649" s="9">
        <f t="shared" si="255"/>
        <v>0</v>
      </c>
      <c r="U649" s="9">
        <f t="shared" si="256"/>
        <v>0</v>
      </c>
      <c r="V649" s="9">
        <f t="shared" si="257"/>
        <v>0</v>
      </c>
      <c r="W649" s="9">
        <f t="shared" si="258"/>
        <v>0</v>
      </c>
      <c r="X649" s="9">
        <f t="shared" si="259"/>
        <v>0</v>
      </c>
      <c r="Y649" s="9">
        <f t="shared" si="260"/>
        <v>0</v>
      </c>
      <c r="Z649" s="9">
        <f t="shared" si="261"/>
        <v>0</v>
      </c>
      <c r="AA649" s="10">
        <f t="shared" si="262"/>
        <v>0</v>
      </c>
    </row>
    <row r="650" spans="1:27" x14ac:dyDescent="0.3">
      <c r="A650" s="4" t="s">
        <v>1302</v>
      </c>
      <c r="B650" s="4">
        <f t="shared" si="240"/>
        <v>1</v>
      </c>
      <c r="C650" s="4">
        <f t="shared" si="241"/>
        <v>0</v>
      </c>
      <c r="D650" s="4">
        <f t="shared" si="242"/>
        <v>0</v>
      </c>
      <c r="E650" s="4">
        <f t="shared" si="243"/>
        <v>0</v>
      </c>
      <c r="F650" s="4">
        <f t="shared" si="244"/>
        <v>0</v>
      </c>
      <c r="G650" s="4">
        <f t="shared" si="245"/>
        <v>0</v>
      </c>
      <c r="I650" s="11" t="s">
        <v>988</v>
      </c>
      <c r="J650" s="9">
        <f t="shared" si="246"/>
        <v>0</v>
      </c>
      <c r="K650" s="9">
        <f t="shared" si="263"/>
        <v>0</v>
      </c>
      <c r="L650" s="9">
        <f t="shared" si="247"/>
        <v>1</v>
      </c>
      <c r="M650" s="9">
        <f t="shared" si="248"/>
        <v>0</v>
      </c>
      <c r="N650" s="9">
        <f t="shared" si="249"/>
        <v>0</v>
      </c>
      <c r="O650" s="9">
        <f t="shared" si="250"/>
        <v>0</v>
      </c>
      <c r="P650" s="9">
        <f t="shared" si="251"/>
        <v>0</v>
      </c>
      <c r="Q650" s="9">
        <f t="shared" si="252"/>
        <v>0</v>
      </c>
      <c r="R650" s="9">
        <f t="shared" si="253"/>
        <v>0</v>
      </c>
      <c r="S650" s="9">
        <f t="shared" si="254"/>
        <v>0</v>
      </c>
      <c r="T650" s="9">
        <f t="shared" si="255"/>
        <v>0</v>
      </c>
      <c r="U650" s="9">
        <f t="shared" si="256"/>
        <v>0</v>
      </c>
      <c r="V650" s="9">
        <f t="shared" si="257"/>
        <v>0</v>
      </c>
      <c r="W650" s="9">
        <f t="shared" si="258"/>
        <v>0</v>
      </c>
      <c r="X650" s="9">
        <f t="shared" si="259"/>
        <v>0</v>
      </c>
      <c r="Y650" s="9">
        <f t="shared" si="260"/>
        <v>0</v>
      </c>
      <c r="Z650" s="9">
        <f t="shared" si="261"/>
        <v>0</v>
      </c>
      <c r="AA650" s="10">
        <f t="shared" si="262"/>
        <v>0</v>
      </c>
    </row>
    <row r="651" spans="1:27" x14ac:dyDescent="0.3">
      <c r="A651" s="18" t="s">
        <v>1302</v>
      </c>
      <c r="B651" s="4">
        <f t="shared" si="240"/>
        <v>1</v>
      </c>
      <c r="C651" s="4">
        <f t="shared" si="241"/>
        <v>0</v>
      </c>
      <c r="D651" s="4">
        <f t="shared" si="242"/>
        <v>0</v>
      </c>
      <c r="E651" s="4">
        <f t="shared" si="243"/>
        <v>0</v>
      </c>
      <c r="F651" s="4">
        <f t="shared" si="244"/>
        <v>0</v>
      </c>
      <c r="G651" s="4">
        <f t="shared" si="245"/>
        <v>0</v>
      </c>
      <c r="I651" s="8" t="s">
        <v>996</v>
      </c>
      <c r="J651" s="9">
        <f t="shared" si="246"/>
        <v>0</v>
      </c>
      <c r="K651" s="9">
        <f t="shared" si="263"/>
        <v>0</v>
      </c>
      <c r="L651" s="9">
        <f t="shared" si="247"/>
        <v>0</v>
      </c>
      <c r="M651" s="9">
        <f t="shared" si="248"/>
        <v>0</v>
      </c>
      <c r="N651" s="9">
        <f t="shared" si="249"/>
        <v>0</v>
      </c>
      <c r="O651" s="9">
        <f t="shared" si="250"/>
        <v>0</v>
      </c>
      <c r="P651" s="9">
        <f t="shared" si="251"/>
        <v>0</v>
      </c>
      <c r="Q651" s="9">
        <f t="shared" si="252"/>
        <v>1</v>
      </c>
      <c r="R651" s="9">
        <f t="shared" si="253"/>
        <v>0</v>
      </c>
      <c r="S651" s="9">
        <f t="shared" si="254"/>
        <v>0</v>
      </c>
      <c r="T651" s="9">
        <f t="shared" si="255"/>
        <v>0</v>
      </c>
      <c r="U651" s="9">
        <f t="shared" si="256"/>
        <v>0</v>
      </c>
      <c r="V651" s="9">
        <f t="shared" si="257"/>
        <v>0</v>
      </c>
      <c r="W651" s="9">
        <f t="shared" si="258"/>
        <v>0</v>
      </c>
      <c r="X651" s="9">
        <f t="shared" si="259"/>
        <v>0</v>
      </c>
      <c r="Y651" s="9">
        <f t="shared" si="260"/>
        <v>0</v>
      </c>
      <c r="Z651" s="9">
        <f t="shared" si="261"/>
        <v>0</v>
      </c>
      <c r="AA651" s="10">
        <f t="shared" si="262"/>
        <v>0</v>
      </c>
    </row>
    <row r="652" spans="1:27" x14ac:dyDescent="0.3">
      <c r="A652" s="4" t="s">
        <v>1302</v>
      </c>
      <c r="B652" s="4">
        <f t="shared" si="240"/>
        <v>1</v>
      </c>
      <c r="C652" s="4">
        <f t="shared" si="241"/>
        <v>0</v>
      </c>
      <c r="D652" s="4">
        <f t="shared" si="242"/>
        <v>0</v>
      </c>
      <c r="E652" s="4">
        <f t="shared" si="243"/>
        <v>0</v>
      </c>
      <c r="F652" s="4">
        <f t="shared" si="244"/>
        <v>0</v>
      </c>
      <c r="G652" s="4">
        <f t="shared" si="245"/>
        <v>0</v>
      </c>
      <c r="I652" s="11" t="s">
        <v>1026</v>
      </c>
      <c r="J652" s="9">
        <f t="shared" si="246"/>
        <v>0</v>
      </c>
      <c r="K652" s="9">
        <f t="shared" si="263"/>
        <v>0</v>
      </c>
      <c r="L652" s="9">
        <f t="shared" si="247"/>
        <v>0</v>
      </c>
      <c r="M652" s="9">
        <f t="shared" si="248"/>
        <v>0</v>
      </c>
      <c r="N652" s="9">
        <f t="shared" si="249"/>
        <v>0</v>
      </c>
      <c r="O652" s="9">
        <f t="shared" si="250"/>
        <v>0</v>
      </c>
      <c r="P652" s="9">
        <f t="shared" si="251"/>
        <v>0</v>
      </c>
      <c r="Q652" s="9">
        <f t="shared" si="252"/>
        <v>0</v>
      </c>
      <c r="R652" s="9">
        <f t="shared" si="253"/>
        <v>0</v>
      </c>
      <c r="S652" s="9">
        <f t="shared" si="254"/>
        <v>0</v>
      </c>
      <c r="T652" s="9">
        <f t="shared" si="255"/>
        <v>1</v>
      </c>
      <c r="U652" s="9">
        <f t="shared" si="256"/>
        <v>0</v>
      </c>
      <c r="V652" s="9">
        <f t="shared" si="257"/>
        <v>0</v>
      </c>
      <c r="W652" s="9">
        <f t="shared" si="258"/>
        <v>0</v>
      </c>
      <c r="X652" s="9">
        <f t="shared" si="259"/>
        <v>0</v>
      </c>
      <c r="Y652" s="9">
        <f t="shared" si="260"/>
        <v>0</v>
      </c>
      <c r="Z652" s="9">
        <f t="shared" si="261"/>
        <v>0</v>
      </c>
      <c r="AA652" s="10">
        <f t="shared" si="262"/>
        <v>0</v>
      </c>
    </row>
    <row r="653" spans="1:27" x14ac:dyDescent="0.3">
      <c r="A653" s="18" t="s">
        <v>1302</v>
      </c>
      <c r="B653" s="4">
        <f t="shared" si="240"/>
        <v>1</v>
      </c>
      <c r="C653" s="4">
        <f t="shared" si="241"/>
        <v>0</v>
      </c>
      <c r="D653" s="4">
        <f t="shared" si="242"/>
        <v>0</v>
      </c>
      <c r="E653" s="4">
        <f t="shared" si="243"/>
        <v>0</v>
      </c>
      <c r="F653" s="4">
        <f t="shared" si="244"/>
        <v>0</v>
      </c>
      <c r="G653" s="4">
        <f t="shared" si="245"/>
        <v>0</v>
      </c>
      <c r="I653" s="8" t="s">
        <v>994</v>
      </c>
      <c r="J653" s="9">
        <f t="shared" si="246"/>
        <v>0</v>
      </c>
      <c r="K653" s="9">
        <f t="shared" si="263"/>
        <v>0</v>
      </c>
      <c r="L653" s="9">
        <f t="shared" si="247"/>
        <v>0</v>
      </c>
      <c r="M653" s="9">
        <f t="shared" si="248"/>
        <v>0</v>
      </c>
      <c r="N653" s="9">
        <f t="shared" si="249"/>
        <v>0</v>
      </c>
      <c r="O653" s="9">
        <f t="shared" si="250"/>
        <v>0</v>
      </c>
      <c r="P653" s="9">
        <f t="shared" si="251"/>
        <v>1</v>
      </c>
      <c r="Q653" s="9">
        <f t="shared" si="252"/>
        <v>0</v>
      </c>
      <c r="R653" s="9">
        <f t="shared" si="253"/>
        <v>0</v>
      </c>
      <c r="S653" s="9">
        <f t="shared" si="254"/>
        <v>0</v>
      </c>
      <c r="T653" s="9">
        <f t="shared" si="255"/>
        <v>0</v>
      </c>
      <c r="U653" s="9">
        <f t="shared" si="256"/>
        <v>0</v>
      </c>
      <c r="V653" s="9">
        <f t="shared" si="257"/>
        <v>0</v>
      </c>
      <c r="W653" s="9">
        <f t="shared" si="258"/>
        <v>0</v>
      </c>
      <c r="X653" s="9">
        <f t="shared" si="259"/>
        <v>0</v>
      </c>
      <c r="Y653" s="9">
        <f t="shared" si="260"/>
        <v>0</v>
      </c>
      <c r="Z653" s="9">
        <f t="shared" si="261"/>
        <v>0</v>
      </c>
      <c r="AA653" s="10">
        <f t="shared" si="262"/>
        <v>0</v>
      </c>
    </row>
    <row r="654" spans="1:27" x14ac:dyDescent="0.3">
      <c r="A654" s="4" t="s">
        <v>1306</v>
      </c>
      <c r="B654" s="4">
        <f t="shared" si="240"/>
        <v>0</v>
      </c>
      <c r="C654" s="4">
        <f t="shared" si="241"/>
        <v>0</v>
      </c>
      <c r="D654" s="4">
        <f t="shared" si="242"/>
        <v>1</v>
      </c>
      <c r="E654" s="4">
        <f t="shared" si="243"/>
        <v>0</v>
      </c>
      <c r="F654" s="4">
        <f t="shared" si="244"/>
        <v>0</v>
      </c>
      <c r="G654" s="4">
        <f t="shared" si="245"/>
        <v>0</v>
      </c>
      <c r="I654" s="11" t="s">
        <v>994</v>
      </c>
      <c r="J654" s="9">
        <f t="shared" si="246"/>
        <v>0</v>
      </c>
      <c r="K654" s="9">
        <f t="shared" si="263"/>
        <v>0</v>
      </c>
      <c r="L654" s="9">
        <f t="shared" si="247"/>
        <v>0</v>
      </c>
      <c r="M654" s="9">
        <f t="shared" si="248"/>
        <v>0</v>
      </c>
      <c r="N654" s="9">
        <f t="shared" si="249"/>
        <v>0</v>
      </c>
      <c r="O654" s="9">
        <f t="shared" si="250"/>
        <v>0</v>
      </c>
      <c r="P654" s="9">
        <f t="shared" si="251"/>
        <v>1</v>
      </c>
      <c r="Q654" s="9">
        <f t="shared" si="252"/>
        <v>0</v>
      </c>
      <c r="R654" s="9">
        <f t="shared" si="253"/>
        <v>0</v>
      </c>
      <c r="S654" s="9">
        <f t="shared" si="254"/>
        <v>0</v>
      </c>
      <c r="T654" s="9">
        <f t="shared" si="255"/>
        <v>0</v>
      </c>
      <c r="U654" s="9">
        <f t="shared" si="256"/>
        <v>0</v>
      </c>
      <c r="V654" s="9">
        <f t="shared" si="257"/>
        <v>0</v>
      </c>
      <c r="W654" s="9">
        <f t="shared" si="258"/>
        <v>0</v>
      </c>
      <c r="X654" s="9">
        <f t="shared" si="259"/>
        <v>0</v>
      </c>
      <c r="Y654" s="9">
        <f t="shared" si="260"/>
        <v>0</v>
      </c>
      <c r="Z654" s="9">
        <f t="shared" si="261"/>
        <v>0</v>
      </c>
      <c r="AA654" s="10">
        <f t="shared" si="262"/>
        <v>0</v>
      </c>
    </row>
    <row r="655" spans="1:27" x14ac:dyDescent="0.3">
      <c r="A655" s="18" t="s">
        <v>1304</v>
      </c>
      <c r="B655" s="4">
        <f t="shared" si="240"/>
        <v>0</v>
      </c>
      <c r="C655" s="4">
        <f t="shared" si="241"/>
        <v>1</v>
      </c>
      <c r="D655" s="4">
        <f t="shared" si="242"/>
        <v>0</v>
      </c>
      <c r="E655" s="4">
        <f t="shared" si="243"/>
        <v>0</v>
      </c>
      <c r="F655" s="4">
        <f t="shared" si="244"/>
        <v>0</v>
      </c>
      <c r="G655" s="4">
        <f t="shared" si="245"/>
        <v>0</v>
      </c>
      <c r="I655" s="8" t="s">
        <v>977</v>
      </c>
      <c r="J655" s="9">
        <f t="shared" si="246"/>
        <v>1</v>
      </c>
      <c r="K655" s="9">
        <f t="shared" si="263"/>
        <v>0</v>
      </c>
      <c r="L655" s="9">
        <f t="shared" si="247"/>
        <v>0</v>
      </c>
      <c r="M655" s="9">
        <f t="shared" si="248"/>
        <v>0</v>
      </c>
      <c r="N655" s="9">
        <f t="shared" si="249"/>
        <v>0</v>
      </c>
      <c r="O655" s="9">
        <f t="shared" si="250"/>
        <v>0</v>
      </c>
      <c r="P655" s="9">
        <f t="shared" si="251"/>
        <v>0</v>
      </c>
      <c r="Q655" s="9">
        <f t="shared" si="252"/>
        <v>0</v>
      </c>
      <c r="R655" s="9">
        <f t="shared" si="253"/>
        <v>0</v>
      </c>
      <c r="S655" s="9">
        <f t="shared" si="254"/>
        <v>0</v>
      </c>
      <c r="T655" s="9">
        <f t="shared" si="255"/>
        <v>0</v>
      </c>
      <c r="U655" s="9">
        <f t="shared" si="256"/>
        <v>0</v>
      </c>
      <c r="V655" s="9">
        <f t="shared" si="257"/>
        <v>0</v>
      </c>
      <c r="W655" s="9">
        <f t="shared" si="258"/>
        <v>0</v>
      </c>
      <c r="X655" s="9">
        <f t="shared" si="259"/>
        <v>0</v>
      </c>
      <c r="Y655" s="9">
        <f t="shared" si="260"/>
        <v>0</v>
      </c>
      <c r="Z655" s="9">
        <f t="shared" si="261"/>
        <v>0</v>
      </c>
      <c r="AA655" s="10">
        <f t="shared" si="262"/>
        <v>0</v>
      </c>
    </row>
    <row r="656" spans="1:27" x14ac:dyDescent="0.3">
      <c r="A656" s="4" t="s">
        <v>1302</v>
      </c>
      <c r="B656" s="4">
        <f t="shared" si="240"/>
        <v>1</v>
      </c>
      <c r="C656" s="4">
        <f t="shared" si="241"/>
        <v>0</v>
      </c>
      <c r="D656" s="4">
        <f t="shared" si="242"/>
        <v>0</v>
      </c>
      <c r="E656" s="4">
        <f t="shared" si="243"/>
        <v>0</v>
      </c>
      <c r="F656" s="4">
        <f t="shared" si="244"/>
        <v>0</v>
      </c>
      <c r="G656" s="4">
        <f t="shared" si="245"/>
        <v>0</v>
      </c>
      <c r="I656" s="11" t="s">
        <v>977</v>
      </c>
      <c r="J656" s="9">
        <f t="shared" si="246"/>
        <v>1</v>
      </c>
      <c r="K656" s="9">
        <f t="shared" si="263"/>
        <v>0</v>
      </c>
      <c r="L656" s="9">
        <f t="shared" si="247"/>
        <v>0</v>
      </c>
      <c r="M656" s="9">
        <f t="shared" si="248"/>
        <v>0</v>
      </c>
      <c r="N656" s="9">
        <f t="shared" si="249"/>
        <v>0</v>
      </c>
      <c r="O656" s="9">
        <f t="shared" si="250"/>
        <v>0</v>
      </c>
      <c r="P656" s="9">
        <f t="shared" si="251"/>
        <v>0</v>
      </c>
      <c r="Q656" s="9">
        <f t="shared" si="252"/>
        <v>0</v>
      </c>
      <c r="R656" s="9">
        <f t="shared" si="253"/>
        <v>0</v>
      </c>
      <c r="S656" s="9">
        <f t="shared" si="254"/>
        <v>0</v>
      </c>
      <c r="T656" s="9">
        <f t="shared" si="255"/>
        <v>0</v>
      </c>
      <c r="U656" s="9">
        <f t="shared" si="256"/>
        <v>0</v>
      </c>
      <c r="V656" s="9">
        <f t="shared" si="257"/>
        <v>0</v>
      </c>
      <c r="W656" s="9">
        <f t="shared" si="258"/>
        <v>0</v>
      </c>
      <c r="X656" s="9">
        <f t="shared" si="259"/>
        <v>0</v>
      </c>
      <c r="Y656" s="9">
        <f t="shared" si="260"/>
        <v>0</v>
      </c>
      <c r="Z656" s="9">
        <f t="shared" si="261"/>
        <v>0</v>
      </c>
      <c r="AA656" s="10">
        <f t="shared" si="262"/>
        <v>0</v>
      </c>
    </row>
    <row r="657" spans="1:27" x14ac:dyDescent="0.3">
      <c r="A657" s="18" t="s">
        <v>1304</v>
      </c>
      <c r="B657" s="4">
        <f t="shared" si="240"/>
        <v>0</v>
      </c>
      <c r="C657" s="4">
        <f t="shared" si="241"/>
        <v>1</v>
      </c>
      <c r="D657" s="4">
        <f t="shared" si="242"/>
        <v>0</v>
      </c>
      <c r="E657" s="4">
        <f t="shared" si="243"/>
        <v>0</v>
      </c>
      <c r="F657" s="4">
        <f t="shared" si="244"/>
        <v>0</v>
      </c>
      <c r="G657" s="4">
        <f t="shared" si="245"/>
        <v>0</v>
      </c>
      <c r="I657" s="8" t="s">
        <v>996</v>
      </c>
      <c r="J657" s="9">
        <f t="shared" si="246"/>
        <v>0</v>
      </c>
      <c r="K657" s="9">
        <f t="shared" si="263"/>
        <v>0</v>
      </c>
      <c r="L657" s="9">
        <f t="shared" si="247"/>
        <v>0</v>
      </c>
      <c r="M657" s="9">
        <f t="shared" si="248"/>
        <v>0</v>
      </c>
      <c r="N657" s="9">
        <f t="shared" si="249"/>
        <v>0</v>
      </c>
      <c r="O657" s="9">
        <f t="shared" si="250"/>
        <v>0</v>
      </c>
      <c r="P657" s="9">
        <f t="shared" si="251"/>
        <v>0</v>
      </c>
      <c r="Q657" s="9">
        <f t="shared" si="252"/>
        <v>1</v>
      </c>
      <c r="R657" s="9">
        <f t="shared" si="253"/>
        <v>0</v>
      </c>
      <c r="S657" s="9">
        <f t="shared" si="254"/>
        <v>0</v>
      </c>
      <c r="T657" s="9">
        <f t="shared" si="255"/>
        <v>0</v>
      </c>
      <c r="U657" s="9">
        <f t="shared" si="256"/>
        <v>0</v>
      </c>
      <c r="V657" s="9">
        <f t="shared" si="257"/>
        <v>0</v>
      </c>
      <c r="W657" s="9">
        <f t="shared" si="258"/>
        <v>0</v>
      </c>
      <c r="X657" s="9">
        <f t="shared" si="259"/>
        <v>0</v>
      </c>
      <c r="Y657" s="9">
        <f t="shared" si="260"/>
        <v>0</v>
      </c>
      <c r="Z657" s="9">
        <f t="shared" si="261"/>
        <v>0</v>
      </c>
      <c r="AA657" s="10">
        <f t="shared" si="262"/>
        <v>0</v>
      </c>
    </row>
    <row r="658" spans="1:27" x14ac:dyDescent="0.3">
      <c r="A658" s="4" t="s">
        <v>1305</v>
      </c>
      <c r="B658" s="4">
        <f t="shared" si="240"/>
        <v>0</v>
      </c>
      <c r="C658" s="4">
        <f t="shared" si="241"/>
        <v>0</v>
      </c>
      <c r="D658" s="4">
        <f t="shared" si="242"/>
        <v>0</v>
      </c>
      <c r="E658" s="4">
        <f t="shared" si="243"/>
        <v>0</v>
      </c>
      <c r="F658" s="4">
        <f t="shared" si="244"/>
        <v>0</v>
      </c>
      <c r="G658" s="4">
        <f t="shared" si="245"/>
        <v>1</v>
      </c>
      <c r="I658" s="11" t="s">
        <v>1044</v>
      </c>
      <c r="J658" s="9">
        <f t="shared" si="246"/>
        <v>0</v>
      </c>
      <c r="K658" s="9">
        <f t="shared" si="263"/>
        <v>0</v>
      </c>
      <c r="L658" s="9">
        <f t="shared" si="247"/>
        <v>0</v>
      </c>
      <c r="M658" s="9">
        <f t="shared" si="248"/>
        <v>0</v>
      </c>
      <c r="N658" s="9">
        <f t="shared" si="249"/>
        <v>0</v>
      </c>
      <c r="O658" s="9">
        <f t="shared" si="250"/>
        <v>0</v>
      </c>
      <c r="P658" s="9">
        <f t="shared" si="251"/>
        <v>0</v>
      </c>
      <c r="Q658" s="9">
        <f t="shared" si="252"/>
        <v>0</v>
      </c>
      <c r="R658" s="9">
        <f t="shared" si="253"/>
        <v>0</v>
      </c>
      <c r="S658" s="9">
        <f t="shared" si="254"/>
        <v>0</v>
      </c>
      <c r="T658" s="9">
        <f t="shared" si="255"/>
        <v>0</v>
      </c>
      <c r="U658" s="9">
        <f t="shared" si="256"/>
        <v>1</v>
      </c>
      <c r="V658" s="9">
        <f t="shared" si="257"/>
        <v>0</v>
      </c>
      <c r="W658" s="9">
        <f t="shared" si="258"/>
        <v>0</v>
      </c>
      <c r="X658" s="9">
        <f t="shared" si="259"/>
        <v>0</v>
      </c>
      <c r="Y658" s="9">
        <f t="shared" si="260"/>
        <v>0</v>
      </c>
      <c r="Z658" s="9">
        <f t="shared" si="261"/>
        <v>0</v>
      </c>
      <c r="AA658" s="10">
        <f t="shared" si="262"/>
        <v>0</v>
      </c>
    </row>
    <row r="659" spans="1:27" x14ac:dyDescent="0.3">
      <c r="A659" s="18" t="s">
        <v>1294</v>
      </c>
      <c r="B659" s="4">
        <f t="shared" si="240"/>
        <v>0</v>
      </c>
      <c r="C659" s="4">
        <f t="shared" si="241"/>
        <v>0</v>
      </c>
      <c r="D659" s="4">
        <f t="shared" si="242"/>
        <v>0</v>
      </c>
      <c r="E659" s="4">
        <f t="shared" si="243"/>
        <v>0</v>
      </c>
      <c r="F659" s="4">
        <f t="shared" si="244"/>
        <v>0</v>
      </c>
      <c r="G659" s="4">
        <f t="shared" si="245"/>
        <v>0</v>
      </c>
      <c r="I659" s="8" t="s">
        <v>996</v>
      </c>
      <c r="J659" s="9">
        <f t="shared" si="246"/>
        <v>0</v>
      </c>
      <c r="K659" s="9">
        <f t="shared" si="263"/>
        <v>0</v>
      </c>
      <c r="L659" s="9">
        <f t="shared" si="247"/>
        <v>0</v>
      </c>
      <c r="M659" s="9">
        <f t="shared" si="248"/>
        <v>0</v>
      </c>
      <c r="N659" s="9">
        <f t="shared" si="249"/>
        <v>0</v>
      </c>
      <c r="O659" s="9">
        <f t="shared" si="250"/>
        <v>0</v>
      </c>
      <c r="P659" s="9">
        <f t="shared" si="251"/>
        <v>0</v>
      </c>
      <c r="Q659" s="9">
        <f t="shared" si="252"/>
        <v>1</v>
      </c>
      <c r="R659" s="9">
        <f t="shared" si="253"/>
        <v>0</v>
      </c>
      <c r="S659" s="9">
        <f t="shared" si="254"/>
        <v>0</v>
      </c>
      <c r="T659" s="9">
        <f t="shared" si="255"/>
        <v>0</v>
      </c>
      <c r="U659" s="9">
        <f t="shared" si="256"/>
        <v>0</v>
      </c>
      <c r="V659" s="9">
        <f t="shared" si="257"/>
        <v>0</v>
      </c>
      <c r="W659" s="9">
        <f t="shared" si="258"/>
        <v>0</v>
      </c>
      <c r="X659" s="9">
        <f t="shared" si="259"/>
        <v>0</v>
      </c>
      <c r="Y659" s="9">
        <f t="shared" si="260"/>
        <v>0</v>
      </c>
      <c r="Z659" s="9">
        <f t="shared" si="261"/>
        <v>0</v>
      </c>
      <c r="AA659" s="10">
        <f t="shared" si="262"/>
        <v>0</v>
      </c>
    </row>
    <row r="660" spans="1:27" x14ac:dyDescent="0.3">
      <c r="A660" s="4" t="s">
        <v>1302</v>
      </c>
      <c r="B660" s="4">
        <f t="shared" si="240"/>
        <v>1</v>
      </c>
      <c r="C660" s="4">
        <f t="shared" si="241"/>
        <v>0</v>
      </c>
      <c r="D660" s="4">
        <f t="shared" si="242"/>
        <v>0</v>
      </c>
      <c r="E660" s="4">
        <f t="shared" si="243"/>
        <v>0</v>
      </c>
      <c r="F660" s="4">
        <f t="shared" si="244"/>
        <v>0</v>
      </c>
      <c r="G660" s="4">
        <f t="shared" si="245"/>
        <v>0</v>
      </c>
      <c r="I660" s="11" t="s">
        <v>1026</v>
      </c>
      <c r="J660" s="9">
        <f t="shared" si="246"/>
        <v>0</v>
      </c>
      <c r="K660" s="9">
        <f t="shared" si="263"/>
        <v>0</v>
      </c>
      <c r="L660" s="9">
        <f t="shared" si="247"/>
        <v>0</v>
      </c>
      <c r="M660" s="9">
        <f t="shared" si="248"/>
        <v>0</v>
      </c>
      <c r="N660" s="9">
        <f t="shared" si="249"/>
        <v>0</v>
      </c>
      <c r="O660" s="9">
        <f t="shared" si="250"/>
        <v>0</v>
      </c>
      <c r="P660" s="9">
        <f t="shared" si="251"/>
        <v>0</v>
      </c>
      <c r="Q660" s="9">
        <f t="shared" si="252"/>
        <v>0</v>
      </c>
      <c r="R660" s="9">
        <f t="shared" si="253"/>
        <v>0</v>
      </c>
      <c r="S660" s="9">
        <f t="shared" si="254"/>
        <v>0</v>
      </c>
      <c r="T660" s="9">
        <f t="shared" si="255"/>
        <v>1</v>
      </c>
      <c r="U660" s="9">
        <f t="shared" si="256"/>
        <v>0</v>
      </c>
      <c r="V660" s="9">
        <f t="shared" si="257"/>
        <v>0</v>
      </c>
      <c r="W660" s="9">
        <f t="shared" si="258"/>
        <v>0</v>
      </c>
      <c r="X660" s="9">
        <f t="shared" si="259"/>
        <v>0</v>
      </c>
      <c r="Y660" s="9">
        <f t="shared" si="260"/>
        <v>0</v>
      </c>
      <c r="Z660" s="9">
        <f t="shared" si="261"/>
        <v>0</v>
      </c>
      <c r="AA660" s="10">
        <f t="shared" si="262"/>
        <v>0</v>
      </c>
    </row>
    <row r="661" spans="1:27" x14ac:dyDescent="0.3">
      <c r="A661" s="18" t="s">
        <v>1302</v>
      </c>
      <c r="B661" s="4">
        <f t="shared" si="240"/>
        <v>1</v>
      </c>
      <c r="C661" s="4">
        <f t="shared" si="241"/>
        <v>0</v>
      </c>
      <c r="D661" s="4">
        <f t="shared" si="242"/>
        <v>0</v>
      </c>
      <c r="E661" s="4">
        <f t="shared" si="243"/>
        <v>0</v>
      </c>
      <c r="F661" s="4">
        <f t="shared" si="244"/>
        <v>0</v>
      </c>
      <c r="G661" s="4">
        <f t="shared" si="245"/>
        <v>0</v>
      </c>
      <c r="I661" s="8" t="s">
        <v>988</v>
      </c>
      <c r="J661" s="9">
        <f t="shared" si="246"/>
        <v>0</v>
      </c>
      <c r="K661" s="9">
        <f t="shared" si="263"/>
        <v>0</v>
      </c>
      <c r="L661" s="9">
        <f t="shared" si="247"/>
        <v>1</v>
      </c>
      <c r="M661" s="9">
        <f t="shared" si="248"/>
        <v>0</v>
      </c>
      <c r="N661" s="9">
        <f t="shared" si="249"/>
        <v>0</v>
      </c>
      <c r="O661" s="9">
        <f t="shared" si="250"/>
        <v>0</v>
      </c>
      <c r="P661" s="9">
        <f t="shared" si="251"/>
        <v>0</v>
      </c>
      <c r="Q661" s="9">
        <f t="shared" si="252"/>
        <v>0</v>
      </c>
      <c r="R661" s="9">
        <f t="shared" si="253"/>
        <v>0</v>
      </c>
      <c r="S661" s="9">
        <f t="shared" si="254"/>
        <v>0</v>
      </c>
      <c r="T661" s="9">
        <f t="shared" si="255"/>
        <v>0</v>
      </c>
      <c r="U661" s="9">
        <f t="shared" si="256"/>
        <v>0</v>
      </c>
      <c r="V661" s="9">
        <f t="shared" si="257"/>
        <v>0</v>
      </c>
      <c r="W661" s="9">
        <f t="shared" si="258"/>
        <v>0</v>
      </c>
      <c r="X661" s="9">
        <f t="shared" si="259"/>
        <v>0</v>
      </c>
      <c r="Y661" s="9">
        <f t="shared" si="260"/>
        <v>0</v>
      </c>
      <c r="Z661" s="9">
        <f t="shared" si="261"/>
        <v>0</v>
      </c>
      <c r="AA661" s="10">
        <f t="shared" si="262"/>
        <v>0</v>
      </c>
    </row>
    <row r="662" spans="1:27" x14ac:dyDescent="0.3">
      <c r="A662" s="4" t="s">
        <v>1302</v>
      </c>
      <c r="B662" s="4">
        <f t="shared" si="240"/>
        <v>1</v>
      </c>
      <c r="C662" s="4">
        <f t="shared" si="241"/>
        <v>0</v>
      </c>
      <c r="D662" s="4">
        <f t="shared" si="242"/>
        <v>0</v>
      </c>
      <c r="E662" s="4">
        <f t="shared" si="243"/>
        <v>0</v>
      </c>
      <c r="F662" s="4">
        <f t="shared" si="244"/>
        <v>0</v>
      </c>
      <c r="G662" s="4">
        <f t="shared" si="245"/>
        <v>0</v>
      </c>
      <c r="I662" s="11" t="s">
        <v>988</v>
      </c>
      <c r="J662" s="9">
        <f t="shared" si="246"/>
        <v>0</v>
      </c>
      <c r="K662" s="9">
        <f t="shared" si="263"/>
        <v>0</v>
      </c>
      <c r="L662" s="9">
        <f t="shared" si="247"/>
        <v>1</v>
      </c>
      <c r="M662" s="9">
        <f t="shared" si="248"/>
        <v>0</v>
      </c>
      <c r="N662" s="9">
        <f t="shared" si="249"/>
        <v>0</v>
      </c>
      <c r="O662" s="9">
        <f t="shared" si="250"/>
        <v>0</v>
      </c>
      <c r="P662" s="9">
        <f t="shared" si="251"/>
        <v>0</v>
      </c>
      <c r="Q662" s="9">
        <f t="shared" si="252"/>
        <v>0</v>
      </c>
      <c r="R662" s="9">
        <f t="shared" si="253"/>
        <v>0</v>
      </c>
      <c r="S662" s="9">
        <f t="shared" si="254"/>
        <v>0</v>
      </c>
      <c r="T662" s="9">
        <f t="shared" si="255"/>
        <v>0</v>
      </c>
      <c r="U662" s="9">
        <f t="shared" si="256"/>
        <v>0</v>
      </c>
      <c r="V662" s="9">
        <f t="shared" si="257"/>
        <v>0</v>
      </c>
      <c r="W662" s="9">
        <f t="shared" si="258"/>
        <v>0</v>
      </c>
      <c r="X662" s="9">
        <f t="shared" si="259"/>
        <v>0</v>
      </c>
      <c r="Y662" s="9">
        <f t="shared" si="260"/>
        <v>0</v>
      </c>
      <c r="Z662" s="9">
        <f t="shared" si="261"/>
        <v>0</v>
      </c>
      <c r="AA662" s="10">
        <f t="shared" si="262"/>
        <v>0</v>
      </c>
    </row>
    <row r="663" spans="1:27" x14ac:dyDescent="0.3">
      <c r="A663" s="18" t="s">
        <v>1302</v>
      </c>
      <c r="B663" s="4">
        <f t="shared" si="240"/>
        <v>1</v>
      </c>
      <c r="C663" s="4">
        <f t="shared" si="241"/>
        <v>0</v>
      </c>
      <c r="D663" s="4">
        <f t="shared" si="242"/>
        <v>0</v>
      </c>
      <c r="E663" s="4">
        <f t="shared" si="243"/>
        <v>0</v>
      </c>
      <c r="F663" s="4">
        <f t="shared" si="244"/>
        <v>0</v>
      </c>
      <c r="G663" s="4">
        <f t="shared" si="245"/>
        <v>0</v>
      </c>
      <c r="I663" s="8" t="s">
        <v>994</v>
      </c>
      <c r="J663" s="9">
        <f t="shared" si="246"/>
        <v>0</v>
      </c>
      <c r="K663" s="9">
        <f t="shared" si="263"/>
        <v>0</v>
      </c>
      <c r="L663" s="9">
        <f t="shared" si="247"/>
        <v>0</v>
      </c>
      <c r="M663" s="9">
        <f t="shared" si="248"/>
        <v>0</v>
      </c>
      <c r="N663" s="9">
        <f t="shared" si="249"/>
        <v>0</v>
      </c>
      <c r="O663" s="9">
        <f t="shared" si="250"/>
        <v>0</v>
      </c>
      <c r="P663" s="9">
        <f t="shared" si="251"/>
        <v>1</v>
      </c>
      <c r="Q663" s="9">
        <f t="shared" si="252"/>
        <v>0</v>
      </c>
      <c r="R663" s="9">
        <f t="shared" si="253"/>
        <v>0</v>
      </c>
      <c r="S663" s="9">
        <f t="shared" si="254"/>
        <v>0</v>
      </c>
      <c r="T663" s="9">
        <f t="shared" si="255"/>
        <v>0</v>
      </c>
      <c r="U663" s="9">
        <f t="shared" si="256"/>
        <v>0</v>
      </c>
      <c r="V663" s="9">
        <f t="shared" si="257"/>
        <v>0</v>
      </c>
      <c r="W663" s="9">
        <f t="shared" si="258"/>
        <v>0</v>
      </c>
      <c r="X663" s="9">
        <f t="shared" si="259"/>
        <v>0</v>
      </c>
      <c r="Y663" s="9">
        <f t="shared" si="260"/>
        <v>0</v>
      </c>
      <c r="Z663" s="9">
        <f t="shared" si="261"/>
        <v>0</v>
      </c>
      <c r="AA663" s="10">
        <f t="shared" si="262"/>
        <v>0</v>
      </c>
    </row>
    <row r="664" spans="1:27" x14ac:dyDescent="0.3">
      <c r="A664" s="4" t="s">
        <v>1302</v>
      </c>
      <c r="B664" s="4">
        <f t="shared" si="240"/>
        <v>1</v>
      </c>
      <c r="C664" s="4">
        <f t="shared" si="241"/>
        <v>0</v>
      </c>
      <c r="D664" s="4">
        <f t="shared" si="242"/>
        <v>0</v>
      </c>
      <c r="E664" s="4">
        <f t="shared" si="243"/>
        <v>0</v>
      </c>
      <c r="F664" s="4">
        <f t="shared" si="244"/>
        <v>0</v>
      </c>
      <c r="G664" s="4">
        <f t="shared" si="245"/>
        <v>0</v>
      </c>
      <c r="I664" s="11" t="s">
        <v>977</v>
      </c>
      <c r="J664" s="9">
        <f t="shared" si="246"/>
        <v>1</v>
      </c>
      <c r="K664" s="9">
        <f t="shared" si="263"/>
        <v>0</v>
      </c>
      <c r="L664" s="9">
        <f t="shared" si="247"/>
        <v>0</v>
      </c>
      <c r="M664" s="9">
        <f t="shared" si="248"/>
        <v>0</v>
      </c>
      <c r="N664" s="9">
        <f t="shared" si="249"/>
        <v>0</v>
      </c>
      <c r="O664" s="9">
        <f t="shared" si="250"/>
        <v>0</v>
      </c>
      <c r="P664" s="9">
        <f t="shared" si="251"/>
        <v>0</v>
      </c>
      <c r="Q664" s="9">
        <f t="shared" si="252"/>
        <v>0</v>
      </c>
      <c r="R664" s="9">
        <f t="shared" si="253"/>
        <v>0</v>
      </c>
      <c r="S664" s="9">
        <f t="shared" si="254"/>
        <v>0</v>
      </c>
      <c r="T664" s="9">
        <f t="shared" si="255"/>
        <v>0</v>
      </c>
      <c r="U664" s="9">
        <f t="shared" si="256"/>
        <v>0</v>
      </c>
      <c r="V664" s="9">
        <f t="shared" si="257"/>
        <v>0</v>
      </c>
      <c r="W664" s="9">
        <f t="shared" si="258"/>
        <v>0</v>
      </c>
      <c r="X664" s="9">
        <f t="shared" si="259"/>
        <v>0</v>
      </c>
      <c r="Y664" s="9">
        <f t="shared" si="260"/>
        <v>0</v>
      </c>
      <c r="Z664" s="9">
        <f t="shared" si="261"/>
        <v>0</v>
      </c>
      <c r="AA664" s="10">
        <f t="shared" si="262"/>
        <v>0</v>
      </c>
    </row>
    <row r="665" spans="1:27" x14ac:dyDescent="0.3">
      <c r="A665" s="18" t="s">
        <v>1303</v>
      </c>
      <c r="B665" s="4">
        <f t="shared" si="240"/>
        <v>0</v>
      </c>
      <c r="C665" s="4">
        <f t="shared" si="241"/>
        <v>0</v>
      </c>
      <c r="D665" s="4">
        <f t="shared" si="242"/>
        <v>0</v>
      </c>
      <c r="E665" s="4">
        <f t="shared" si="243"/>
        <v>0</v>
      </c>
      <c r="F665" s="4">
        <f t="shared" si="244"/>
        <v>1</v>
      </c>
      <c r="G665" s="4">
        <f t="shared" si="245"/>
        <v>0</v>
      </c>
      <c r="I665" s="8" t="s">
        <v>996</v>
      </c>
      <c r="J665" s="9">
        <f t="shared" si="246"/>
        <v>0</v>
      </c>
      <c r="K665" s="9">
        <f t="shared" si="263"/>
        <v>0</v>
      </c>
      <c r="L665" s="9">
        <f t="shared" si="247"/>
        <v>0</v>
      </c>
      <c r="M665" s="9">
        <f t="shared" si="248"/>
        <v>0</v>
      </c>
      <c r="N665" s="9">
        <f t="shared" si="249"/>
        <v>0</v>
      </c>
      <c r="O665" s="9">
        <f t="shared" si="250"/>
        <v>0</v>
      </c>
      <c r="P665" s="9">
        <f t="shared" si="251"/>
        <v>0</v>
      </c>
      <c r="Q665" s="9">
        <f t="shared" si="252"/>
        <v>1</v>
      </c>
      <c r="R665" s="9">
        <f t="shared" si="253"/>
        <v>0</v>
      </c>
      <c r="S665" s="9">
        <f t="shared" si="254"/>
        <v>0</v>
      </c>
      <c r="T665" s="9">
        <f t="shared" si="255"/>
        <v>0</v>
      </c>
      <c r="U665" s="9">
        <f t="shared" si="256"/>
        <v>0</v>
      </c>
      <c r="V665" s="9">
        <f t="shared" si="257"/>
        <v>0</v>
      </c>
      <c r="W665" s="9">
        <f t="shared" si="258"/>
        <v>0</v>
      </c>
      <c r="X665" s="9">
        <f t="shared" si="259"/>
        <v>0</v>
      </c>
      <c r="Y665" s="9">
        <f t="shared" si="260"/>
        <v>0</v>
      </c>
      <c r="Z665" s="9">
        <f t="shared" si="261"/>
        <v>0</v>
      </c>
      <c r="AA665" s="10">
        <f t="shared" si="262"/>
        <v>0</v>
      </c>
    </row>
    <row r="666" spans="1:27" x14ac:dyDescent="0.3">
      <c r="A666" s="4" t="s">
        <v>1303</v>
      </c>
      <c r="B666" s="4">
        <f t="shared" si="240"/>
        <v>0</v>
      </c>
      <c r="C666" s="4">
        <f t="shared" si="241"/>
        <v>0</v>
      </c>
      <c r="D666" s="4">
        <f t="shared" si="242"/>
        <v>0</v>
      </c>
      <c r="E666" s="4">
        <f t="shared" si="243"/>
        <v>0</v>
      </c>
      <c r="F666" s="4">
        <f t="shared" si="244"/>
        <v>1</v>
      </c>
      <c r="G666" s="4">
        <f t="shared" si="245"/>
        <v>0</v>
      </c>
      <c r="I666" s="11" t="s">
        <v>988</v>
      </c>
      <c r="J666" s="9">
        <f t="shared" si="246"/>
        <v>0</v>
      </c>
      <c r="K666" s="9">
        <f t="shared" si="263"/>
        <v>0</v>
      </c>
      <c r="L666" s="9">
        <f t="shared" si="247"/>
        <v>1</v>
      </c>
      <c r="M666" s="9">
        <f t="shared" si="248"/>
        <v>0</v>
      </c>
      <c r="N666" s="9">
        <f t="shared" si="249"/>
        <v>0</v>
      </c>
      <c r="O666" s="9">
        <f t="shared" si="250"/>
        <v>0</v>
      </c>
      <c r="P666" s="9">
        <f t="shared" si="251"/>
        <v>0</v>
      </c>
      <c r="Q666" s="9">
        <f t="shared" si="252"/>
        <v>0</v>
      </c>
      <c r="R666" s="9">
        <f t="shared" si="253"/>
        <v>0</v>
      </c>
      <c r="S666" s="9">
        <f t="shared" si="254"/>
        <v>0</v>
      </c>
      <c r="T666" s="9">
        <f t="shared" si="255"/>
        <v>0</v>
      </c>
      <c r="U666" s="9">
        <f t="shared" si="256"/>
        <v>0</v>
      </c>
      <c r="V666" s="9">
        <f t="shared" si="257"/>
        <v>0</v>
      </c>
      <c r="W666" s="9">
        <f t="shared" si="258"/>
        <v>0</v>
      </c>
      <c r="X666" s="9">
        <f t="shared" si="259"/>
        <v>0</v>
      </c>
      <c r="Y666" s="9">
        <f t="shared" si="260"/>
        <v>0</v>
      </c>
      <c r="Z666" s="9">
        <f t="shared" si="261"/>
        <v>0</v>
      </c>
      <c r="AA666" s="10">
        <f t="shared" si="262"/>
        <v>0</v>
      </c>
    </row>
    <row r="667" spans="1:27" x14ac:dyDescent="0.3">
      <c r="A667" s="18" t="s">
        <v>1303</v>
      </c>
      <c r="B667" s="4">
        <f t="shared" si="240"/>
        <v>0</v>
      </c>
      <c r="C667" s="4">
        <f t="shared" si="241"/>
        <v>0</v>
      </c>
      <c r="D667" s="4">
        <f t="shared" si="242"/>
        <v>0</v>
      </c>
      <c r="E667" s="4">
        <f t="shared" si="243"/>
        <v>0</v>
      </c>
      <c r="F667" s="4">
        <f t="shared" si="244"/>
        <v>1</v>
      </c>
      <c r="G667" s="4">
        <f t="shared" si="245"/>
        <v>0</v>
      </c>
      <c r="I667" s="8" t="s">
        <v>996</v>
      </c>
      <c r="J667" s="9">
        <f t="shared" si="246"/>
        <v>0</v>
      </c>
      <c r="K667" s="9">
        <f t="shared" si="263"/>
        <v>0</v>
      </c>
      <c r="L667" s="9">
        <f t="shared" si="247"/>
        <v>0</v>
      </c>
      <c r="M667" s="9">
        <f t="shared" si="248"/>
        <v>0</v>
      </c>
      <c r="N667" s="9">
        <f t="shared" si="249"/>
        <v>0</v>
      </c>
      <c r="O667" s="9">
        <f t="shared" si="250"/>
        <v>0</v>
      </c>
      <c r="P667" s="9">
        <f t="shared" si="251"/>
        <v>0</v>
      </c>
      <c r="Q667" s="9">
        <f t="shared" si="252"/>
        <v>1</v>
      </c>
      <c r="R667" s="9">
        <f t="shared" si="253"/>
        <v>0</v>
      </c>
      <c r="S667" s="9">
        <f t="shared" si="254"/>
        <v>0</v>
      </c>
      <c r="T667" s="9">
        <f t="shared" si="255"/>
        <v>0</v>
      </c>
      <c r="U667" s="9">
        <f t="shared" si="256"/>
        <v>0</v>
      </c>
      <c r="V667" s="9">
        <f t="shared" si="257"/>
        <v>0</v>
      </c>
      <c r="W667" s="9">
        <f t="shared" si="258"/>
        <v>0</v>
      </c>
      <c r="X667" s="9">
        <f t="shared" si="259"/>
        <v>0</v>
      </c>
      <c r="Y667" s="9">
        <f t="shared" si="260"/>
        <v>0</v>
      </c>
      <c r="Z667" s="9">
        <f t="shared" si="261"/>
        <v>0</v>
      </c>
      <c r="AA667" s="10">
        <f t="shared" si="262"/>
        <v>0</v>
      </c>
    </row>
    <row r="668" spans="1:27" x14ac:dyDescent="0.3">
      <c r="A668" s="4" t="s">
        <v>1303</v>
      </c>
      <c r="B668" s="4">
        <f t="shared" si="240"/>
        <v>0</v>
      </c>
      <c r="C668" s="4">
        <f t="shared" si="241"/>
        <v>0</v>
      </c>
      <c r="D668" s="4">
        <f t="shared" si="242"/>
        <v>0</v>
      </c>
      <c r="E668" s="4">
        <f t="shared" si="243"/>
        <v>0</v>
      </c>
      <c r="F668" s="4">
        <f t="shared" si="244"/>
        <v>1</v>
      </c>
      <c r="G668" s="4">
        <f t="shared" si="245"/>
        <v>0</v>
      </c>
      <c r="I668" s="11" t="s">
        <v>990</v>
      </c>
      <c r="J668" s="9">
        <f t="shared" si="246"/>
        <v>0</v>
      </c>
      <c r="K668" s="9">
        <f t="shared" si="263"/>
        <v>0</v>
      </c>
      <c r="L668" s="9">
        <f t="shared" si="247"/>
        <v>0</v>
      </c>
      <c r="M668" s="9">
        <f t="shared" si="248"/>
        <v>0</v>
      </c>
      <c r="N668" s="9">
        <f t="shared" si="249"/>
        <v>1</v>
      </c>
      <c r="O668" s="9">
        <f t="shared" si="250"/>
        <v>0</v>
      </c>
      <c r="P668" s="9">
        <f t="shared" si="251"/>
        <v>0</v>
      </c>
      <c r="Q668" s="9">
        <f t="shared" si="252"/>
        <v>0</v>
      </c>
      <c r="R668" s="9">
        <f t="shared" si="253"/>
        <v>0</v>
      </c>
      <c r="S668" s="9">
        <f t="shared" si="254"/>
        <v>0</v>
      </c>
      <c r="T668" s="9">
        <f t="shared" si="255"/>
        <v>0</v>
      </c>
      <c r="U668" s="9">
        <f t="shared" si="256"/>
        <v>0</v>
      </c>
      <c r="V668" s="9">
        <f t="shared" si="257"/>
        <v>0</v>
      </c>
      <c r="W668" s="9">
        <f t="shared" si="258"/>
        <v>0</v>
      </c>
      <c r="X668" s="9">
        <f t="shared" si="259"/>
        <v>0</v>
      </c>
      <c r="Y668" s="9">
        <f t="shared" si="260"/>
        <v>0</v>
      </c>
      <c r="Z668" s="9">
        <f t="shared" si="261"/>
        <v>0</v>
      </c>
      <c r="AA668" s="10">
        <f t="shared" si="262"/>
        <v>0</v>
      </c>
    </row>
    <row r="669" spans="1:27" x14ac:dyDescent="0.3">
      <c r="A669" s="18" t="s">
        <v>1303</v>
      </c>
      <c r="B669" s="4">
        <f t="shared" si="240"/>
        <v>0</v>
      </c>
      <c r="C669" s="4">
        <f t="shared" si="241"/>
        <v>0</v>
      </c>
      <c r="D669" s="4">
        <f t="shared" si="242"/>
        <v>0</v>
      </c>
      <c r="E669" s="4">
        <f t="shared" si="243"/>
        <v>0</v>
      </c>
      <c r="F669" s="4">
        <f t="shared" si="244"/>
        <v>1</v>
      </c>
      <c r="G669" s="4">
        <f t="shared" si="245"/>
        <v>0</v>
      </c>
      <c r="I669" s="8" t="s">
        <v>996</v>
      </c>
      <c r="J669" s="9">
        <f t="shared" si="246"/>
        <v>0</v>
      </c>
      <c r="K669" s="9">
        <f t="shared" si="263"/>
        <v>0</v>
      </c>
      <c r="L669" s="9">
        <f t="shared" si="247"/>
        <v>0</v>
      </c>
      <c r="M669" s="9">
        <f t="shared" si="248"/>
        <v>0</v>
      </c>
      <c r="N669" s="9">
        <f t="shared" si="249"/>
        <v>0</v>
      </c>
      <c r="O669" s="9">
        <f t="shared" si="250"/>
        <v>0</v>
      </c>
      <c r="P669" s="9">
        <f t="shared" si="251"/>
        <v>0</v>
      </c>
      <c r="Q669" s="9">
        <f t="shared" si="252"/>
        <v>1</v>
      </c>
      <c r="R669" s="9">
        <f t="shared" si="253"/>
        <v>0</v>
      </c>
      <c r="S669" s="9">
        <f t="shared" si="254"/>
        <v>0</v>
      </c>
      <c r="T669" s="9">
        <f t="shared" si="255"/>
        <v>0</v>
      </c>
      <c r="U669" s="9">
        <f t="shared" si="256"/>
        <v>0</v>
      </c>
      <c r="V669" s="9">
        <f t="shared" si="257"/>
        <v>0</v>
      </c>
      <c r="W669" s="9">
        <f t="shared" si="258"/>
        <v>0</v>
      </c>
      <c r="X669" s="9">
        <f t="shared" si="259"/>
        <v>0</v>
      </c>
      <c r="Y669" s="9">
        <f t="shared" si="260"/>
        <v>0</v>
      </c>
      <c r="Z669" s="9">
        <f t="shared" si="261"/>
        <v>0</v>
      </c>
      <c r="AA669" s="10">
        <f t="shared" si="262"/>
        <v>0</v>
      </c>
    </row>
    <row r="670" spans="1:27" x14ac:dyDescent="0.3">
      <c r="A670" s="4" t="s">
        <v>1302</v>
      </c>
      <c r="B670" s="4">
        <f t="shared" si="240"/>
        <v>1</v>
      </c>
      <c r="C670" s="4">
        <f t="shared" si="241"/>
        <v>0</v>
      </c>
      <c r="D670" s="4">
        <f t="shared" si="242"/>
        <v>0</v>
      </c>
      <c r="E670" s="4">
        <f t="shared" si="243"/>
        <v>0</v>
      </c>
      <c r="F670" s="4">
        <f t="shared" si="244"/>
        <v>0</v>
      </c>
      <c r="G670" s="4">
        <f t="shared" si="245"/>
        <v>0</v>
      </c>
      <c r="I670" s="11" t="s">
        <v>1026</v>
      </c>
      <c r="J670" s="9">
        <f t="shared" si="246"/>
        <v>0</v>
      </c>
      <c r="K670" s="9">
        <f t="shared" si="263"/>
        <v>0</v>
      </c>
      <c r="L670" s="9">
        <f t="shared" si="247"/>
        <v>0</v>
      </c>
      <c r="M670" s="9">
        <f t="shared" si="248"/>
        <v>0</v>
      </c>
      <c r="N670" s="9">
        <f t="shared" si="249"/>
        <v>0</v>
      </c>
      <c r="O670" s="9">
        <f t="shared" si="250"/>
        <v>0</v>
      </c>
      <c r="P670" s="9">
        <f t="shared" si="251"/>
        <v>0</v>
      </c>
      <c r="Q670" s="9">
        <f t="shared" si="252"/>
        <v>0</v>
      </c>
      <c r="R670" s="9">
        <f t="shared" si="253"/>
        <v>0</v>
      </c>
      <c r="S670" s="9">
        <f t="shared" si="254"/>
        <v>0</v>
      </c>
      <c r="T670" s="9">
        <f t="shared" si="255"/>
        <v>1</v>
      </c>
      <c r="U670" s="9">
        <f t="shared" si="256"/>
        <v>0</v>
      </c>
      <c r="V670" s="9">
        <f t="shared" si="257"/>
        <v>0</v>
      </c>
      <c r="W670" s="9">
        <f t="shared" si="258"/>
        <v>0</v>
      </c>
      <c r="X670" s="9">
        <f t="shared" si="259"/>
        <v>0</v>
      </c>
      <c r="Y670" s="9">
        <f t="shared" si="260"/>
        <v>0</v>
      </c>
      <c r="Z670" s="9">
        <f t="shared" si="261"/>
        <v>0</v>
      </c>
      <c r="AA670" s="10">
        <f t="shared" si="262"/>
        <v>0</v>
      </c>
    </row>
    <row r="671" spans="1:27" x14ac:dyDescent="0.3">
      <c r="A671" s="18" t="s">
        <v>1305</v>
      </c>
      <c r="B671" s="4">
        <f t="shared" si="240"/>
        <v>0</v>
      </c>
      <c r="C671" s="4">
        <f t="shared" si="241"/>
        <v>0</v>
      </c>
      <c r="D671" s="4">
        <f t="shared" si="242"/>
        <v>0</v>
      </c>
      <c r="E671" s="4">
        <f t="shared" si="243"/>
        <v>0</v>
      </c>
      <c r="F671" s="4">
        <f t="shared" si="244"/>
        <v>0</v>
      </c>
      <c r="G671" s="4">
        <f t="shared" si="245"/>
        <v>1</v>
      </c>
      <c r="I671" s="8" t="s">
        <v>988</v>
      </c>
      <c r="J671" s="9">
        <f t="shared" si="246"/>
        <v>0</v>
      </c>
      <c r="K671" s="9">
        <f t="shared" si="263"/>
        <v>0</v>
      </c>
      <c r="L671" s="9">
        <f t="shared" si="247"/>
        <v>1</v>
      </c>
      <c r="M671" s="9">
        <f t="shared" si="248"/>
        <v>0</v>
      </c>
      <c r="N671" s="9">
        <f t="shared" si="249"/>
        <v>0</v>
      </c>
      <c r="O671" s="9">
        <f t="shared" si="250"/>
        <v>0</v>
      </c>
      <c r="P671" s="9">
        <f t="shared" si="251"/>
        <v>0</v>
      </c>
      <c r="Q671" s="9">
        <f t="shared" si="252"/>
        <v>0</v>
      </c>
      <c r="R671" s="9">
        <f t="shared" si="253"/>
        <v>0</v>
      </c>
      <c r="S671" s="9">
        <f t="shared" si="254"/>
        <v>0</v>
      </c>
      <c r="T671" s="9">
        <f t="shared" si="255"/>
        <v>0</v>
      </c>
      <c r="U671" s="9">
        <f t="shared" si="256"/>
        <v>0</v>
      </c>
      <c r="V671" s="9">
        <f t="shared" si="257"/>
        <v>0</v>
      </c>
      <c r="W671" s="9">
        <f t="shared" si="258"/>
        <v>0</v>
      </c>
      <c r="X671" s="9">
        <f t="shared" si="259"/>
        <v>0</v>
      </c>
      <c r="Y671" s="9">
        <f t="shared" si="260"/>
        <v>0</v>
      </c>
      <c r="Z671" s="9">
        <f t="shared" si="261"/>
        <v>0</v>
      </c>
      <c r="AA671" s="10">
        <f t="shared" si="262"/>
        <v>0</v>
      </c>
    </row>
    <row r="672" spans="1:27" x14ac:dyDescent="0.3">
      <c r="A672" s="4" t="s">
        <v>1305</v>
      </c>
      <c r="B672" s="4">
        <f t="shared" si="240"/>
        <v>0</v>
      </c>
      <c r="C672" s="4">
        <f t="shared" si="241"/>
        <v>0</v>
      </c>
      <c r="D672" s="4">
        <f t="shared" si="242"/>
        <v>0</v>
      </c>
      <c r="E672" s="4">
        <f t="shared" si="243"/>
        <v>0</v>
      </c>
      <c r="F672" s="4">
        <f t="shared" si="244"/>
        <v>0</v>
      </c>
      <c r="G672" s="4">
        <f t="shared" si="245"/>
        <v>1</v>
      </c>
      <c r="I672" s="11" t="s">
        <v>977</v>
      </c>
      <c r="J672" s="9">
        <f t="shared" si="246"/>
        <v>1</v>
      </c>
      <c r="K672" s="9">
        <f t="shared" si="263"/>
        <v>0</v>
      </c>
      <c r="L672" s="9">
        <f t="shared" si="247"/>
        <v>0</v>
      </c>
      <c r="M672" s="9">
        <f t="shared" si="248"/>
        <v>0</v>
      </c>
      <c r="N672" s="9">
        <f t="shared" si="249"/>
        <v>0</v>
      </c>
      <c r="O672" s="9">
        <f t="shared" si="250"/>
        <v>0</v>
      </c>
      <c r="P672" s="9">
        <f t="shared" si="251"/>
        <v>0</v>
      </c>
      <c r="Q672" s="9">
        <f t="shared" si="252"/>
        <v>0</v>
      </c>
      <c r="R672" s="9">
        <f t="shared" si="253"/>
        <v>0</v>
      </c>
      <c r="S672" s="9">
        <f t="shared" si="254"/>
        <v>0</v>
      </c>
      <c r="T672" s="9">
        <f t="shared" si="255"/>
        <v>0</v>
      </c>
      <c r="U672" s="9">
        <f t="shared" si="256"/>
        <v>0</v>
      </c>
      <c r="V672" s="9">
        <f t="shared" si="257"/>
        <v>0</v>
      </c>
      <c r="W672" s="9">
        <f t="shared" si="258"/>
        <v>0</v>
      </c>
      <c r="X672" s="9">
        <f t="shared" si="259"/>
        <v>0</v>
      </c>
      <c r="Y672" s="9">
        <f t="shared" si="260"/>
        <v>0</v>
      </c>
      <c r="Z672" s="9">
        <f t="shared" si="261"/>
        <v>0</v>
      </c>
      <c r="AA672" s="10">
        <f t="shared" si="262"/>
        <v>0</v>
      </c>
    </row>
    <row r="673" spans="1:27" x14ac:dyDescent="0.3">
      <c r="A673" s="18" t="s">
        <v>1302</v>
      </c>
      <c r="B673" s="4">
        <f t="shared" si="240"/>
        <v>1</v>
      </c>
      <c r="C673" s="4">
        <f t="shared" si="241"/>
        <v>0</v>
      </c>
      <c r="D673" s="4">
        <f t="shared" si="242"/>
        <v>0</v>
      </c>
      <c r="E673" s="4">
        <f t="shared" si="243"/>
        <v>0</v>
      </c>
      <c r="F673" s="4">
        <f t="shared" si="244"/>
        <v>0</v>
      </c>
      <c r="G673" s="4">
        <f t="shared" si="245"/>
        <v>0</v>
      </c>
      <c r="I673" s="8" t="s">
        <v>1044</v>
      </c>
      <c r="J673" s="9">
        <f t="shared" si="246"/>
        <v>0</v>
      </c>
      <c r="K673" s="9">
        <f t="shared" si="263"/>
        <v>0</v>
      </c>
      <c r="L673" s="9">
        <f t="shared" si="247"/>
        <v>0</v>
      </c>
      <c r="M673" s="9">
        <f t="shared" si="248"/>
        <v>0</v>
      </c>
      <c r="N673" s="9">
        <f t="shared" si="249"/>
        <v>0</v>
      </c>
      <c r="O673" s="9">
        <f t="shared" si="250"/>
        <v>0</v>
      </c>
      <c r="P673" s="9">
        <f t="shared" si="251"/>
        <v>0</v>
      </c>
      <c r="Q673" s="9">
        <f t="shared" si="252"/>
        <v>0</v>
      </c>
      <c r="R673" s="9">
        <f t="shared" si="253"/>
        <v>0</v>
      </c>
      <c r="S673" s="9">
        <f t="shared" si="254"/>
        <v>0</v>
      </c>
      <c r="T673" s="9">
        <f t="shared" si="255"/>
        <v>0</v>
      </c>
      <c r="U673" s="9">
        <f t="shared" si="256"/>
        <v>1</v>
      </c>
      <c r="V673" s="9">
        <f t="shared" si="257"/>
        <v>0</v>
      </c>
      <c r="W673" s="9">
        <f t="shared" si="258"/>
        <v>0</v>
      </c>
      <c r="X673" s="9">
        <f t="shared" si="259"/>
        <v>0</v>
      </c>
      <c r="Y673" s="9">
        <f t="shared" si="260"/>
        <v>0</v>
      </c>
      <c r="Z673" s="9">
        <f t="shared" si="261"/>
        <v>0</v>
      </c>
      <c r="AA673" s="10">
        <f t="shared" si="262"/>
        <v>0</v>
      </c>
    </row>
    <row r="674" spans="1:27" x14ac:dyDescent="0.3">
      <c r="A674" s="4" t="s">
        <v>1305</v>
      </c>
      <c r="B674" s="4">
        <f t="shared" si="240"/>
        <v>0</v>
      </c>
      <c r="C674" s="4">
        <f t="shared" si="241"/>
        <v>0</v>
      </c>
      <c r="D674" s="4">
        <f t="shared" si="242"/>
        <v>0</v>
      </c>
      <c r="E674" s="4">
        <f t="shared" si="243"/>
        <v>0</v>
      </c>
      <c r="F674" s="4">
        <f t="shared" si="244"/>
        <v>0</v>
      </c>
      <c r="G674" s="4">
        <f t="shared" si="245"/>
        <v>1</v>
      </c>
      <c r="I674" s="11" t="s">
        <v>988</v>
      </c>
      <c r="J674" s="9">
        <f t="shared" si="246"/>
        <v>0</v>
      </c>
      <c r="K674" s="9">
        <f t="shared" si="263"/>
        <v>0</v>
      </c>
      <c r="L674" s="9">
        <f t="shared" si="247"/>
        <v>1</v>
      </c>
      <c r="M674" s="9">
        <f t="shared" si="248"/>
        <v>0</v>
      </c>
      <c r="N674" s="9">
        <f t="shared" si="249"/>
        <v>0</v>
      </c>
      <c r="O674" s="9">
        <f t="shared" si="250"/>
        <v>0</v>
      </c>
      <c r="P674" s="9">
        <f t="shared" si="251"/>
        <v>0</v>
      </c>
      <c r="Q674" s="9">
        <f t="shared" si="252"/>
        <v>0</v>
      </c>
      <c r="R674" s="9">
        <f t="shared" si="253"/>
        <v>0</v>
      </c>
      <c r="S674" s="9">
        <f t="shared" si="254"/>
        <v>0</v>
      </c>
      <c r="T674" s="9">
        <f t="shared" si="255"/>
        <v>0</v>
      </c>
      <c r="U674" s="9">
        <f t="shared" si="256"/>
        <v>0</v>
      </c>
      <c r="V674" s="9">
        <f t="shared" si="257"/>
        <v>0</v>
      </c>
      <c r="W674" s="9">
        <f t="shared" si="258"/>
        <v>0</v>
      </c>
      <c r="X674" s="9">
        <f t="shared" si="259"/>
        <v>0</v>
      </c>
      <c r="Y674" s="9">
        <f t="shared" si="260"/>
        <v>0</v>
      </c>
      <c r="Z674" s="9">
        <f t="shared" si="261"/>
        <v>0</v>
      </c>
      <c r="AA674" s="10">
        <f t="shared" si="262"/>
        <v>0</v>
      </c>
    </row>
    <row r="675" spans="1:27" x14ac:dyDescent="0.3">
      <c r="A675" s="18" t="s">
        <v>1304</v>
      </c>
      <c r="B675" s="4">
        <f t="shared" si="240"/>
        <v>0</v>
      </c>
      <c r="C675" s="4">
        <f t="shared" si="241"/>
        <v>1</v>
      </c>
      <c r="D675" s="4">
        <f t="shared" si="242"/>
        <v>0</v>
      </c>
      <c r="E675" s="4">
        <f t="shared" si="243"/>
        <v>0</v>
      </c>
      <c r="F675" s="4">
        <f t="shared" si="244"/>
        <v>0</v>
      </c>
      <c r="G675" s="4">
        <f t="shared" si="245"/>
        <v>0</v>
      </c>
      <c r="I675" s="8" t="s">
        <v>996</v>
      </c>
      <c r="J675" s="9">
        <f t="shared" si="246"/>
        <v>0</v>
      </c>
      <c r="K675" s="9">
        <f t="shared" si="263"/>
        <v>0</v>
      </c>
      <c r="L675" s="9">
        <f t="shared" si="247"/>
        <v>0</v>
      </c>
      <c r="M675" s="9">
        <f t="shared" si="248"/>
        <v>0</v>
      </c>
      <c r="N675" s="9">
        <f t="shared" si="249"/>
        <v>0</v>
      </c>
      <c r="O675" s="9">
        <f t="shared" si="250"/>
        <v>0</v>
      </c>
      <c r="P675" s="9">
        <f t="shared" si="251"/>
        <v>0</v>
      </c>
      <c r="Q675" s="9">
        <f t="shared" si="252"/>
        <v>1</v>
      </c>
      <c r="R675" s="9">
        <f t="shared" si="253"/>
        <v>0</v>
      </c>
      <c r="S675" s="9">
        <f t="shared" si="254"/>
        <v>0</v>
      </c>
      <c r="T675" s="9">
        <f t="shared" si="255"/>
        <v>0</v>
      </c>
      <c r="U675" s="9">
        <f t="shared" si="256"/>
        <v>0</v>
      </c>
      <c r="V675" s="9">
        <f t="shared" si="257"/>
        <v>0</v>
      </c>
      <c r="W675" s="9">
        <f t="shared" si="258"/>
        <v>0</v>
      </c>
      <c r="X675" s="9">
        <f t="shared" si="259"/>
        <v>0</v>
      </c>
      <c r="Y675" s="9">
        <f t="shared" si="260"/>
        <v>0</v>
      </c>
      <c r="Z675" s="9">
        <f t="shared" si="261"/>
        <v>0</v>
      </c>
      <c r="AA675" s="10">
        <f t="shared" si="262"/>
        <v>0</v>
      </c>
    </row>
    <row r="676" spans="1:27" x14ac:dyDescent="0.3">
      <c r="A676" s="4" t="s">
        <v>1294</v>
      </c>
      <c r="B676" s="4">
        <f t="shared" si="240"/>
        <v>0</v>
      </c>
      <c r="C676" s="4">
        <f t="shared" si="241"/>
        <v>0</v>
      </c>
      <c r="D676" s="4">
        <f t="shared" si="242"/>
        <v>0</v>
      </c>
      <c r="E676" s="4">
        <f t="shared" si="243"/>
        <v>0</v>
      </c>
      <c r="F676" s="4">
        <f t="shared" si="244"/>
        <v>0</v>
      </c>
      <c r="G676" s="4">
        <f t="shared" si="245"/>
        <v>0</v>
      </c>
      <c r="I676" s="11" t="s">
        <v>994</v>
      </c>
      <c r="J676" s="9">
        <f t="shared" si="246"/>
        <v>0</v>
      </c>
      <c r="K676" s="9">
        <f t="shared" si="263"/>
        <v>0</v>
      </c>
      <c r="L676" s="9">
        <f t="shared" si="247"/>
        <v>0</v>
      </c>
      <c r="M676" s="9">
        <f t="shared" si="248"/>
        <v>0</v>
      </c>
      <c r="N676" s="9">
        <f t="shared" si="249"/>
        <v>0</v>
      </c>
      <c r="O676" s="9">
        <f t="shared" si="250"/>
        <v>0</v>
      </c>
      <c r="P676" s="9">
        <f t="shared" si="251"/>
        <v>1</v>
      </c>
      <c r="Q676" s="9">
        <f t="shared" si="252"/>
        <v>0</v>
      </c>
      <c r="R676" s="9">
        <f t="shared" si="253"/>
        <v>0</v>
      </c>
      <c r="S676" s="9">
        <f t="shared" si="254"/>
        <v>0</v>
      </c>
      <c r="T676" s="9">
        <f t="shared" si="255"/>
        <v>0</v>
      </c>
      <c r="U676" s="9">
        <f t="shared" si="256"/>
        <v>0</v>
      </c>
      <c r="V676" s="9">
        <f t="shared" si="257"/>
        <v>0</v>
      </c>
      <c r="W676" s="9">
        <f t="shared" si="258"/>
        <v>0</v>
      </c>
      <c r="X676" s="9">
        <f t="shared" si="259"/>
        <v>0</v>
      </c>
      <c r="Y676" s="9">
        <f t="shared" si="260"/>
        <v>0</v>
      </c>
      <c r="Z676" s="9">
        <f t="shared" si="261"/>
        <v>0</v>
      </c>
      <c r="AA676" s="10">
        <f t="shared" si="262"/>
        <v>0</v>
      </c>
    </row>
    <row r="677" spans="1:27" x14ac:dyDescent="0.3">
      <c r="A677" s="18" t="s">
        <v>1303</v>
      </c>
      <c r="B677" s="4">
        <f t="shared" si="240"/>
        <v>0</v>
      </c>
      <c r="C677" s="4">
        <f t="shared" si="241"/>
        <v>0</v>
      </c>
      <c r="D677" s="4">
        <f t="shared" si="242"/>
        <v>0</v>
      </c>
      <c r="E677" s="4">
        <f t="shared" si="243"/>
        <v>0</v>
      </c>
      <c r="F677" s="4">
        <f t="shared" si="244"/>
        <v>1</v>
      </c>
      <c r="G677" s="4">
        <f t="shared" si="245"/>
        <v>0</v>
      </c>
      <c r="I677" s="8" t="s">
        <v>977</v>
      </c>
      <c r="J677" s="9">
        <f t="shared" si="246"/>
        <v>1</v>
      </c>
      <c r="K677" s="9">
        <f t="shared" si="263"/>
        <v>0</v>
      </c>
      <c r="L677" s="9">
        <f t="shared" si="247"/>
        <v>0</v>
      </c>
      <c r="M677" s="9">
        <f t="shared" si="248"/>
        <v>0</v>
      </c>
      <c r="N677" s="9">
        <f t="shared" si="249"/>
        <v>0</v>
      </c>
      <c r="O677" s="9">
        <f t="shared" si="250"/>
        <v>0</v>
      </c>
      <c r="P677" s="9">
        <f t="shared" si="251"/>
        <v>0</v>
      </c>
      <c r="Q677" s="9">
        <f t="shared" si="252"/>
        <v>0</v>
      </c>
      <c r="R677" s="9">
        <f t="shared" si="253"/>
        <v>0</v>
      </c>
      <c r="S677" s="9">
        <f t="shared" si="254"/>
        <v>0</v>
      </c>
      <c r="T677" s="9">
        <f t="shared" si="255"/>
        <v>0</v>
      </c>
      <c r="U677" s="9">
        <f t="shared" si="256"/>
        <v>0</v>
      </c>
      <c r="V677" s="9">
        <f t="shared" si="257"/>
        <v>0</v>
      </c>
      <c r="W677" s="9">
        <f t="shared" si="258"/>
        <v>0</v>
      </c>
      <c r="X677" s="9">
        <f t="shared" si="259"/>
        <v>0</v>
      </c>
      <c r="Y677" s="9">
        <f t="shared" si="260"/>
        <v>0</v>
      </c>
      <c r="Z677" s="9">
        <f t="shared" si="261"/>
        <v>0</v>
      </c>
      <c r="AA677" s="10">
        <f t="shared" si="262"/>
        <v>0</v>
      </c>
    </row>
    <row r="678" spans="1:27" x14ac:dyDescent="0.3">
      <c r="A678" s="4" t="s">
        <v>1303</v>
      </c>
      <c r="B678" s="4">
        <f t="shared" si="240"/>
        <v>0</v>
      </c>
      <c r="C678" s="4">
        <f t="shared" si="241"/>
        <v>0</v>
      </c>
      <c r="D678" s="4">
        <f t="shared" si="242"/>
        <v>0</v>
      </c>
      <c r="E678" s="4">
        <f t="shared" si="243"/>
        <v>0</v>
      </c>
      <c r="F678" s="4">
        <f t="shared" si="244"/>
        <v>1</v>
      </c>
      <c r="G678" s="4">
        <f t="shared" si="245"/>
        <v>0</v>
      </c>
      <c r="I678" s="11" t="s">
        <v>977</v>
      </c>
      <c r="J678" s="9">
        <f t="shared" si="246"/>
        <v>1</v>
      </c>
      <c r="K678" s="9">
        <f t="shared" si="263"/>
        <v>0</v>
      </c>
      <c r="L678" s="9">
        <f t="shared" si="247"/>
        <v>0</v>
      </c>
      <c r="M678" s="9">
        <f t="shared" si="248"/>
        <v>0</v>
      </c>
      <c r="N678" s="9">
        <f t="shared" si="249"/>
        <v>0</v>
      </c>
      <c r="O678" s="9">
        <f t="shared" si="250"/>
        <v>0</v>
      </c>
      <c r="P678" s="9">
        <f t="shared" si="251"/>
        <v>0</v>
      </c>
      <c r="Q678" s="9">
        <f t="shared" si="252"/>
        <v>0</v>
      </c>
      <c r="R678" s="9">
        <f t="shared" si="253"/>
        <v>0</v>
      </c>
      <c r="S678" s="9">
        <f t="shared" si="254"/>
        <v>0</v>
      </c>
      <c r="T678" s="9">
        <f t="shared" si="255"/>
        <v>0</v>
      </c>
      <c r="U678" s="9">
        <f t="shared" si="256"/>
        <v>0</v>
      </c>
      <c r="V678" s="9">
        <f t="shared" si="257"/>
        <v>0</v>
      </c>
      <c r="W678" s="9">
        <f t="shared" si="258"/>
        <v>0</v>
      </c>
      <c r="X678" s="9">
        <f t="shared" si="259"/>
        <v>0</v>
      </c>
      <c r="Y678" s="9">
        <f t="shared" si="260"/>
        <v>0</v>
      </c>
      <c r="Z678" s="9">
        <f t="shared" si="261"/>
        <v>0</v>
      </c>
      <c r="AA678" s="10">
        <f t="shared" si="262"/>
        <v>0</v>
      </c>
    </row>
    <row r="679" spans="1:27" x14ac:dyDescent="0.3">
      <c r="A679" s="18" t="s">
        <v>1303</v>
      </c>
      <c r="B679" s="4">
        <f t="shared" si="240"/>
        <v>0</v>
      </c>
      <c r="C679" s="4">
        <f t="shared" si="241"/>
        <v>0</v>
      </c>
      <c r="D679" s="4">
        <f t="shared" si="242"/>
        <v>0</v>
      </c>
      <c r="E679" s="4">
        <f t="shared" si="243"/>
        <v>0</v>
      </c>
      <c r="F679" s="4">
        <f t="shared" si="244"/>
        <v>1</v>
      </c>
      <c r="G679" s="4">
        <f t="shared" si="245"/>
        <v>0</v>
      </c>
      <c r="I679" s="8" t="s">
        <v>988</v>
      </c>
      <c r="J679" s="9">
        <f t="shared" si="246"/>
        <v>0</v>
      </c>
      <c r="K679" s="9">
        <f t="shared" si="263"/>
        <v>0</v>
      </c>
      <c r="L679" s="9">
        <f t="shared" si="247"/>
        <v>1</v>
      </c>
      <c r="M679" s="9">
        <f t="shared" si="248"/>
        <v>0</v>
      </c>
      <c r="N679" s="9">
        <f t="shared" si="249"/>
        <v>0</v>
      </c>
      <c r="O679" s="9">
        <f t="shared" si="250"/>
        <v>0</v>
      </c>
      <c r="P679" s="9">
        <f t="shared" si="251"/>
        <v>0</v>
      </c>
      <c r="Q679" s="9">
        <f t="shared" si="252"/>
        <v>0</v>
      </c>
      <c r="R679" s="9">
        <f t="shared" si="253"/>
        <v>0</v>
      </c>
      <c r="S679" s="9">
        <f t="shared" si="254"/>
        <v>0</v>
      </c>
      <c r="T679" s="9">
        <f t="shared" si="255"/>
        <v>0</v>
      </c>
      <c r="U679" s="9">
        <f t="shared" si="256"/>
        <v>0</v>
      </c>
      <c r="V679" s="9">
        <f t="shared" si="257"/>
        <v>0</v>
      </c>
      <c r="W679" s="9">
        <f t="shared" si="258"/>
        <v>0</v>
      </c>
      <c r="X679" s="9">
        <f t="shared" si="259"/>
        <v>0</v>
      </c>
      <c r="Y679" s="9">
        <f t="shared" si="260"/>
        <v>0</v>
      </c>
      <c r="Z679" s="9">
        <f t="shared" si="261"/>
        <v>0</v>
      </c>
      <c r="AA679" s="10">
        <f t="shared" si="262"/>
        <v>0</v>
      </c>
    </row>
    <row r="680" spans="1:27" x14ac:dyDescent="0.3">
      <c r="A680" s="4" t="s">
        <v>1302</v>
      </c>
      <c r="B680" s="4">
        <f t="shared" si="240"/>
        <v>1</v>
      </c>
      <c r="C680" s="4">
        <f t="shared" si="241"/>
        <v>0</v>
      </c>
      <c r="D680" s="4">
        <f t="shared" si="242"/>
        <v>0</v>
      </c>
      <c r="E680" s="4">
        <f t="shared" si="243"/>
        <v>0</v>
      </c>
      <c r="F680" s="4">
        <f t="shared" si="244"/>
        <v>0</v>
      </c>
      <c r="G680" s="4">
        <f t="shared" si="245"/>
        <v>0</v>
      </c>
      <c r="I680" s="11" t="s">
        <v>988</v>
      </c>
      <c r="J680" s="9">
        <f t="shared" si="246"/>
        <v>0</v>
      </c>
      <c r="K680" s="9">
        <f t="shared" si="263"/>
        <v>0</v>
      </c>
      <c r="L680" s="9">
        <f t="shared" si="247"/>
        <v>1</v>
      </c>
      <c r="M680" s="9">
        <f t="shared" si="248"/>
        <v>0</v>
      </c>
      <c r="N680" s="9">
        <f t="shared" si="249"/>
        <v>0</v>
      </c>
      <c r="O680" s="9">
        <f t="shared" si="250"/>
        <v>0</v>
      </c>
      <c r="P680" s="9">
        <f t="shared" si="251"/>
        <v>0</v>
      </c>
      <c r="Q680" s="9">
        <f t="shared" si="252"/>
        <v>0</v>
      </c>
      <c r="R680" s="9">
        <f t="shared" si="253"/>
        <v>0</v>
      </c>
      <c r="S680" s="9">
        <f t="shared" si="254"/>
        <v>0</v>
      </c>
      <c r="T680" s="9">
        <f t="shared" si="255"/>
        <v>0</v>
      </c>
      <c r="U680" s="9">
        <f t="shared" si="256"/>
        <v>0</v>
      </c>
      <c r="V680" s="9">
        <f t="shared" si="257"/>
        <v>0</v>
      </c>
      <c r="W680" s="9">
        <f t="shared" si="258"/>
        <v>0</v>
      </c>
      <c r="X680" s="9">
        <f t="shared" si="259"/>
        <v>0</v>
      </c>
      <c r="Y680" s="9">
        <f t="shared" si="260"/>
        <v>0</v>
      </c>
      <c r="Z680" s="9">
        <f t="shared" si="261"/>
        <v>0</v>
      </c>
      <c r="AA680" s="10">
        <f t="shared" si="262"/>
        <v>0</v>
      </c>
    </row>
    <row r="681" spans="1:27" x14ac:dyDescent="0.3">
      <c r="A681" s="18" t="s">
        <v>1305</v>
      </c>
      <c r="B681" s="4">
        <f t="shared" si="240"/>
        <v>0</v>
      </c>
      <c r="C681" s="4">
        <f t="shared" si="241"/>
        <v>0</v>
      </c>
      <c r="D681" s="4">
        <f t="shared" si="242"/>
        <v>0</v>
      </c>
      <c r="E681" s="4">
        <f t="shared" si="243"/>
        <v>0</v>
      </c>
      <c r="F681" s="4">
        <f t="shared" si="244"/>
        <v>0</v>
      </c>
      <c r="G681" s="4">
        <f t="shared" si="245"/>
        <v>1</v>
      </c>
      <c r="I681" s="8" t="s">
        <v>996</v>
      </c>
      <c r="J681" s="9">
        <f t="shared" si="246"/>
        <v>0</v>
      </c>
      <c r="K681" s="9">
        <f t="shared" si="263"/>
        <v>0</v>
      </c>
      <c r="L681" s="9">
        <f t="shared" si="247"/>
        <v>0</v>
      </c>
      <c r="M681" s="9">
        <f t="shared" si="248"/>
        <v>0</v>
      </c>
      <c r="N681" s="9">
        <f t="shared" si="249"/>
        <v>0</v>
      </c>
      <c r="O681" s="9">
        <f t="shared" si="250"/>
        <v>0</v>
      </c>
      <c r="P681" s="9">
        <f t="shared" si="251"/>
        <v>0</v>
      </c>
      <c r="Q681" s="9">
        <f t="shared" si="252"/>
        <v>1</v>
      </c>
      <c r="R681" s="9">
        <f t="shared" si="253"/>
        <v>0</v>
      </c>
      <c r="S681" s="9">
        <f t="shared" si="254"/>
        <v>0</v>
      </c>
      <c r="T681" s="9">
        <f t="shared" si="255"/>
        <v>0</v>
      </c>
      <c r="U681" s="9">
        <f t="shared" si="256"/>
        <v>0</v>
      </c>
      <c r="V681" s="9">
        <f t="shared" si="257"/>
        <v>0</v>
      </c>
      <c r="W681" s="9">
        <f t="shared" si="258"/>
        <v>0</v>
      </c>
      <c r="X681" s="9">
        <f t="shared" si="259"/>
        <v>0</v>
      </c>
      <c r="Y681" s="9">
        <f t="shared" si="260"/>
        <v>0</v>
      </c>
      <c r="Z681" s="9">
        <f t="shared" si="261"/>
        <v>0</v>
      </c>
      <c r="AA681" s="10">
        <f t="shared" si="262"/>
        <v>0</v>
      </c>
    </row>
    <row r="682" spans="1:27" x14ac:dyDescent="0.3">
      <c r="A682" s="4" t="s">
        <v>1304</v>
      </c>
      <c r="B682" s="4">
        <f t="shared" si="240"/>
        <v>0</v>
      </c>
      <c r="C682" s="4">
        <f t="shared" si="241"/>
        <v>1</v>
      </c>
      <c r="D682" s="4">
        <f t="shared" si="242"/>
        <v>0</v>
      </c>
      <c r="E682" s="4">
        <f t="shared" si="243"/>
        <v>0</v>
      </c>
      <c r="F682" s="4">
        <f t="shared" si="244"/>
        <v>0</v>
      </c>
      <c r="G682" s="4">
        <f t="shared" si="245"/>
        <v>0</v>
      </c>
      <c r="I682" s="11" t="s">
        <v>988</v>
      </c>
      <c r="J682" s="9">
        <f t="shared" si="246"/>
        <v>0</v>
      </c>
      <c r="K682" s="9">
        <f t="shared" si="263"/>
        <v>0</v>
      </c>
      <c r="L682" s="9">
        <f t="shared" si="247"/>
        <v>1</v>
      </c>
      <c r="M682" s="9">
        <f t="shared" si="248"/>
        <v>0</v>
      </c>
      <c r="N682" s="9">
        <f t="shared" si="249"/>
        <v>0</v>
      </c>
      <c r="O682" s="9">
        <f t="shared" si="250"/>
        <v>0</v>
      </c>
      <c r="P682" s="9">
        <f t="shared" si="251"/>
        <v>0</v>
      </c>
      <c r="Q682" s="9">
        <f t="shared" si="252"/>
        <v>0</v>
      </c>
      <c r="R682" s="9">
        <f t="shared" si="253"/>
        <v>0</v>
      </c>
      <c r="S682" s="9">
        <f t="shared" si="254"/>
        <v>0</v>
      </c>
      <c r="T682" s="9">
        <f t="shared" si="255"/>
        <v>0</v>
      </c>
      <c r="U682" s="9">
        <f t="shared" si="256"/>
        <v>0</v>
      </c>
      <c r="V682" s="9">
        <f t="shared" si="257"/>
        <v>0</v>
      </c>
      <c r="W682" s="9">
        <f t="shared" si="258"/>
        <v>0</v>
      </c>
      <c r="X682" s="9">
        <f t="shared" si="259"/>
        <v>0</v>
      </c>
      <c r="Y682" s="9">
        <f t="shared" si="260"/>
        <v>0</v>
      </c>
      <c r="Z682" s="9">
        <f t="shared" si="261"/>
        <v>0</v>
      </c>
      <c r="AA682" s="10">
        <f t="shared" si="262"/>
        <v>0</v>
      </c>
    </row>
    <row r="683" spans="1:27" x14ac:dyDescent="0.3">
      <c r="A683" s="18" t="s">
        <v>1294</v>
      </c>
      <c r="B683" s="4">
        <f t="shared" si="240"/>
        <v>0</v>
      </c>
      <c r="C683" s="4">
        <f t="shared" si="241"/>
        <v>0</v>
      </c>
      <c r="D683" s="4">
        <f t="shared" si="242"/>
        <v>0</v>
      </c>
      <c r="E683" s="4">
        <f t="shared" si="243"/>
        <v>0</v>
      </c>
      <c r="F683" s="4">
        <f t="shared" si="244"/>
        <v>0</v>
      </c>
      <c r="G683" s="4">
        <f t="shared" si="245"/>
        <v>0</v>
      </c>
      <c r="I683" s="8" t="s">
        <v>977</v>
      </c>
      <c r="J683" s="9">
        <f t="shared" si="246"/>
        <v>1</v>
      </c>
      <c r="K683" s="9">
        <f t="shared" si="263"/>
        <v>0</v>
      </c>
      <c r="L683" s="9">
        <f t="shared" si="247"/>
        <v>0</v>
      </c>
      <c r="M683" s="9">
        <f t="shared" si="248"/>
        <v>0</v>
      </c>
      <c r="N683" s="9">
        <f t="shared" si="249"/>
        <v>0</v>
      </c>
      <c r="O683" s="9">
        <f t="shared" si="250"/>
        <v>0</v>
      </c>
      <c r="P683" s="9">
        <f t="shared" si="251"/>
        <v>0</v>
      </c>
      <c r="Q683" s="9">
        <f t="shared" si="252"/>
        <v>0</v>
      </c>
      <c r="R683" s="9">
        <f t="shared" si="253"/>
        <v>0</v>
      </c>
      <c r="S683" s="9">
        <f t="shared" si="254"/>
        <v>0</v>
      </c>
      <c r="T683" s="9">
        <f t="shared" si="255"/>
        <v>0</v>
      </c>
      <c r="U683" s="9">
        <f t="shared" si="256"/>
        <v>0</v>
      </c>
      <c r="V683" s="9">
        <f t="shared" si="257"/>
        <v>0</v>
      </c>
      <c r="W683" s="9">
        <f t="shared" si="258"/>
        <v>0</v>
      </c>
      <c r="X683" s="9">
        <f t="shared" si="259"/>
        <v>0</v>
      </c>
      <c r="Y683" s="9">
        <f t="shared" si="260"/>
        <v>0</v>
      </c>
      <c r="Z683" s="9">
        <f t="shared" si="261"/>
        <v>0</v>
      </c>
      <c r="AA683" s="10">
        <f t="shared" si="262"/>
        <v>0</v>
      </c>
    </row>
    <row r="684" spans="1:27" x14ac:dyDescent="0.3">
      <c r="A684" s="4" t="s">
        <v>1303</v>
      </c>
      <c r="B684" s="4">
        <f t="shared" si="240"/>
        <v>0</v>
      </c>
      <c r="C684" s="4">
        <f t="shared" si="241"/>
        <v>0</v>
      </c>
      <c r="D684" s="4">
        <f t="shared" si="242"/>
        <v>0</v>
      </c>
      <c r="E684" s="4">
        <f t="shared" si="243"/>
        <v>0</v>
      </c>
      <c r="F684" s="4">
        <f t="shared" si="244"/>
        <v>1</v>
      </c>
      <c r="G684" s="4">
        <f t="shared" si="245"/>
        <v>0</v>
      </c>
      <c r="I684" s="11" t="s">
        <v>1294</v>
      </c>
      <c r="J684" s="9">
        <f t="shared" si="246"/>
        <v>0</v>
      </c>
      <c r="K684" s="9">
        <f t="shared" si="263"/>
        <v>0</v>
      </c>
      <c r="L684" s="9">
        <f t="shared" si="247"/>
        <v>0</v>
      </c>
      <c r="M684" s="9">
        <f t="shared" si="248"/>
        <v>0</v>
      </c>
      <c r="N684" s="9">
        <f t="shared" si="249"/>
        <v>0</v>
      </c>
      <c r="O684" s="9">
        <f t="shared" si="250"/>
        <v>0</v>
      </c>
      <c r="P684" s="9">
        <f t="shared" si="251"/>
        <v>0</v>
      </c>
      <c r="Q684" s="9">
        <f t="shared" si="252"/>
        <v>0</v>
      </c>
      <c r="R684" s="9">
        <f t="shared" si="253"/>
        <v>0</v>
      </c>
      <c r="S684" s="9">
        <f t="shared" si="254"/>
        <v>0</v>
      </c>
      <c r="T684" s="9">
        <f t="shared" si="255"/>
        <v>0</v>
      </c>
      <c r="U684" s="9">
        <f t="shared" si="256"/>
        <v>0</v>
      </c>
      <c r="V684" s="9">
        <f t="shared" si="257"/>
        <v>0</v>
      </c>
      <c r="W684" s="9">
        <f t="shared" si="258"/>
        <v>0</v>
      </c>
      <c r="X684" s="9">
        <f t="shared" si="259"/>
        <v>0</v>
      </c>
      <c r="Y684" s="9">
        <f t="shared" si="260"/>
        <v>0</v>
      </c>
      <c r="Z684" s="9">
        <f t="shared" si="261"/>
        <v>0</v>
      </c>
      <c r="AA684" s="10">
        <f t="shared" si="262"/>
        <v>0</v>
      </c>
    </row>
    <row r="685" spans="1:27" x14ac:dyDescent="0.3">
      <c r="A685" s="18" t="s">
        <v>1303</v>
      </c>
      <c r="B685" s="4">
        <f t="shared" si="240"/>
        <v>0</v>
      </c>
      <c r="C685" s="4">
        <f t="shared" si="241"/>
        <v>0</v>
      </c>
      <c r="D685" s="4">
        <f t="shared" si="242"/>
        <v>0</v>
      </c>
      <c r="E685" s="4">
        <f t="shared" si="243"/>
        <v>0</v>
      </c>
      <c r="F685" s="4">
        <f t="shared" si="244"/>
        <v>1</v>
      </c>
      <c r="G685" s="4">
        <f t="shared" si="245"/>
        <v>0</v>
      </c>
      <c r="I685" s="8" t="s">
        <v>994</v>
      </c>
      <c r="J685" s="9">
        <f t="shared" si="246"/>
        <v>0</v>
      </c>
      <c r="K685" s="9">
        <f t="shared" si="263"/>
        <v>0</v>
      </c>
      <c r="L685" s="9">
        <f t="shared" si="247"/>
        <v>0</v>
      </c>
      <c r="M685" s="9">
        <f t="shared" si="248"/>
        <v>0</v>
      </c>
      <c r="N685" s="9">
        <f t="shared" si="249"/>
        <v>0</v>
      </c>
      <c r="O685" s="9">
        <f t="shared" si="250"/>
        <v>0</v>
      </c>
      <c r="P685" s="9">
        <f t="shared" si="251"/>
        <v>1</v>
      </c>
      <c r="Q685" s="9">
        <f t="shared" si="252"/>
        <v>0</v>
      </c>
      <c r="R685" s="9">
        <f t="shared" si="253"/>
        <v>0</v>
      </c>
      <c r="S685" s="9">
        <f t="shared" si="254"/>
        <v>0</v>
      </c>
      <c r="T685" s="9">
        <f t="shared" si="255"/>
        <v>0</v>
      </c>
      <c r="U685" s="9">
        <f t="shared" si="256"/>
        <v>0</v>
      </c>
      <c r="V685" s="9">
        <f t="shared" si="257"/>
        <v>0</v>
      </c>
      <c r="W685" s="9">
        <f t="shared" si="258"/>
        <v>0</v>
      </c>
      <c r="X685" s="9">
        <f t="shared" si="259"/>
        <v>0</v>
      </c>
      <c r="Y685" s="9">
        <f t="shared" si="260"/>
        <v>0</v>
      </c>
      <c r="Z685" s="9">
        <f t="shared" si="261"/>
        <v>0</v>
      </c>
      <c r="AA685" s="10">
        <f t="shared" si="262"/>
        <v>0</v>
      </c>
    </row>
    <row r="686" spans="1:27" x14ac:dyDescent="0.3">
      <c r="A686" s="4" t="s">
        <v>1303</v>
      </c>
      <c r="B686" s="4">
        <f t="shared" si="240"/>
        <v>0</v>
      </c>
      <c r="C686" s="4">
        <f t="shared" si="241"/>
        <v>0</v>
      </c>
      <c r="D686" s="4">
        <f t="shared" si="242"/>
        <v>0</v>
      </c>
      <c r="E686" s="4">
        <f t="shared" si="243"/>
        <v>0</v>
      </c>
      <c r="F686" s="4">
        <f t="shared" si="244"/>
        <v>1</v>
      </c>
      <c r="G686" s="4">
        <f t="shared" si="245"/>
        <v>0</v>
      </c>
      <c r="I686" s="11" t="s">
        <v>977</v>
      </c>
      <c r="J686" s="9">
        <f t="shared" si="246"/>
        <v>1</v>
      </c>
      <c r="K686" s="9">
        <f t="shared" si="263"/>
        <v>0</v>
      </c>
      <c r="L686" s="9">
        <f t="shared" si="247"/>
        <v>0</v>
      </c>
      <c r="M686" s="9">
        <f t="shared" si="248"/>
        <v>0</v>
      </c>
      <c r="N686" s="9">
        <f t="shared" si="249"/>
        <v>0</v>
      </c>
      <c r="O686" s="9">
        <f t="shared" si="250"/>
        <v>0</v>
      </c>
      <c r="P686" s="9">
        <f t="shared" si="251"/>
        <v>0</v>
      </c>
      <c r="Q686" s="9">
        <f t="shared" si="252"/>
        <v>0</v>
      </c>
      <c r="R686" s="9">
        <f t="shared" si="253"/>
        <v>0</v>
      </c>
      <c r="S686" s="9">
        <f t="shared" si="254"/>
        <v>0</v>
      </c>
      <c r="T686" s="9">
        <f t="shared" si="255"/>
        <v>0</v>
      </c>
      <c r="U686" s="9">
        <f t="shared" si="256"/>
        <v>0</v>
      </c>
      <c r="V686" s="9">
        <f t="shared" si="257"/>
        <v>0</v>
      </c>
      <c r="W686" s="9">
        <f t="shared" si="258"/>
        <v>0</v>
      </c>
      <c r="X686" s="9">
        <f t="shared" si="259"/>
        <v>0</v>
      </c>
      <c r="Y686" s="9">
        <f t="shared" si="260"/>
        <v>0</v>
      </c>
      <c r="Z686" s="9">
        <f t="shared" si="261"/>
        <v>0</v>
      </c>
      <c r="AA686" s="10">
        <f t="shared" si="262"/>
        <v>0</v>
      </c>
    </row>
    <row r="687" spans="1:27" x14ac:dyDescent="0.3">
      <c r="A687" s="18" t="s">
        <v>1303</v>
      </c>
      <c r="B687" s="4">
        <f t="shared" si="240"/>
        <v>0</v>
      </c>
      <c r="C687" s="4">
        <f t="shared" si="241"/>
        <v>0</v>
      </c>
      <c r="D687" s="4">
        <f t="shared" si="242"/>
        <v>0</v>
      </c>
      <c r="E687" s="4">
        <f t="shared" si="243"/>
        <v>0</v>
      </c>
      <c r="F687" s="4">
        <f t="shared" si="244"/>
        <v>1</v>
      </c>
      <c r="G687" s="4">
        <f t="shared" si="245"/>
        <v>0</v>
      </c>
      <c r="I687" s="8" t="s">
        <v>994</v>
      </c>
      <c r="J687" s="9">
        <f t="shared" si="246"/>
        <v>0</v>
      </c>
      <c r="K687" s="9">
        <f t="shared" si="263"/>
        <v>0</v>
      </c>
      <c r="L687" s="9">
        <f t="shared" si="247"/>
        <v>0</v>
      </c>
      <c r="M687" s="9">
        <f t="shared" si="248"/>
        <v>0</v>
      </c>
      <c r="N687" s="9">
        <f t="shared" si="249"/>
        <v>0</v>
      </c>
      <c r="O687" s="9">
        <f t="shared" si="250"/>
        <v>0</v>
      </c>
      <c r="P687" s="9">
        <f t="shared" si="251"/>
        <v>1</v>
      </c>
      <c r="Q687" s="9">
        <f t="shared" si="252"/>
        <v>0</v>
      </c>
      <c r="R687" s="9">
        <f t="shared" si="253"/>
        <v>0</v>
      </c>
      <c r="S687" s="9">
        <f t="shared" si="254"/>
        <v>0</v>
      </c>
      <c r="T687" s="9">
        <f t="shared" si="255"/>
        <v>0</v>
      </c>
      <c r="U687" s="9">
        <f t="shared" si="256"/>
        <v>0</v>
      </c>
      <c r="V687" s="9">
        <f t="shared" si="257"/>
        <v>0</v>
      </c>
      <c r="W687" s="9">
        <f t="shared" si="258"/>
        <v>0</v>
      </c>
      <c r="X687" s="9">
        <f t="shared" si="259"/>
        <v>0</v>
      </c>
      <c r="Y687" s="9">
        <f t="shared" si="260"/>
        <v>0</v>
      </c>
      <c r="Z687" s="9">
        <f t="shared" si="261"/>
        <v>0</v>
      </c>
      <c r="AA687" s="10">
        <f t="shared" si="262"/>
        <v>0</v>
      </c>
    </row>
    <row r="688" spans="1:27" x14ac:dyDescent="0.3">
      <c r="A688" s="4" t="s">
        <v>1303</v>
      </c>
      <c r="B688" s="4">
        <f t="shared" si="240"/>
        <v>0</v>
      </c>
      <c r="C688" s="4">
        <f t="shared" si="241"/>
        <v>0</v>
      </c>
      <c r="D688" s="4">
        <f t="shared" si="242"/>
        <v>0</v>
      </c>
      <c r="E688" s="4">
        <f t="shared" si="243"/>
        <v>0</v>
      </c>
      <c r="F688" s="4">
        <f t="shared" si="244"/>
        <v>1</v>
      </c>
      <c r="G688" s="4">
        <f t="shared" si="245"/>
        <v>0</v>
      </c>
      <c r="I688" s="11" t="s">
        <v>977</v>
      </c>
      <c r="J688" s="9">
        <f t="shared" si="246"/>
        <v>1</v>
      </c>
      <c r="K688" s="9">
        <f t="shared" si="263"/>
        <v>0</v>
      </c>
      <c r="L688" s="9">
        <f t="shared" si="247"/>
        <v>0</v>
      </c>
      <c r="M688" s="9">
        <f t="shared" si="248"/>
        <v>0</v>
      </c>
      <c r="N688" s="9">
        <f t="shared" si="249"/>
        <v>0</v>
      </c>
      <c r="O688" s="9">
        <f t="shared" si="250"/>
        <v>0</v>
      </c>
      <c r="P688" s="9">
        <f t="shared" si="251"/>
        <v>0</v>
      </c>
      <c r="Q688" s="9">
        <f t="shared" si="252"/>
        <v>0</v>
      </c>
      <c r="R688" s="9">
        <f t="shared" si="253"/>
        <v>0</v>
      </c>
      <c r="S688" s="9">
        <f t="shared" si="254"/>
        <v>0</v>
      </c>
      <c r="T688" s="9">
        <f t="shared" si="255"/>
        <v>0</v>
      </c>
      <c r="U688" s="9">
        <f t="shared" si="256"/>
        <v>0</v>
      </c>
      <c r="V688" s="9">
        <f t="shared" si="257"/>
        <v>0</v>
      </c>
      <c r="W688" s="9">
        <f t="shared" si="258"/>
        <v>0</v>
      </c>
      <c r="X688" s="9">
        <f t="shared" si="259"/>
        <v>0</v>
      </c>
      <c r="Y688" s="9">
        <f t="shared" si="260"/>
        <v>0</v>
      </c>
      <c r="Z688" s="9">
        <f t="shared" si="261"/>
        <v>0</v>
      </c>
      <c r="AA688" s="10">
        <f t="shared" si="262"/>
        <v>0</v>
      </c>
    </row>
    <row r="689" spans="1:27" x14ac:dyDescent="0.3">
      <c r="A689" s="18" t="s">
        <v>1303</v>
      </c>
      <c r="B689" s="4">
        <f t="shared" si="240"/>
        <v>0</v>
      </c>
      <c r="C689" s="4">
        <f t="shared" si="241"/>
        <v>0</v>
      </c>
      <c r="D689" s="4">
        <f t="shared" si="242"/>
        <v>0</v>
      </c>
      <c r="E689" s="4">
        <f t="shared" si="243"/>
        <v>0</v>
      </c>
      <c r="F689" s="4">
        <f t="shared" si="244"/>
        <v>1</v>
      </c>
      <c r="G689" s="4">
        <f t="shared" si="245"/>
        <v>0</v>
      </c>
      <c r="I689" s="8" t="s">
        <v>990</v>
      </c>
      <c r="J689" s="9">
        <f t="shared" si="246"/>
        <v>0</v>
      </c>
      <c r="K689" s="9">
        <f t="shared" si="263"/>
        <v>0</v>
      </c>
      <c r="L689" s="9">
        <f t="shared" si="247"/>
        <v>0</v>
      </c>
      <c r="M689" s="9">
        <f t="shared" si="248"/>
        <v>0</v>
      </c>
      <c r="N689" s="9">
        <f t="shared" si="249"/>
        <v>1</v>
      </c>
      <c r="O689" s="9">
        <f t="shared" si="250"/>
        <v>0</v>
      </c>
      <c r="P689" s="9">
        <f t="shared" si="251"/>
        <v>0</v>
      </c>
      <c r="Q689" s="9">
        <f t="shared" si="252"/>
        <v>0</v>
      </c>
      <c r="R689" s="9">
        <f t="shared" si="253"/>
        <v>0</v>
      </c>
      <c r="S689" s="9">
        <f t="shared" si="254"/>
        <v>0</v>
      </c>
      <c r="T689" s="9">
        <f t="shared" si="255"/>
        <v>0</v>
      </c>
      <c r="U689" s="9">
        <f t="shared" si="256"/>
        <v>0</v>
      </c>
      <c r="V689" s="9">
        <f t="shared" si="257"/>
        <v>0</v>
      </c>
      <c r="W689" s="9">
        <f t="shared" si="258"/>
        <v>0</v>
      </c>
      <c r="X689" s="9">
        <f t="shared" si="259"/>
        <v>0</v>
      </c>
      <c r="Y689" s="9">
        <f t="shared" si="260"/>
        <v>0</v>
      </c>
      <c r="Z689" s="9">
        <f t="shared" si="261"/>
        <v>0</v>
      </c>
      <c r="AA689" s="10">
        <f t="shared" si="262"/>
        <v>0</v>
      </c>
    </row>
    <row r="690" spans="1:27" x14ac:dyDescent="0.3">
      <c r="A690" s="4" t="s">
        <v>1305</v>
      </c>
      <c r="B690" s="4">
        <f t="shared" si="240"/>
        <v>0</v>
      </c>
      <c r="C690" s="4">
        <f t="shared" si="241"/>
        <v>0</v>
      </c>
      <c r="D690" s="4">
        <f t="shared" si="242"/>
        <v>0</v>
      </c>
      <c r="E690" s="4">
        <f t="shared" si="243"/>
        <v>0</v>
      </c>
      <c r="F690" s="4">
        <f t="shared" si="244"/>
        <v>0</v>
      </c>
      <c r="G690" s="4">
        <f t="shared" si="245"/>
        <v>1</v>
      </c>
      <c r="I690" s="11" t="s">
        <v>977</v>
      </c>
      <c r="J690" s="9">
        <f t="shared" si="246"/>
        <v>1</v>
      </c>
      <c r="K690" s="9">
        <f t="shared" si="263"/>
        <v>0</v>
      </c>
      <c r="L690" s="9">
        <f t="shared" si="247"/>
        <v>0</v>
      </c>
      <c r="M690" s="9">
        <f t="shared" si="248"/>
        <v>0</v>
      </c>
      <c r="N690" s="9">
        <f t="shared" si="249"/>
        <v>0</v>
      </c>
      <c r="O690" s="9">
        <f t="shared" si="250"/>
        <v>0</v>
      </c>
      <c r="P690" s="9">
        <f t="shared" si="251"/>
        <v>0</v>
      </c>
      <c r="Q690" s="9">
        <f t="shared" si="252"/>
        <v>0</v>
      </c>
      <c r="R690" s="9">
        <f t="shared" si="253"/>
        <v>0</v>
      </c>
      <c r="S690" s="9">
        <f t="shared" si="254"/>
        <v>0</v>
      </c>
      <c r="T690" s="9">
        <f t="shared" si="255"/>
        <v>0</v>
      </c>
      <c r="U690" s="9">
        <f t="shared" si="256"/>
        <v>0</v>
      </c>
      <c r="V690" s="9">
        <f t="shared" si="257"/>
        <v>0</v>
      </c>
      <c r="W690" s="9">
        <f t="shared" si="258"/>
        <v>0</v>
      </c>
      <c r="X690" s="9">
        <f t="shared" si="259"/>
        <v>0</v>
      </c>
      <c r="Y690" s="9">
        <f t="shared" si="260"/>
        <v>0</v>
      </c>
      <c r="Z690" s="9">
        <f t="shared" si="261"/>
        <v>0</v>
      </c>
      <c r="AA690" s="10">
        <f t="shared" si="262"/>
        <v>0</v>
      </c>
    </row>
    <row r="691" spans="1:27" x14ac:dyDescent="0.3">
      <c r="A691" s="18" t="s">
        <v>1304</v>
      </c>
      <c r="B691" s="4">
        <f t="shared" si="240"/>
        <v>0</v>
      </c>
      <c r="C691" s="4">
        <f t="shared" si="241"/>
        <v>1</v>
      </c>
      <c r="D691" s="4">
        <f t="shared" si="242"/>
        <v>0</v>
      </c>
      <c r="E691" s="4">
        <f t="shared" si="243"/>
        <v>0</v>
      </c>
      <c r="F691" s="4">
        <f t="shared" si="244"/>
        <v>0</v>
      </c>
      <c r="G691" s="4">
        <f t="shared" si="245"/>
        <v>0</v>
      </c>
      <c r="I691" s="8" t="s">
        <v>994</v>
      </c>
      <c r="J691" s="9">
        <f t="shared" si="246"/>
        <v>0</v>
      </c>
      <c r="K691" s="9">
        <f t="shared" si="263"/>
        <v>0</v>
      </c>
      <c r="L691" s="9">
        <f t="shared" si="247"/>
        <v>0</v>
      </c>
      <c r="M691" s="9">
        <f t="shared" si="248"/>
        <v>0</v>
      </c>
      <c r="N691" s="9">
        <f t="shared" si="249"/>
        <v>0</v>
      </c>
      <c r="O691" s="9">
        <f t="shared" si="250"/>
        <v>0</v>
      </c>
      <c r="P691" s="9">
        <f t="shared" si="251"/>
        <v>1</v>
      </c>
      <c r="Q691" s="9">
        <f t="shared" si="252"/>
        <v>0</v>
      </c>
      <c r="R691" s="9">
        <f t="shared" si="253"/>
        <v>0</v>
      </c>
      <c r="S691" s="9">
        <f t="shared" si="254"/>
        <v>0</v>
      </c>
      <c r="T691" s="9">
        <f t="shared" si="255"/>
        <v>0</v>
      </c>
      <c r="U691" s="9">
        <f t="shared" si="256"/>
        <v>0</v>
      </c>
      <c r="V691" s="9">
        <f t="shared" si="257"/>
        <v>0</v>
      </c>
      <c r="W691" s="9">
        <f t="shared" si="258"/>
        <v>0</v>
      </c>
      <c r="X691" s="9">
        <f t="shared" si="259"/>
        <v>0</v>
      </c>
      <c r="Y691" s="9">
        <f t="shared" si="260"/>
        <v>0</v>
      </c>
      <c r="Z691" s="9">
        <f t="shared" si="261"/>
        <v>0</v>
      </c>
      <c r="AA691" s="10">
        <f t="shared" si="262"/>
        <v>0</v>
      </c>
    </row>
    <row r="692" spans="1:27" x14ac:dyDescent="0.3">
      <c r="A692" s="4" t="s">
        <v>1114</v>
      </c>
      <c r="B692" s="4">
        <f t="shared" si="240"/>
        <v>0</v>
      </c>
      <c r="C692" s="4">
        <f t="shared" si="241"/>
        <v>0</v>
      </c>
      <c r="D692" s="4">
        <f t="shared" si="242"/>
        <v>0</v>
      </c>
      <c r="E692" s="4">
        <f t="shared" si="243"/>
        <v>1</v>
      </c>
      <c r="F692" s="4">
        <f t="shared" si="244"/>
        <v>0</v>
      </c>
      <c r="G692" s="4">
        <f t="shared" si="245"/>
        <v>0</v>
      </c>
      <c r="I692" s="11" t="s">
        <v>996</v>
      </c>
      <c r="J692" s="9">
        <f t="shared" si="246"/>
        <v>0</v>
      </c>
      <c r="K692" s="9">
        <f t="shared" si="263"/>
        <v>0</v>
      </c>
      <c r="L692" s="9">
        <f t="shared" si="247"/>
        <v>0</v>
      </c>
      <c r="M692" s="9">
        <f t="shared" si="248"/>
        <v>0</v>
      </c>
      <c r="N692" s="9">
        <f t="shared" si="249"/>
        <v>0</v>
      </c>
      <c r="O692" s="9">
        <f t="shared" si="250"/>
        <v>0</v>
      </c>
      <c r="P692" s="9">
        <f t="shared" si="251"/>
        <v>0</v>
      </c>
      <c r="Q692" s="9">
        <f t="shared" si="252"/>
        <v>1</v>
      </c>
      <c r="R692" s="9">
        <f t="shared" si="253"/>
        <v>0</v>
      </c>
      <c r="S692" s="9">
        <f t="shared" si="254"/>
        <v>0</v>
      </c>
      <c r="T692" s="9">
        <f t="shared" si="255"/>
        <v>0</v>
      </c>
      <c r="U692" s="9">
        <f t="shared" si="256"/>
        <v>0</v>
      </c>
      <c r="V692" s="9">
        <f t="shared" si="257"/>
        <v>0</v>
      </c>
      <c r="W692" s="9">
        <f t="shared" si="258"/>
        <v>0</v>
      </c>
      <c r="X692" s="9">
        <f t="shared" si="259"/>
        <v>0</v>
      </c>
      <c r="Y692" s="9">
        <f t="shared" si="260"/>
        <v>0</v>
      </c>
      <c r="Z692" s="9">
        <f t="shared" si="261"/>
        <v>0</v>
      </c>
      <c r="AA692" s="10">
        <f t="shared" si="262"/>
        <v>0</v>
      </c>
    </row>
    <row r="693" spans="1:27" x14ac:dyDescent="0.3">
      <c r="A693" s="18" t="s">
        <v>1302</v>
      </c>
      <c r="B693" s="4">
        <f t="shared" si="240"/>
        <v>1</v>
      </c>
      <c r="C693" s="4">
        <f t="shared" si="241"/>
        <v>0</v>
      </c>
      <c r="D693" s="4">
        <f t="shared" si="242"/>
        <v>0</v>
      </c>
      <c r="E693" s="4">
        <f t="shared" si="243"/>
        <v>0</v>
      </c>
      <c r="F693" s="4">
        <f t="shared" si="244"/>
        <v>0</v>
      </c>
      <c r="G693" s="4">
        <f t="shared" si="245"/>
        <v>0</v>
      </c>
      <c r="I693" s="8" t="s">
        <v>990</v>
      </c>
      <c r="J693" s="9">
        <f t="shared" si="246"/>
        <v>0</v>
      </c>
      <c r="K693" s="9">
        <f t="shared" si="263"/>
        <v>0</v>
      </c>
      <c r="L693" s="9">
        <f t="shared" si="247"/>
        <v>0</v>
      </c>
      <c r="M693" s="9">
        <f t="shared" si="248"/>
        <v>0</v>
      </c>
      <c r="N693" s="9">
        <f t="shared" si="249"/>
        <v>1</v>
      </c>
      <c r="O693" s="9">
        <f t="shared" si="250"/>
        <v>0</v>
      </c>
      <c r="P693" s="9">
        <f t="shared" si="251"/>
        <v>0</v>
      </c>
      <c r="Q693" s="9">
        <f t="shared" si="252"/>
        <v>0</v>
      </c>
      <c r="R693" s="9">
        <f t="shared" si="253"/>
        <v>0</v>
      </c>
      <c r="S693" s="9">
        <f t="shared" si="254"/>
        <v>0</v>
      </c>
      <c r="T693" s="9">
        <f t="shared" si="255"/>
        <v>0</v>
      </c>
      <c r="U693" s="9">
        <f t="shared" si="256"/>
        <v>0</v>
      </c>
      <c r="V693" s="9">
        <f t="shared" si="257"/>
        <v>0</v>
      </c>
      <c r="W693" s="9">
        <f t="shared" si="258"/>
        <v>0</v>
      </c>
      <c r="X693" s="9">
        <f t="shared" si="259"/>
        <v>0</v>
      </c>
      <c r="Y693" s="9">
        <f t="shared" si="260"/>
        <v>0</v>
      </c>
      <c r="Z693" s="9">
        <f t="shared" si="261"/>
        <v>0</v>
      </c>
      <c r="AA693" s="10">
        <f t="shared" si="262"/>
        <v>0</v>
      </c>
    </row>
    <row r="694" spans="1:27" x14ac:dyDescent="0.3">
      <c r="A694" s="4" t="s">
        <v>1302</v>
      </c>
      <c r="B694" s="4">
        <f t="shared" si="240"/>
        <v>1</v>
      </c>
      <c r="C694" s="4">
        <f t="shared" si="241"/>
        <v>0</v>
      </c>
      <c r="D694" s="4">
        <f t="shared" si="242"/>
        <v>0</v>
      </c>
      <c r="E694" s="4">
        <f t="shared" si="243"/>
        <v>0</v>
      </c>
      <c r="F694" s="4">
        <f t="shared" si="244"/>
        <v>0</v>
      </c>
      <c r="G694" s="4">
        <f t="shared" si="245"/>
        <v>0</v>
      </c>
      <c r="I694" s="11" t="s">
        <v>988</v>
      </c>
      <c r="J694" s="9">
        <f t="shared" si="246"/>
        <v>0</v>
      </c>
      <c r="K694" s="9">
        <f t="shared" si="263"/>
        <v>0</v>
      </c>
      <c r="L694" s="9">
        <f t="shared" si="247"/>
        <v>1</v>
      </c>
      <c r="M694" s="9">
        <f t="shared" si="248"/>
        <v>0</v>
      </c>
      <c r="N694" s="9">
        <f t="shared" si="249"/>
        <v>0</v>
      </c>
      <c r="O694" s="9">
        <f t="shared" si="250"/>
        <v>0</v>
      </c>
      <c r="P694" s="9">
        <f t="shared" si="251"/>
        <v>0</v>
      </c>
      <c r="Q694" s="9">
        <f t="shared" si="252"/>
        <v>0</v>
      </c>
      <c r="R694" s="9">
        <f t="shared" si="253"/>
        <v>0</v>
      </c>
      <c r="S694" s="9">
        <f t="shared" si="254"/>
        <v>0</v>
      </c>
      <c r="T694" s="9">
        <f t="shared" si="255"/>
        <v>0</v>
      </c>
      <c r="U694" s="9">
        <f t="shared" si="256"/>
        <v>0</v>
      </c>
      <c r="V694" s="9">
        <f t="shared" si="257"/>
        <v>0</v>
      </c>
      <c r="W694" s="9">
        <f t="shared" si="258"/>
        <v>0</v>
      </c>
      <c r="X694" s="9">
        <f t="shared" si="259"/>
        <v>0</v>
      </c>
      <c r="Y694" s="9">
        <f t="shared" si="260"/>
        <v>0</v>
      </c>
      <c r="Z694" s="9">
        <f t="shared" si="261"/>
        <v>0</v>
      </c>
      <c r="AA694" s="10">
        <f t="shared" si="262"/>
        <v>0</v>
      </c>
    </row>
    <row r="695" spans="1:27" x14ac:dyDescent="0.3">
      <c r="A695" s="18" t="s">
        <v>1303</v>
      </c>
      <c r="B695" s="4">
        <f t="shared" si="240"/>
        <v>0</v>
      </c>
      <c r="C695" s="4">
        <f t="shared" si="241"/>
        <v>0</v>
      </c>
      <c r="D695" s="4">
        <f t="shared" si="242"/>
        <v>0</v>
      </c>
      <c r="E695" s="4">
        <f t="shared" si="243"/>
        <v>0</v>
      </c>
      <c r="F695" s="4">
        <f t="shared" si="244"/>
        <v>1</v>
      </c>
      <c r="G695" s="4">
        <f t="shared" si="245"/>
        <v>0</v>
      </c>
      <c r="I695" s="8" t="s">
        <v>988</v>
      </c>
      <c r="J695" s="9">
        <f t="shared" si="246"/>
        <v>0</v>
      </c>
      <c r="K695" s="9">
        <f t="shared" si="263"/>
        <v>0</v>
      </c>
      <c r="L695" s="9">
        <f t="shared" si="247"/>
        <v>1</v>
      </c>
      <c r="M695" s="9">
        <f t="shared" si="248"/>
        <v>0</v>
      </c>
      <c r="N695" s="9">
        <f t="shared" si="249"/>
        <v>0</v>
      </c>
      <c r="O695" s="9">
        <f t="shared" si="250"/>
        <v>0</v>
      </c>
      <c r="P695" s="9">
        <f t="shared" si="251"/>
        <v>0</v>
      </c>
      <c r="Q695" s="9">
        <f t="shared" si="252"/>
        <v>0</v>
      </c>
      <c r="R695" s="9">
        <f t="shared" si="253"/>
        <v>0</v>
      </c>
      <c r="S695" s="9">
        <f t="shared" si="254"/>
        <v>0</v>
      </c>
      <c r="T695" s="9">
        <f t="shared" si="255"/>
        <v>0</v>
      </c>
      <c r="U695" s="9">
        <f t="shared" si="256"/>
        <v>0</v>
      </c>
      <c r="V695" s="9">
        <f t="shared" si="257"/>
        <v>0</v>
      </c>
      <c r="W695" s="9">
        <f t="shared" si="258"/>
        <v>0</v>
      </c>
      <c r="X695" s="9">
        <f t="shared" si="259"/>
        <v>0</v>
      </c>
      <c r="Y695" s="9">
        <f t="shared" si="260"/>
        <v>0</v>
      </c>
      <c r="Z695" s="9">
        <f t="shared" si="261"/>
        <v>0</v>
      </c>
      <c r="AA695" s="10">
        <f t="shared" si="262"/>
        <v>0</v>
      </c>
    </row>
    <row r="696" spans="1:27" x14ac:dyDescent="0.3">
      <c r="A696" s="4" t="s">
        <v>1303</v>
      </c>
      <c r="B696" s="4">
        <f t="shared" si="240"/>
        <v>0</v>
      </c>
      <c r="C696" s="4">
        <f t="shared" si="241"/>
        <v>0</v>
      </c>
      <c r="D696" s="4">
        <f t="shared" si="242"/>
        <v>0</v>
      </c>
      <c r="E696" s="4">
        <f t="shared" si="243"/>
        <v>0</v>
      </c>
      <c r="F696" s="4">
        <f t="shared" si="244"/>
        <v>1</v>
      </c>
      <c r="G696" s="4">
        <f t="shared" si="245"/>
        <v>0</v>
      </c>
      <c r="I696" s="11" t="s">
        <v>990</v>
      </c>
      <c r="J696" s="9">
        <f t="shared" si="246"/>
        <v>0</v>
      </c>
      <c r="K696" s="9">
        <f t="shared" si="263"/>
        <v>0</v>
      </c>
      <c r="L696" s="9">
        <f t="shared" si="247"/>
        <v>0</v>
      </c>
      <c r="M696" s="9">
        <f t="shared" si="248"/>
        <v>0</v>
      </c>
      <c r="N696" s="9">
        <f t="shared" si="249"/>
        <v>1</v>
      </c>
      <c r="O696" s="9">
        <f t="shared" si="250"/>
        <v>0</v>
      </c>
      <c r="P696" s="9">
        <f t="shared" si="251"/>
        <v>0</v>
      </c>
      <c r="Q696" s="9">
        <f t="shared" si="252"/>
        <v>0</v>
      </c>
      <c r="R696" s="9">
        <f t="shared" si="253"/>
        <v>0</v>
      </c>
      <c r="S696" s="9">
        <f t="shared" si="254"/>
        <v>0</v>
      </c>
      <c r="T696" s="9">
        <f t="shared" si="255"/>
        <v>0</v>
      </c>
      <c r="U696" s="9">
        <f t="shared" si="256"/>
        <v>0</v>
      </c>
      <c r="V696" s="9">
        <f t="shared" si="257"/>
        <v>0</v>
      </c>
      <c r="W696" s="9">
        <f t="shared" si="258"/>
        <v>0</v>
      </c>
      <c r="X696" s="9">
        <f t="shared" si="259"/>
        <v>0</v>
      </c>
      <c r="Y696" s="9">
        <f t="shared" si="260"/>
        <v>0</v>
      </c>
      <c r="Z696" s="9">
        <f t="shared" si="261"/>
        <v>0</v>
      </c>
      <c r="AA696" s="10">
        <f t="shared" si="262"/>
        <v>0</v>
      </c>
    </row>
    <row r="697" spans="1:27" x14ac:dyDescent="0.3">
      <c r="A697" s="18" t="s">
        <v>1303</v>
      </c>
      <c r="B697" s="4">
        <f t="shared" si="240"/>
        <v>0</v>
      </c>
      <c r="C697" s="4">
        <f t="shared" si="241"/>
        <v>0</v>
      </c>
      <c r="D697" s="4">
        <f t="shared" si="242"/>
        <v>0</v>
      </c>
      <c r="E697" s="4">
        <f t="shared" si="243"/>
        <v>0</v>
      </c>
      <c r="F697" s="4">
        <f t="shared" si="244"/>
        <v>1</v>
      </c>
      <c r="G697" s="4">
        <f t="shared" si="245"/>
        <v>0</v>
      </c>
      <c r="I697" s="8" t="s">
        <v>988</v>
      </c>
      <c r="J697" s="9">
        <f t="shared" si="246"/>
        <v>0</v>
      </c>
      <c r="K697" s="9">
        <f t="shared" si="263"/>
        <v>0</v>
      </c>
      <c r="L697" s="9">
        <f t="shared" si="247"/>
        <v>1</v>
      </c>
      <c r="M697" s="9">
        <f t="shared" si="248"/>
        <v>0</v>
      </c>
      <c r="N697" s="9">
        <f t="shared" si="249"/>
        <v>0</v>
      </c>
      <c r="O697" s="9">
        <f t="shared" si="250"/>
        <v>0</v>
      </c>
      <c r="P697" s="9">
        <f t="shared" si="251"/>
        <v>0</v>
      </c>
      <c r="Q697" s="9">
        <f t="shared" si="252"/>
        <v>0</v>
      </c>
      <c r="R697" s="9">
        <f t="shared" si="253"/>
        <v>0</v>
      </c>
      <c r="S697" s="9">
        <f t="shared" si="254"/>
        <v>0</v>
      </c>
      <c r="T697" s="9">
        <f t="shared" si="255"/>
        <v>0</v>
      </c>
      <c r="U697" s="9">
        <f t="shared" si="256"/>
        <v>0</v>
      </c>
      <c r="V697" s="9">
        <f t="shared" si="257"/>
        <v>0</v>
      </c>
      <c r="W697" s="9">
        <f t="shared" si="258"/>
        <v>0</v>
      </c>
      <c r="X697" s="9">
        <f t="shared" si="259"/>
        <v>0</v>
      </c>
      <c r="Y697" s="9">
        <f t="shared" si="260"/>
        <v>0</v>
      </c>
      <c r="Z697" s="9">
        <f t="shared" si="261"/>
        <v>0</v>
      </c>
      <c r="AA697" s="10">
        <f t="shared" si="262"/>
        <v>0</v>
      </c>
    </row>
    <row r="698" spans="1:27" x14ac:dyDescent="0.3">
      <c r="A698" s="4" t="s">
        <v>1303</v>
      </c>
      <c r="B698" s="4">
        <f t="shared" si="240"/>
        <v>0</v>
      </c>
      <c r="C698" s="4">
        <f t="shared" si="241"/>
        <v>0</v>
      </c>
      <c r="D698" s="4">
        <f t="shared" si="242"/>
        <v>0</v>
      </c>
      <c r="E698" s="4">
        <f t="shared" si="243"/>
        <v>0</v>
      </c>
      <c r="F698" s="4">
        <f t="shared" si="244"/>
        <v>1</v>
      </c>
      <c r="G698" s="4">
        <f t="shared" si="245"/>
        <v>0</v>
      </c>
      <c r="I698" s="11" t="s">
        <v>1044</v>
      </c>
      <c r="J698" s="9">
        <f t="shared" si="246"/>
        <v>0</v>
      </c>
      <c r="K698" s="9">
        <f t="shared" si="263"/>
        <v>0</v>
      </c>
      <c r="L698" s="9">
        <f t="shared" si="247"/>
        <v>0</v>
      </c>
      <c r="M698" s="9">
        <f t="shared" si="248"/>
        <v>0</v>
      </c>
      <c r="N698" s="9">
        <f t="shared" si="249"/>
        <v>0</v>
      </c>
      <c r="O698" s="9">
        <f t="shared" si="250"/>
        <v>0</v>
      </c>
      <c r="P698" s="9">
        <f t="shared" si="251"/>
        <v>0</v>
      </c>
      <c r="Q698" s="9">
        <f t="shared" si="252"/>
        <v>0</v>
      </c>
      <c r="R698" s="9">
        <f t="shared" si="253"/>
        <v>0</v>
      </c>
      <c r="S698" s="9">
        <f t="shared" si="254"/>
        <v>0</v>
      </c>
      <c r="T698" s="9">
        <f t="shared" si="255"/>
        <v>0</v>
      </c>
      <c r="U698" s="9">
        <f t="shared" si="256"/>
        <v>1</v>
      </c>
      <c r="V698" s="9">
        <f t="shared" si="257"/>
        <v>0</v>
      </c>
      <c r="W698" s="9">
        <f t="shared" si="258"/>
        <v>0</v>
      </c>
      <c r="X698" s="9">
        <f t="shared" si="259"/>
        <v>0</v>
      </c>
      <c r="Y698" s="9">
        <f t="shared" si="260"/>
        <v>0</v>
      </c>
      <c r="Z698" s="9">
        <f t="shared" si="261"/>
        <v>0</v>
      </c>
      <c r="AA698" s="10">
        <f t="shared" si="262"/>
        <v>0</v>
      </c>
    </row>
    <row r="699" spans="1:27" x14ac:dyDescent="0.3">
      <c r="A699" s="18" t="s">
        <v>1303</v>
      </c>
      <c r="B699" s="4">
        <f t="shared" si="240"/>
        <v>0</v>
      </c>
      <c r="C699" s="4">
        <f t="shared" si="241"/>
        <v>0</v>
      </c>
      <c r="D699" s="4">
        <f t="shared" si="242"/>
        <v>0</v>
      </c>
      <c r="E699" s="4">
        <f t="shared" si="243"/>
        <v>0</v>
      </c>
      <c r="F699" s="4">
        <f t="shared" si="244"/>
        <v>1</v>
      </c>
      <c r="G699" s="4">
        <f t="shared" si="245"/>
        <v>0</v>
      </c>
      <c r="I699" s="8" t="s">
        <v>1026</v>
      </c>
      <c r="J699" s="9">
        <f t="shared" si="246"/>
        <v>0</v>
      </c>
      <c r="K699" s="9">
        <f t="shared" si="263"/>
        <v>0</v>
      </c>
      <c r="L699" s="9">
        <f t="shared" si="247"/>
        <v>0</v>
      </c>
      <c r="M699" s="9">
        <f t="shared" si="248"/>
        <v>0</v>
      </c>
      <c r="N699" s="9">
        <f t="shared" si="249"/>
        <v>0</v>
      </c>
      <c r="O699" s="9">
        <f t="shared" si="250"/>
        <v>0</v>
      </c>
      <c r="P699" s="9">
        <f t="shared" si="251"/>
        <v>0</v>
      </c>
      <c r="Q699" s="9">
        <f t="shared" si="252"/>
        <v>0</v>
      </c>
      <c r="R699" s="9">
        <f t="shared" si="253"/>
        <v>0</v>
      </c>
      <c r="S699" s="9">
        <f t="shared" si="254"/>
        <v>0</v>
      </c>
      <c r="T699" s="9">
        <f t="shared" si="255"/>
        <v>1</v>
      </c>
      <c r="U699" s="9">
        <f t="shared" si="256"/>
        <v>0</v>
      </c>
      <c r="V699" s="9">
        <f t="shared" si="257"/>
        <v>0</v>
      </c>
      <c r="W699" s="9">
        <f t="shared" si="258"/>
        <v>0</v>
      </c>
      <c r="X699" s="9">
        <f t="shared" si="259"/>
        <v>0</v>
      </c>
      <c r="Y699" s="9">
        <f t="shared" si="260"/>
        <v>0</v>
      </c>
      <c r="Z699" s="9">
        <f t="shared" si="261"/>
        <v>0</v>
      </c>
      <c r="AA699" s="10">
        <f t="shared" si="262"/>
        <v>0</v>
      </c>
    </row>
    <row r="700" spans="1:27" x14ac:dyDescent="0.3">
      <c r="A700" s="4" t="s">
        <v>1303</v>
      </c>
      <c r="B700" s="4">
        <f t="shared" si="240"/>
        <v>0</v>
      </c>
      <c r="C700" s="4">
        <f t="shared" si="241"/>
        <v>0</v>
      </c>
      <c r="D700" s="4">
        <f t="shared" si="242"/>
        <v>0</v>
      </c>
      <c r="E700" s="4">
        <f t="shared" si="243"/>
        <v>0</v>
      </c>
      <c r="F700" s="4">
        <f t="shared" si="244"/>
        <v>1</v>
      </c>
      <c r="G700" s="4">
        <f t="shared" si="245"/>
        <v>0</v>
      </c>
      <c r="I700" s="11" t="s">
        <v>1044</v>
      </c>
      <c r="J700" s="9">
        <f t="shared" si="246"/>
        <v>0</v>
      </c>
      <c r="K700" s="9">
        <f t="shared" si="263"/>
        <v>0</v>
      </c>
      <c r="L700" s="9">
        <f t="shared" si="247"/>
        <v>0</v>
      </c>
      <c r="M700" s="9">
        <f t="shared" si="248"/>
        <v>0</v>
      </c>
      <c r="N700" s="9">
        <f t="shared" si="249"/>
        <v>0</v>
      </c>
      <c r="O700" s="9">
        <f t="shared" si="250"/>
        <v>0</v>
      </c>
      <c r="P700" s="9">
        <f t="shared" si="251"/>
        <v>0</v>
      </c>
      <c r="Q700" s="9">
        <f t="shared" si="252"/>
        <v>0</v>
      </c>
      <c r="R700" s="9">
        <f t="shared" si="253"/>
        <v>0</v>
      </c>
      <c r="S700" s="9">
        <f t="shared" si="254"/>
        <v>0</v>
      </c>
      <c r="T700" s="9">
        <f t="shared" si="255"/>
        <v>0</v>
      </c>
      <c r="U700" s="9">
        <f t="shared" si="256"/>
        <v>1</v>
      </c>
      <c r="V700" s="9">
        <f t="shared" si="257"/>
        <v>0</v>
      </c>
      <c r="W700" s="9">
        <f t="shared" si="258"/>
        <v>0</v>
      </c>
      <c r="X700" s="9">
        <f t="shared" si="259"/>
        <v>0</v>
      </c>
      <c r="Y700" s="9">
        <f t="shared" si="260"/>
        <v>0</v>
      </c>
      <c r="Z700" s="9">
        <f t="shared" si="261"/>
        <v>0</v>
      </c>
      <c r="AA700" s="10">
        <f t="shared" si="262"/>
        <v>0</v>
      </c>
    </row>
    <row r="701" spans="1:27" x14ac:dyDescent="0.3">
      <c r="A701" s="18" t="s">
        <v>1305</v>
      </c>
      <c r="B701" s="4">
        <f t="shared" si="240"/>
        <v>0</v>
      </c>
      <c r="C701" s="4">
        <f t="shared" si="241"/>
        <v>0</v>
      </c>
      <c r="D701" s="4">
        <f t="shared" si="242"/>
        <v>0</v>
      </c>
      <c r="E701" s="4">
        <f t="shared" si="243"/>
        <v>0</v>
      </c>
      <c r="F701" s="4">
        <f t="shared" si="244"/>
        <v>0</v>
      </c>
      <c r="G701" s="4">
        <f t="shared" si="245"/>
        <v>1</v>
      </c>
      <c r="I701" s="8" t="s">
        <v>977</v>
      </c>
      <c r="J701" s="9">
        <f t="shared" si="246"/>
        <v>1</v>
      </c>
      <c r="K701" s="9">
        <f t="shared" si="263"/>
        <v>0</v>
      </c>
      <c r="L701" s="9">
        <f t="shared" si="247"/>
        <v>0</v>
      </c>
      <c r="M701" s="9">
        <f t="shared" si="248"/>
        <v>0</v>
      </c>
      <c r="N701" s="9">
        <f t="shared" si="249"/>
        <v>0</v>
      </c>
      <c r="O701" s="9">
        <f t="shared" si="250"/>
        <v>0</v>
      </c>
      <c r="P701" s="9">
        <f t="shared" si="251"/>
        <v>0</v>
      </c>
      <c r="Q701" s="9">
        <f t="shared" si="252"/>
        <v>0</v>
      </c>
      <c r="R701" s="9">
        <f t="shared" si="253"/>
        <v>0</v>
      </c>
      <c r="S701" s="9">
        <f t="shared" si="254"/>
        <v>0</v>
      </c>
      <c r="T701" s="9">
        <f t="shared" si="255"/>
        <v>0</v>
      </c>
      <c r="U701" s="9">
        <f t="shared" si="256"/>
        <v>0</v>
      </c>
      <c r="V701" s="9">
        <f t="shared" si="257"/>
        <v>0</v>
      </c>
      <c r="W701" s="9">
        <f t="shared" si="258"/>
        <v>0</v>
      </c>
      <c r="X701" s="9">
        <f t="shared" si="259"/>
        <v>0</v>
      </c>
      <c r="Y701" s="9">
        <f t="shared" si="260"/>
        <v>0</v>
      </c>
      <c r="Z701" s="9">
        <f t="shared" si="261"/>
        <v>0</v>
      </c>
      <c r="AA701" s="10">
        <f t="shared" si="262"/>
        <v>0</v>
      </c>
    </row>
    <row r="702" spans="1:27" x14ac:dyDescent="0.3">
      <c r="A702" s="4" t="s">
        <v>1304</v>
      </c>
      <c r="B702" s="4">
        <f t="shared" si="240"/>
        <v>0</v>
      </c>
      <c r="C702" s="4">
        <f t="shared" si="241"/>
        <v>1</v>
      </c>
      <c r="D702" s="4">
        <f t="shared" si="242"/>
        <v>0</v>
      </c>
      <c r="E702" s="4">
        <f t="shared" si="243"/>
        <v>0</v>
      </c>
      <c r="F702" s="4">
        <f t="shared" si="244"/>
        <v>0</v>
      </c>
      <c r="G702" s="4">
        <f t="shared" si="245"/>
        <v>0</v>
      </c>
      <c r="I702" s="11" t="s">
        <v>988</v>
      </c>
      <c r="J702" s="9">
        <f t="shared" si="246"/>
        <v>0</v>
      </c>
      <c r="K702" s="9">
        <f t="shared" si="263"/>
        <v>0</v>
      </c>
      <c r="L702" s="9">
        <f t="shared" si="247"/>
        <v>1</v>
      </c>
      <c r="M702" s="9">
        <f t="shared" si="248"/>
        <v>0</v>
      </c>
      <c r="N702" s="9">
        <f t="shared" si="249"/>
        <v>0</v>
      </c>
      <c r="O702" s="9">
        <f t="shared" si="250"/>
        <v>0</v>
      </c>
      <c r="P702" s="9">
        <f t="shared" si="251"/>
        <v>0</v>
      </c>
      <c r="Q702" s="9">
        <f t="shared" si="252"/>
        <v>0</v>
      </c>
      <c r="R702" s="9">
        <f t="shared" si="253"/>
        <v>0</v>
      </c>
      <c r="S702" s="9">
        <f t="shared" si="254"/>
        <v>0</v>
      </c>
      <c r="T702" s="9">
        <f t="shared" si="255"/>
        <v>0</v>
      </c>
      <c r="U702" s="9">
        <f t="shared" si="256"/>
        <v>0</v>
      </c>
      <c r="V702" s="9">
        <f t="shared" si="257"/>
        <v>0</v>
      </c>
      <c r="W702" s="9">
        <f t="shared" si="258"/>
        <v>0</v>
      </c>
      <c r="X702" s="9">
        <f t="shared" si="259"/>
        <v>0</v>
      </c>
      <c r="Y702" s="9">
        <f t="shared" si="260"/>
        <v>0</v>
      </c>
      <c r="Z702" s="9">
        <f t="shared" si="261"/>
        <v>0</v>
      </c>
      <c r="AA702" s="10">
        <f t="shared" si="262"/>
        <v>0</v>
      </c>
    </row>
    <row r="703" spans="1:27" x14ac:dyDescent="0.3">
      <c r="A703" s="18" t="s">
        <v>1302</v>
      </c>
      <c r="B703" s="4">
        <f t="shared" si="240"/>
        <v>1</v>
      </c>
      <c r="C703" s="4">
        <f t="shared" si="241"/>
        <v>0</v>
      </c>
      <c r="D703" s="4">
        <f t="shared" si="242"/>
        <v>0</v>
      </c>
      <c r="E703" s="4">
        <f t="shared" si="243"/>
        <v>0</v>
      </c>
      <c r="F703" s="4">
        <f t="shared" si="244"/>
        <v>0</v>
      </c>
      <c r="G703" s="4">
        <f t="shared" si="245"/>
        <v>0</v>
      </c>
      <c r="I703" s="8" t="s">
        <v>1044</v>
      </c>
      <c r="J703" s="9">
        <f t="shared" si="246"/>
        <v>0</v>
      </c>
      <c r="K703" s="9">
        <f t="shared" si="263"/>
        <v>0</v>
      </c>
      <c r="L703" s="9">
        <f t="shared" si="247"/>
        <v>0</v>
      </c>
      <c r="M703" s="9">
        <f t="shared" si="248"/>
        <v>0</v>
      </c>
      <c r="N703" s="9">
        <f t="shared" si="249"/>
        <v>0</v>
      </c>
      <c r="O703" s="9">
        <f t="shared" si="250"/>
        <v>0</v>
      </c>
      <c r="P703" s="9">
        <f t="shared" si="251"/>
        <v>0</v>
      </c>
      <c r="Q703" s="9">
        <f t="shared" si="252"/>
        <v>0</v>
      </c>
      <c r="R703" s="9">
        <f t="shared" si="253"/>
        <v>0</v>
      </c>
      <c r="S703" s="9">
        <f t="shared" si="254"/>
        <v>0</v>
      </c>
      <c r="T703" s="9">
        <f t="shared" si="255"/>
        <v>0</v>
      </c>
      <c r="U703" s="9">
        <f t="shared" si="256"/>
        <v>1</v>
      </c>
      <c r="V703" s="9">
        <f t="shared" si="257"/>
        <v>0</v>
      </c>
      <c r="W703" s="9">
        <f t="shared" si="258"/>
        <v>0</v>
      </c>
      <c r="X703" s="9">
        <f t="shared" si="259"/>
        <v>0</v>
      </c>
      <c r="Y703" s="9">
        <f t="shared" si="260"/>
        <v>0</v>
      </c>
      <c r="Z703" s="9">
        <f t="shared" si="261"/>
        <v>0</v>
      </c>
      <c r="AA703" s="10">
        <f t="shared" si="262"/>
        <v>0</v>
      </c>
    </row>
    <row r="704" spans="1:27" x14ac:dyDescent="0.3">
      <c r="A704" s="4" t="s">
        <v>1303</v>
      </c>
      <c r="B704" s="4">
        <f t="shared" si="240"/>
        <v>0</v>
      </c>
      <c r="C704" s="4">
        <f t="shared" si="241"/>
        <v>0</v>
      </c>
      <c r="D704" s="4">
        <f t="shared" si="242"/>
        <v>0</v>
      </c>
      <c r="E704" s="4">
        <f t="shared" si="243"/>
        <v>0</v>
      </c>
      <c r="F704" s="4">
        <f t="shared" si="244"/>
        <v>1</v>
      </c>
      <c r="G704" s="4">
        <f t="shared" si="245"/>
        <v>0</v>
      </c>
      <c r="I704" s="11" t="s">
        <v>977</v>
      </c>
      <c r="J704" s="9">
        <f t="shared" si="246"/>
        <v>1</v>
      </c>
      <c r="K704" s="9">
        <f t="shared" si="263"/>
        <v>0</v>
      </c>
      <c r="L704" s="9">
        <f t="shared" si="247"/>
        <v>0</v>
      </c>
      <c r="M704" s="9">
        <f t="shared" si="248"/>
        <v>0</v>
      </c>
      <c r="N704" s="9">
        <f t="shared" si="249"/>
        <v>0</v>
      </c>
      <c r="O704" s="9">
        <f t="shared" si="250"/>
        <v>0</v>
      </c>
      <c r="P704" s="9">
        <f t="shared" si="251"/>
        <v>0</v>
      </c>
      <c r="Q704" s="9">
        <f t="shared" si="252"/>
        <v>0</v>
      </c>
      <c r="R704" s="9">
        <f t="shared" si="253"/>
        <v>0</v>
      </c>
      <c r="S704" s="9">
        <f t="shared" si="254"/>
        <v>0</v>
      </c>
      <c r="T704" s="9">
        <f t="shared" si="255"/>
        <v>0</v>
      </c>
      <c r="U704" s="9">
        <f t="shared" si="256"/>
        <v>0</v>
      </c>
      <c r="V704" s="9">
        <f t="shared" si="257"/>
        <v>0</v>
      </c>
      <c r="W704" s="9">
        <f t="shared" si="258"/>
        <v>0</v>
      </c>
      <c r="X704" s="9">
        <f t="shared" si="259"/>
        <v>0</v>
      </c>
      <c r="Y704" s="9">
        <f t="shared" si="260"/>
        <v>0</v>
      </c>
      <c r="Z704" s="9">
        <f t="shared" si="261"/>
        <v>0</v>
      </c>
      <c r="AA704" s="10">
        <f t="shared" si="262"/>
        <v>0</v>
      </c>
    </row>
    <row r="705" spans="1:27" x14ac:dyDescent="0.3">
      <c r="A705" s="18" t="s">
        <v>1303</v>
      </c>
      <c r="B705" s="4">
        <f t="shared" si="240"/>
        <v>0</v>
      </c>
      <c r="C705" s="4">
        <f t="shared" si="241"/>
        <v>0</v>
      </c>
      <c r="D705" s="4">
        <f t="shared" si="242"/>
        <v>0</v>
      </c>
      <c r="E705" s="4">
        <f t="shared" si="243"/>
        <v>0</v>
      </c>
      <c r="F705" s="4">
        <f t="shared" si="244"/>
        <v>1</v>
      </c>
      <c r="G705" s="4">
        <f t="shared" si="245"/>
        <v>0</v>
      </c>
      <c r="I705" s="8" t="s">
        <v>996</v>
      </c>
      <c r="J705" s="9">
        <f t="shared" si="246"/>
        <v>0</v>
      </c>
      <c r="K705" s="9">
        <f t="shared" si="263"/>
        <v>0</v>
      </c>
      <c r="L705" s="9">
        <f t="shared" si="247"/>
        <v>0</v>
      </c>
      <c r="M705" s="9">
        <f t="shared" si="248"/>
        <v>0</v>
      </c>
      <c r="N705" s="9">
        <f t="shared" si="249"/>
        <v>0</v>
      </c>
      <c r="O705" s="9">
        <f t="shared" si="250"/>
        <v>0</v>
      </c>
      <c r="P705" s="9">
        <f t="shared" si="251"/>
        <v>0</v>
      </c>
      <c r="Q705" s="9">
        <f t="shared" si="252"/>
        <v>1</v>
      </c>
      <c r="R705" s="9">
        <f t="shared" si="253"/>
        <v>0</v>
      </c>
      <c r="S705" s="9">
        <f t="shared" si="254"/>
        <v>0</v>
      </c>
      <c r="T705" s="9">
        <f t="shared" si="255"/>
        <v>0</v>
      </c>
      <c r="U705" s="9">
        <f t="shared" si="256"/>
        <v>0</v>
      </c>
      <c r="V705" s="9">
        <f t="shared" si="257"/>
        <v>0</v>
      </c>
      <c r="W705" s="9">
        <f t="shared" si="258"/>
        <v>0</v>
      </c>
      <c r="X705" s="9">
        <f t="shared" si="259"/>
        <v>0</v>
      </c>
      <c r="Y705" s="9">
        <f t="shared" si="260"/>
        <v>0</v>
      </c>
      <c r="Z705" s="9">
        <f t="shared" si="261"/>
        <v>0</v>
      </c>
      <c r="AA705" s="10">
        <f t="shared" si="262"/>
        <v>0</v>
      </c>
    </row>
    <row r="706" spans="1:27" x14ac:dyDescent="0.3">
      <c r="A706" s="4" t="s">
        <v>1303</v>
      </c>
      <c r="B706" s="4">
        <f t="shared" si="240"/>
        <v>0</v>
      </c>
      <c r="C706" s="4">
        <f t="shared" si="241"/>
        <v>0</v>
      </c>
      <c r="D706" s="4">
        <f t="shared" si="242"/>
        <v>0</v>
      </c>
      <c r="E706" s="4">
        <f t="shared" si="243"/>
        <v>0</v>
      </c>
      <c r="F706" s="4">
        <f t="shared" si="244"/>
        <v>1</v>
      </c>
      <c r="G706" s="4">
        <f t="shared" si="245"/>
        <v>0</v>
      </c>
      <c r="I706" s="11" t="s">
        <v>996</v>
      </c>
      <c r="J706" s="9">
        <f t="shared" si="246"/>
        <v>0</v>
      </c>
      <c r="K706" s="9">
        <f t="shared" si="263"/>
        <v>0</v>
      </c>
      <c r="L706" s="9">
        <f t="shared" si="247"/>
        <v>0</v>
      </c>
      <c r="M706" s="9">
        <f t="shared" si="248"/>
        <v>0</v>
      </c>
      <c r="N706" s="9">
        <f t="shared" si="249"/>
        <v>0</v>
      </c>
      <c r="O706" s="9">
        <f t="shared" si="250"/>
        <v>0</v>
      </c>
      <c r="P706" s="9">
        <f t="shared" si="251"/>
        <v>0</v>
      </c>
      <c r="Q706" s="9">
        <f t="shared" si="252"/>
        <v>1</v>
      </c>
      <c r="R706" s="9">
        <f t="shared" si="253"/>
        <v>0</v>
      </c>
      <c r="S706" s="9">
        <f t="shared" si="254"/>
        <v>0</v>
      </c>
      <c r="T706" s="9">
        <f t="shared" si="255"/>
        <v>0</v>
      </c>
      <c r="U706" s="9">
        <f t="shared" si="256"/>
        <v>0</v>
      </c>
      <c r="V706" s="9">
        <f t="shared" si="257"/>
        <v>0</v>
      </c>
      <c r="W706" s="9">
        <f t="shared" si="258"/>
        <v>0</v>
      </c>
      <c r="X706" s="9">
        <f t="shared" si="259"/>
        <v>0</v>
      </c>
      <c r="Y706" s="9">
        <f t="shared" si="260"/>
        <v>0</v>
      </c>
      <c r="Z706" s="9">
        <f t="shared" si="261"/>
        <v>0</v>
      </c>
      <c r="AA706" s="10">
        <f t="shared" si="262"/>
        <v>0</v>
      </c>
    </row>
    <row r="707" spans="1:27" x14ac:dyDescent="0.3">
      <c r="A707" s="18" t="s">
        <v>1303</v>
      </c>
      <c r="B707" s="4">
        <f t="shared" si="240"/>
        <v>0</v>
      </c>
      <c r="C707" s="4">
        <f t="shared" si="241"/>
        <v>0</v>
      </c>
      <c r="D707" s="4">
        <f t="shared" si="242"/>
        <v>0</v>
      </c>
      <c r="E707" s="4">
        <f t="shared" si="243"/>
        <v>0</v>
      </c>
      <c r="F707" s="4">
        <f t="shared" si="244"/>
        <v>1</v>
      </c>
      <c r="G707" s="4">
        <f t="shared" si="245"/>
        <v>0</v>
      </c>
      <c r="I707" s="8" t="s">
        <v>977</v>
      </c>
      <c r="J707" s="9">
        <f t="shared" si="246"/>
        <v>1</v>
      </c>
      <c r="K707" s="9">
        <f t="shared" si="263"/>
        <v>0</v>
      </c>
      <c r="L707" s="9">
        <f t="shared" si="247"/>
        <v>0</v>
      </c>
      <c r="M707" s="9">
        <f t="shared" si="248"/>
        <v>0</v>
      </c>
      <c r="N707" s="9">
        <f t="shared" si="249"/>
        <v>0</v>
      </c>
      <c r="O707" s="9">
        <f t="shared" si="250"/>
        <v>0</v>
      </c>
      <c r="P707" s="9">
        <f t="shared" si="251"/>
        <v>0</v>
      </c>
      <c r="Q707" s="9">
        <f t="shared" si="252"/>
        <v>0</v>
      </c>
      <c r="R707" s="9">
        <f t="shared" si="253"/>
        <v>0</v>
      </c>
      <c r="S707" s="9">
        <f t="shared" si="254"/>
        <v>0</v>
      </c>
      <c r="T707" s="9">
        <f t="shared" si="255"/>
        <v>0</v>
      </c>
      <c r="U707" s="9">
        <f t="shared" si="256"/>
        <v>0</v>
      </c>
      <c r="V707" s="9">
        <f t="shared" si="257"/>
        <v>0</v>
      </c>
      <c r="W707" s="9">
        <f t="shared" si="258"/>
        <v>0</v>
      </c>
      <c r="X707" s="9">
        <f t="shared" si="259"/>
        <v>0</v>
      </c>
      <c r="Y707" s="9">
        <f t="shared" si="260"/>
        <v>0</v>
      </c>
      <c r="Z707" s="9">
        <f t="shared" si="261"/>
        <v>0</v>
      </c>
      <c r="AA707" s="10">
        <f t="shared" si="262"/>
        <v>0</v>
      </c>
    </row>
    <row r="708" spans="1:27" x14ac:dyDescent="0.3">
      <c r="A708" s="4" t="s">
        <v>1305</v>
      </c>
      <c r="B708" s="4">
        <f t="shared" ref="B708:B771" si="264">IF($A708="Asia",1,0)</f>
        <v>0</v>
      </c>
      <c r="C708" s="4">
        <f t="shared" ref="C708:C771" si="265">IF(A708="Europe",1,0)</f>
        <v>0</v>
      </c>
      <c r="D708" s="4">
        <f t="shared" ref="D708:D771" si="266">IF(A708="Africa",1,0)</f>
        <v>0</v>
      </c>
      <c r="E708" s="4">
        <f t="shared" ref="E708:E771" si="267">IF($A708="Australia",1,0)</f>
        <v>0</v>
      </c>
      <c r="F708" s="4">
        <f t="shared" ref="F708:F771" si="268">IF($A708="North America",1,0)</f>
        <v>0</v>
      </c>
      <c r="G708" s="4">
        <f t="shared" ref="G708:G771" si="269">IF($A708="South America",1,0)</f>
        <v>1</v>
      </c>
      <c r="I708" s="11" t="s">
        <v>994</v>
      </c>
      <c r="J708" s="9">
        <f t="shared" ref="J708:J771" si="270">IF(I708="Music",1,0)</f>
        <v>0</v>
      </c>
      <c r="K708" s="9">
        <f t="shared" si="263"/>
        <v>0</v>
      </c>
      <c r="L708" s="9">
        <f t="shared" ref="L708:L771" si="271">IF(I708="Entertainment",1,0)</f>
        <v>0</v>
      </c>
      <c r="M708" s="9">
        <f t="shared" ref="M708:M771" si="272">IF(I708="Nonprofits &amp; Activism",1,0)</f>
        <v>0</v>
      </c>
      <c r="N708" s="9">
        <f t="shared" ref="N708:N771" si="273">IF(I708="Education",1,0)</f>
        <v>0</v>
      </c>
      <c r="O708" s="9">
        <f t="shared" ref="O708:O771" si="274">IF(I708="Shows",1,0)</f>
        <v>0</v>
      </c>
      <c r="P708" s="9">
        <f t="shared" ref="P708:P771" si="275">IF(I708="People &amp; Blogs",1,0)</f>
        <v>1</v>
      </c>
      <c r="Q708" s="9">
        <f t="shared" ref="Q708:Q771" si="276">IF(I708="Gaming",1,0)</f>
        <v>0</v>
      </c>
      <c r="R708" s="9">
        <f t="shared" ref="R708:R771" si="277">IF(I708="Sports",1,0)</f>
        <v>0</v>
      </c>
      <c r="S708" s="9">
        <f t="shared" ref="S708:S771" si="278">IF(I708="Howto &amp; Style",1,0)</f>
        <v>0</v>
      </c>
      <c r="T708" s="9">
        <f t="shared" ref="T708:T771" si="279">IF(I708="News &amp; Politics",1,0)</f>
        <v>0</v>
      </c>
      <c r="U708" s="9">
        <f t="shared" ref="U708:U771" si="280">IF(I708="Comedy",1,0)</f>
        <v>0</v>
      </c>
      <c r="V708" s="9">
        <f t="shared" ref="V708:V771" si="281">IF(I708="Trailers",1,0)</f>
        <v>0</v>
      </c>
      <c r="W708" s="9">
        <f t="shared" ref="W708:W771" si="282">IF(I708="Movies",1,0)</f>
        <v>0</v>
      </c>
      <c r="X708" s="9">
        <f t="shared" ref="X708:X771" si="283">IF(I708="Autos &amp; Vehicles",1,0)</f>
        <v>0</v>
      </c>
      <c r="Y708" s="9">
        <f t="shared" ref="Y708:Y771" si="284">IF(I708="Pets &amp; Animals",1,0)</f>
        <v>0</v>
      </c>
      <c r="Z708" s="9">
        <f t="shared" ref="Z708:Z771" si="285">IF(I708="Science &amp; Technology",1,0)</f>
        <v>0</v>
      </c>
      <c r="AA708" s="10">
        <f t="shared" ref="AA708:AA771" si="286">IF(I708="Travel &amp; Events",1,0)</f>
        <v>0</v>
      </c>
    </row>
    <row r="709" spans="1:27" x14ac:dyDescent="0.3">
      <c r="A709" s="18" t="s">
        <v>1305</v>
      </c>
      <c r="B709" s="4">
        <f t="shared" si="264"/>
        <v>0</v>
      </c>
      <c r="C709" s="4">
        <f t="shared" si="265"/>
        <v>0</v>
      </c>
      <c r="D709" s="4">
        <f t="shared" si="266"/>
        <v>0</v>
      </c>
      <c r="E709" s="4">
        <f t="shared" si="267"/>
        <v>0</v>
      </c>
      <c r="F709" s="4">
        <f t="shared" si="268"/>
        <v>0</v>
      </c>
      <c r="G709" s="4">
        <f t="shared" si="269"/>
        <v>1</v>
      </c>
      <c r="I709" s="8" t="s">
        <v>977</v>
      </c>
      <c r="J709" s="9">
        <f t="shared" si="270"/>
        <v>1</v>
      </c>
      <c r="K709" s="9">
        <f t="shared" ref="K709:K772" si="287">IF(I709="Film &amp; Animation",1,0)</f>
        <v>0</v>
      </c>
      <c r="L709" s="9">
        <f t="shared" si="271"/>
        <v>0</v>
      </c>
      <c r="M709" s="9">
        <f t="shared" si="272"/>
        <v>0</v>
      </c>
      <c r="N709" s="9">
        <f t="shared" si="273"/>
        <v>0</v>
      </c>
      <c r="O709" s="9">
        <f t="shared" si="274"/>
        <v>0</v>
      </c>
      <c r="P709" s="9">
        <f t="shared" si="275"/>
        <v>0</v>
      </c>
      <c r="Q709" s="9">
        <f t="shared" si="276"/>
        <v>0</v>
      </c>
      <c r="R709" s="9">
        <f t="shared" si="277"/>
        <v>0</v>
      </c>
      <c r="S709" s="9">
        <f t="shared" si="278"/>
        <v>0</v>
      </c>
      <c r="T709" s="9">
        <f t="shared" si="279"/>
        <v>0</v>
      </c>
      <c r="U709" s="9">
        <f t="shared" si="280"/>
        <v>0</v>
      </c>
      <c r="V709" s="9">
        <f t="shared" si="281"/>
        <v>0</v>
      </c>
      <c r="W709" s="9">
        <f t="shared" si="282"/>
        <v>0</v>
      </c>
      <c r="X709" s="9">
        <f t="shared" si="283"/>
        <v>0</v>
      </c>
      <c r="Y709" s="9">
        <f t="shared" si="284"/>
        <v>0</v>
      </c>
      <c r="Z709" s="9">
        <f t="shared" si="285"/>
        <v>0</v>
      </c>
      <c r="AA709" s="10">
        <f t="shared" si="286"/>
        <v>0</v>
      </c>
    </row>
    <row r="710" spans="1:27" x14ac:dyDescent="0.3">
      <c r="A710" s="4" t="s">
        <v>1305</v>
      </c>
      <c r="B710" s="4">
        <f t="shared" si="264"/>
        <v>0</v>
      </c>
      <c r="C710" s="4">
        <f t="shared" si="265"/>
        <v>0</v>
      </c>
      <c r="D710" s="4">
        <f t="shared" si="266"/>
        <v>0</v>
      </c>
      <c r="E710" s="4">
        <f t="shared" si="267"/>
        <v>0</v>
      </c>
      <c r="F710" s="4">
        <f t="shared" si="268"/>
        <v>0</v>
      </c>
      <c r="G710" s="4">
        <f t="shared" si="269"/>
        <v>1</v>
      </c>
      <c r="I710" s="11" t="s">
        <v>1011</v>
      </c>
      <c r="J710" s="9">
        <f t="shared" si="270"/>
        <v>0</v>
      </c>
      <c r="K710" s="9">
        <f t="shared" si="287"/>
        <v>0</v>
      </c>
      <c r="L710" s="9">
        <f t="shared" si="271"/>
        <v>0</v>
      </c>
      <c r="M710" s="9">
        <f t="shared" si="272"/>
        <v>0</v>
      </c>
      <c r="N710" s="9">
        <f t="shared" si="273"/>
        <v>0</v>
      </c>
      <c r="O710" s="9">
        <f t="shared" si="274"/>
        <v>0</v>
      </c>
      <c r="P710" s="9">
        <f t="shared" si="275"/>
        <v>0</v>
      </c>
      <c r="Q710" s="9">
        <f t="shared" si="276"/>
        <v>0</v>
      </c>
      <c r="R710" s="9">
        <f t="shared" si="277"/>
        <v>0</v>
      </c>
      <c r="S710" s="9">
        <f t="shared" si="278"/>
        <v>1</v>
      </c>
      <c r="T710" s="9">
        <f t="shared" si="279"/>
        <v>0</v>
      </c>
      <c r="U710" s="9">
        <f t="shared" si="280"/>
        <v>0</v>
      </c>
      <c r="V710" s="9">
        <f t="shared" si="281"/>
        <v>0</v>
      </c>
      <c r="W710" s="9">
        <f t="shared" si="282"/>
        <v>0</v>
      </c>
      <c r="X710" s="9">
        <f t="shared" si="283"/>
        <v>0</v>
      </c>
      <c r="Y710" s="9">
        <f t="shared" si="284"/>
        <v>0</v>
      </c>
      <c r="Z710" s="9">
        <f t="shared" si="285"/>
        <v>0</v>
      </c>
      <c r="AA710" s="10">
        <f t="shared" si="286"/>
        <v>0</v>
      </c>
    </row>
    <row r="711" spans="1:27" x14ac:dyDescent="0.3">
      <c r="A711" s="18" t="s">
        <v>1304</v>
      </c>
      <c r="B711" s="4">
        <f t="shared" si="264"/>
        <v>0</v>
      </c>
      <c r="C711" s="4">
        <f t="shared" si="265"/>
        <v>1</v>
      </c>
      <c r="D711" s="4">
        <f t="shared" si="266"/>
        <v>0</v>
      </c>
      <c r="E711" s="4">
        <f t="shared" si="267"/>
        <v>0</v>
      </c>
      <c r="F711" s="4">
        <f t="shared" si="268"/>
        <v>0</v>
      </c>
      <c r="G711" s="4">
        <f t="shared" si="269"/>
        <v>0</v>
      </c>
      <c r="I711" s="8" t="s">
        <v>994</v>
      </c>
      <c r="J711" s="9">
        <f t="shared" si="270"/>
        <v>0</v>
      </c>
      <c r="K711" s="9">
        <f t="shared" si="287"/>
        <v>0</v>
      </c>
      <c r="L711" s="9">
        <f t="shared" si="271"/>
        <v>0</v>
      </c>
      <c r="M711" s="9">
        <f t="shared" si="272"/>
        <v>0</v>
      </c>
      <c r="N711" s="9">
        <f t="shared" si="273"/>
        <v>0</v>
      </c>
      <c r="O711" s="9">
        <f t="shared" si="274"/>
        <v>0</v>
      </c>
      <c r="P711" s="9">
        <f t="shared" si="275"/>
        <v>1</v>
      </c>
      <c r="Q711" s="9">
        <f t="shared" si="276"/>
        <v>0</v>
      </c>
      <c r="R711" s="9">
        <f t="shared" si="277"/>
        <v>0</v>
      </c>
      <c r="S711" s="9">
        <f t="shared" si="278"/>
        <v>0</v>
      </c>
      <c r="T711" s="9">
        <f t="shared" si="279"/>
        <v>0</v>
      </c>
      <c r="U711" s="9">
        <f t="shared" si="280"/>
        <v>0</v>
      </c>
      <c r="V711" s="9">
        <f t="shared" si="281"/>
        <v>0</v>
      </c>
      <c r="W711" s="9">
        <f t="shared" si="282"/>
        <v>0</v>
      </c>
      <c r="X711" s="9">
        <f t="shared" si="283"/>
        <v>0</v>
      </c>
      <c r="Y711" s="9">
        <f t="shared" si="284"/>
        <v>0</v>
      </c>
      <c r="Z711" s="9">
        <f t="shared" si="285"/>
        <v>0</v>
      </c>
      <c r="AA711" s="10">
        <f t="shared" si="286"/>
        <v>0</v>
      </c>
    </row>
    <row r="712" spans="1:27" x14ac:dyDescent="0.3">
      <c r="A712" s="4" t="s">
        <v>1305</v>
      </c>
      <c r="B712" s="4">
        <f t="shared" si="264"/>
        <v>0</v>
      </c>
      <c r="C712" s="4">
        <f t="shared" si="265"/>
        <v>0</v>
      </c>
      <c r="D712" s="4">
        <f t="shared" si="266"/>
        <v>0</v>
      </c>
      <c r="E712" s="4">
        <f t="shared" si="267"/>
        <v>0</v>
      </c>
      <c r="F712" s="4">
        <f t="shared" si="268"/>
        <v>0</v>
      </c>
      <c r="G712" s="4">
        <f t="shared" si="269"/>
        <v>1</v>
      </c>
      <c r="I712" s="11" t="s">
        <v>988</v>
      </c>
      <c r="J712" s="9">
        <f t="shared" si="270"/>
        <v>0</v>
      </c>
      <c r="K712" s="9">
        <f t="shared" si="287"/>
        <v>0</v>
      </c>
      <c r="L712" s="9">
        <f t="shared" si="271"/>
        <v>1</v>
      </c>
      <c r="M712" s="9">
        <f t="shared" si="272"/>
        <v>0</v>
      </c>
      <c r="N712" s="9">
        <f t="shared" si="273"/>
        <v>0</v>
      </c>
      <c r="O712" s="9">
        <f t="shared" si="274"/>
        <v>0</v>
      </c>
      <c r="P712" s="9">
        <f t="shared" si="275"/>
        <v>0</v>
      </c>
      <c r="Q712" s="9">
        <f t="shared" si="276"/>
        <v>0</v>
      </c>
      <c r="R712" s="9">
        <f t="shared" si="277"/>
        <v>0</v>
      </c>
      <c r="S712" s="9">
        <f t="shared" si="278"/>
        <v>0</v>
      </c>
      <c r="T712" s="9">
        <f t="shared" si="279"/>
        <v>0</v>
      </c>
      <c r="U712" s="9">
        <f t="shared" si="280"/>
        <v>0</v>
      </c>
      <c r="V712" s="9">
        <f t="shared" si="281"/>
        <v>0</v>
      </c>
      <c r="W712" s="9">
        <f t="shared" si="282"/>
        <v>0</v>
      </c>
      <c r="X712" s="9">
        <f t="shared" si="283"/>
        <v>0</v>
      </c>
      <c r="Y712" s="9">
        <f t="shared" si="284"/>
        <v>0</v>
      </c>
      <c r="Z712" s="9">
        <f t="shared" si="285"/>
        <v>0</v>
      </c>
      <c r="AA712" s="10">
        <f t="shared" si="286"/>
        <v>0</v>
      </c>
    </row>
    <row r="713" spans="1:27" x14ac:dyDescent="0.3">
      <c r="A713" s="18" t="s">
        <v>1294</v>
      </c>
      <c r="B713" s="4">
        <f t="shared" si="264"/>
        <v>0</v>
      </c>
      <c r="C713" s="4">
        <f t="shared" si="265"/>
        <v>0</v>
      </c>
      <c r="D713" s="4">
        <f t="shared" si="266"/>
        <v>0</v>
      </c>
      <c r="E713" s="4">
        <f t="shared" si="267"/>
        <v>0</v>
      </c>
      <c r="F713" s="4">
        <f t="shared" si="268"/>
        <v>0</v>
      </c>
      <c r="G713" s="4">
        <f t="shared" si="269"/>
        <v>0</v>
      </c>
      <c r="I713" s="8" t="s">
        <v>977</v>
      </c>
      <c r="J713" s="9">
        <f t="shared" si="270"/>
        <v>1</v>
      </c>
      <c r="K713" s="9">
        <f t="shared" si="287"/>
        <v>0</v>
      </c>
      <c r="L713" s="9">
        <f t="shared" si="271"/>
        <v>0</v>
      </c>
      <c r="M713" s="9">
        <f t="shared" si="272"/>
        <v>0</v>
      </c>
      <c r="N713" s="9">
        <f t="shared" si="273"/>
        <v>0</v>
      </c>
      <c r="O713" s="9">
        <f t="shared" si="274"/>
        <v>0</v>
      </c>
      <c r="P713" s="9">
        <f t="shared" si="275"/>
        <v>0</v>
      </c>
      <c r="Q713" s="9">
        <f t="shared" si="276"/>
        <v>0</v>
      </c>
      <c r="R713" s="9">
        <f t="shared" si="277"/>
        <v>0</v>
      </c>
      <c r="S713" s="9">
        <f t="shared" si="278"/>
        <v>0</v>
      </c>
      <c r="T713" s="9">
        <f t="shared" si="279"/>
        <v>0</v>
      </c>
      <c r="U713" s="9">
        <f t="shared" si="280"/>
        <v>0</v>
      </c>
      <c r="V713" s="9">
        <f t="shared" si="281"/>
        <v>0</v>
      </c>
      <c r="W713" s="9">
        <f t="shared" si="282"/>
        <v>0</v>
      </c>
      <c r="X713" s="9">
        <f t="shared" si="283"/>
        <v>0</v>
      </c>
      <c r="Y713" s="9">
        <f t="shared" si="284"/>
        <v>0</v>
      </c>
      <c r="Z713" s="9">
        <f t="shared" si="285"/>
        <v>0</v>
      </c>
      <c r="AA713" s="10">
        <f t="shared" si="286"/>
        <v>0</v>
      </c>
    </row>
    <row r="714" spans="1:27" x14ac:dyDescent="0.3">
      <c r="A714" s="4" t="s">
        <v>1302</v>
      </c>
      <c r="B714" s="4">
        <f t="shared" si="264"/>
        <v>1</v>
      </c>
      <c r="C714" s="4">
        <f t="shared" si="265"/>
        <v>0</v>
      </c>
      <c r="D714" s="4">
        <f t="shared" si="266"/>
        <v>0</v>
      </c>
      <c r="E714" s="4">
        <f t="shared" si="267"/>
        <v>0</v>
      </c>
      <c r="F714" s="4">
        <f t="shared" si="268"/>
        <v>0</v>
      </c>
      <c r="G714" s="4">
        <f t="shared" si="269"/>
        <v>0</v>
      </c>
      <c r="I714" s="11" t="s">
        <v>1294</v>
      </c>
      <c r="J714" s="9">
        <f t="shared" si="270"/>
        <v>0</v>
      </c>
      <c r="K714" s="9">
        <f t="shared" si="287"/>
        <v>0</v>
      </c>
      <c r="L714" s="9">
        <f t="shared" si="271"/>
        <v>0</v>
      </c>
      <c r="M714" s="9">
        <f t="shared" si="272"/>
        <v>0</v>
      </c>
      <c r="N714" s="9">
        <f t="shared" si="273"/>
        <v>0</v>
      </c>
      <c r="O714" s="9">
        <f t="shared" si="274"/>
        <v>0</v>
      </c>
      <c r="P714" s="9">
        <f t="shared" si="275"/>
        <v>0</v>
      </c>
      <c r="Q714" s="9">
        <f t="shared" si="276"/>
        <v>0</v>
      </c>
      <c r="R714" s="9">
        <f t="shared" si="277"/>
        <v>0</v>
      </c>
      <c r="S714" s="9">
        <f t="shared" si="278"/>
        <v>0</v>
      </c>
      <c r="T714" s="9">
        <f t="shared" si="279"/>
        <v>0</v>
      </c>
      <c r="U714" s="9">
        <f t="shared" si="280"/>
        <v>0</v>
      </c>
      <c r="V714" s="9">
        <f t="shared" si="281"/>
        <v>0</v>
      </c>
      <c r="W714" s="9">
        <f t="shared" si="282"/>
        <v>0</v>
      </c>
      <c r="X714" s="9">
        <f t="shared" si="283"/>
        <v>0</v>
      </c>
      <c r="Y714" s="9">
        <f t="shared" si="284"/>
        <v>0</v>
      </c>
      <c r="Z714" s="9">
        <f t="shared" si="285"/>
        <v>0</v>
      </c>
      <c r="AA714" s="10">
        <f t="shared" si="286"/>
        <v>0</v>
      </c>
    </row>
    <row r="715" spans="1:27" x14ac:dyDescent="0.3">
      <c r="A715" s="18" t="s">
        <v>1302</v>
      </c>
      <c r="B715" s="4">
        <f t="shared" si="264"/>
        <v>1</v>
      </c>
      <c r="C715" s="4">
        <f t="shared" si="265"/>
        <v>0</v>
      </c>
      <c r="D715" s="4">
        <f t="shared" si="266"/>
        <v>0</v>
      </c>
      <c r="E715" s="4">
        <f t="shared" si="267"/>
        <v>0</v>
      </c>
      <c r="F715" s="4">
        <f t="shared" si="268"/>
        <v>0</v>
      </c>
      <c r="G715" s="4">
        <f t="shared" si="269"/>
        <v>0</v>
      </c>
      <c r="I715" s="8" t="s">
        <v>994</v>
      </c>
      <c r="J715" s="9">
        <f t="shared" si="270"/>
        <v>0</v>
      </c>
      <c r="K715" s="9">
        <f t="shared" si="287"/>
        <v>0</v>
      </c>
      <c r="L715" s="9">
        <f t="shared" si="271"/>
        <v>0</v>
      </c>
      <c r="M715" s="9">
        <f t="shared" si="272"/>
        <v>0</v>
      </c>
      <c r="N715" s="9">
        <f t="shared" si="273"/>
        <v>0</v>
      </c>
      <c r="O715" s="9">
        <f t="shared" si="274"/>
        <v>0</v>
      </c>
      <c r="P715" s="9">
        <f t="shared" si="275"/>
        <v>1</v>
      </c>
      <c r="Q715" s="9">
        <f t="shared" si="276"/>
        <v>0</v>
      </c>
      <c r="R715" s="9">
        <f t="shared" si="277"/>
        <v>0</v>
      </c>
      <c r="S715" s="9">
        <f t="shared" si="278"/>
        <v>0</v>
      </c>
      <c r="T715" s="9">
        <f t="shared" si="279"/>
        <v>0</v>
      </c>
      <c r="U715" s="9">
        <f t="shared" si="280"/>
        <v>0</v>
      </c>
      <c r="V715" s="9">
        <f t="shared" si="281"/>
        <v>0</v>
      </c>
      <c r="W715" s="9">
        <f t="shared" si="282"/>
        <v>0</v>
      </c>
      <c r="X715" s="9">
        <f t="shared" si="283"/>
        <v>0</v>
      </c>
      <c r="Y715" s="9">
        <f t="shared" si="284"/>
        <v>0</v>
      </c>
      <c r="Z715" s="9">
        <f t="shared" si="285"/>
        <v>0</v>
      </c>
      <c r="AA715" s="10">
        <f t="shared" si="286"/>
        <v>0</v>
      </c>
    </row>
    <row r="716" spans="1:27" x14ac:dyDescent="0.3">
      <c r="A716" s="4" t="s">
        <v>1302</v>
      </c>
      <c r="B716" s="4">
        <f t="shared" si="264"/>
        <v>1</v>
      </c>
      <c r="C716" s="4">
        <f t="shared" si="265"/>
        <v>0</v>
      </c>
      <c r="D716" s="4">
        <f t="shared" si="266"/>
        <v>0</v>
      </c>
      <c r="E716" s="4">
        <f t="shared" si="267"/>
        <v>0</v>
      </c>
      <c r="F716" s="4">
        <f t="shared" si="268"/>
        <v>0</v>
      </c>
      <c r="G716" s="4">
        <f t="shared" si="269"/>
        <v>0</v>
      </c>
      <c r="I716" s="11" t="s">
        <v>977</v>
      </c>
      <c r="J716" s="9">
        <f t="shared" si="270"/>
        <v>1</v>
      </c>
      <c r="K716" s="9">
        <f t="shared" si="287"/>
        <v>0</v>
      </c>
      <c r="L716" s="9">
        <f t="shared" si="271"/>
        <v>0</v>
      </c>
      <c r="M716" s="9">
        <f t="shared" si="272"/>
        <v>0</v>
      </c>
      <c r="N716" s="9">
        <f t="shared" si="273"/>
        <v>0</v>
      </c>
      <c r="O716" s="9">
        <f t="shared" si="274"/>
        <v>0</v>
      </c>
      <c r="P716" s="9">
        <f t="shared" si="275"/>
        <v>0</v>
      </c>
      <c r="Q716" s="9">
        <f t="shared" si="276"/>
        <v>0</v>
      </c>
      <c r="R716" s="9">
        <f t="shared" si="277"/>
        <v>0</v>
      </c>
      <c r="S716" s="9">
        <f t="shared" si="278"/>
        <v>0</v>
      </c>
      <c r="T716" s="9">
        <f t="shared" si="279"/>
        <v>0</v>
      </c>
      <c r="U716" s="9">
        <f t="shared" si="280"/>
        <v>0</v>
      </c>
      <c r="V716" s="9">
        <f t="shared" si="281"/>
        <v>0</v>
      </c>
      <c r="W716" s="9">
        <f t="shared" si="282"/>
        <v>0</v>
      </c>
      <c r="X716" s="9">
        <f t="shared" si="283"/>
        <v>0</v>
      </c>
      <c r="Y716" s="9">
        <f t="shared" si="284"/>
        <v>0</v>
      </c>
      <c r="Z716" s="9">
        <f t="shared" si="285"/>
        <v>0</v>
      </c>
      <c r="AA716" s="10">
        <f t="shared" si="286"/>
        <v>0</v>
      </c>
    </row>
    <row r="717" spans="1:27" x14ac:dyDescent="0.3">
      <c r="A717" s="18" t="s">
        <v>1303</v>
      </c>
      <c r="B717" s="4">
        <f t="shared" si="264"/>
        <v>0</v>
      </c>
      <c r="C717" s="4">
        <f t="shared" si="265"/>
        <v>0</v>
      </c>
      <c r="D717" s="4">
        <f t="shared" si="266"/>
        <v>0</v>
      </c>
      <c r="E717" s="4">
        <f t="shared" si="267"/>
        <v>0</v>
      </c>
      <c r="F717" s="4">
        <f t="shared" si="268"/>
        <v>1</v>
      </c>
      <c r="G717" s="4">
        <f t="shared" si="269"/>
        <v>0</v>
      </c>
      <c r="I717" s="8" t="s">
        <v>988</v>
      </c>
      <c r="J717" s="9">
        <f t="shared" si="270"/>
        <v>0</v>
      </c>
      <c r="K717" s="9">
        <f t="shared" si="287"/>
        <v>0</v>
      </c>
      <c r="L717" s="9">
        <f t="shared" si="271"/>
        <v>1</v>
      </c>
      <c r="M717" s="9">
        <f t="shared" si="272"/>
        <v>0</v>
      </c>
      <c r="N717" s="9">
        <f t="shared" si="273"/>
        <v>0</v>
      </c>
      <c r="O717" s="9">
        <f t="shared" si="274"/>
        <v>0</v>
      </c>
      <c r="P717" s="9">
        <f t="shared" si="275"/>
        <v>0</v>
      </c>
      <c r="Q717" s="9">
        <f t="shared" si="276"/>
        <v>0</v>
      </c>
      <c r="R717" s="9">
        <f t="shared" si="277"/>
        <v>0</v>
      </c>
      <c r="S717" s="9">
        <f t="shared" si="278"/>
        <v>0</v>
      </c>
      <c r="T717" s="9">
        <f t="shared" si="279"/>
        <v>0</v>
      </c>
      <c r="U717" s="9">
        <f t="shared" si="280"/>
        <v>0</v>
      </c>
      <c r="V717" s="9">
        <f t="shared" si="281"/>
        <v>0</v>
      </c>
      <c r="W717" s="9">
        <f t="shared" si="282"/>
        <v>0</v>
      </c>
      <c r="X717" s="9">
        <f t="shared" si="283"/>
        <v>0</v>
      </c>
      <c r="Y717" s="9">
        <f t="shared" si="284"/>
        <v>0</v>
      </c>
      <c r="Z717" s="9">
        <f t="shared" si="285"/>
        <v>0</v>
      </c>
      <c r="AA717" s="10">
        <f t="shared" si="286"/>
        <v>0</v>
      </c>
    </row>
    <row r="718" spans="1:27" x14ac:dyDescent="0.3">
      <c r="A718" s="4" t="s">
        <v>1303</v>
      </c>
      <c r="B718" s="4">
        <f t="shared" si="264"/>
        <v>0</v>
      </c>
      <c r="C718" s="4">
        <f t="shared" si="265"/>
        <v>0</v>
      </c>
      <c r="D718" s="4">
        <f t="shared" si="266"/>
        <v>0</v>
      </c>
      <c r="E718" s="4">
        <f t="shared" si="267"/>
        <v>0</v>
      </c>
      <c r="F718" s="4">
        <f t="shared" si="268"/>
        <v>1</v>
      </c>
      <c r="G718" s="4">
        <f t="shared" si="269"/>
        <v>0</v>
      </c>
      <c r="I718" s="11" t="s">
        <v>1294</v>
      </c>
      <c r="J718" s="9">
        <f t="shared" si="270"/>
        <v>0</v>
      </c>
      <c r="K718" s="9">
        <f t="shared" si="287"/>
        <v>0</v>
      </c>
      <c r="L718" s="9">
        <f t="shared" si="271"/>
        <v>0</v>
      </c>
      <c r="M718" s="9">
        <f t="shared" si="272"/>
        <v>0</v>
      </c>
      <c r="N718" s="9">
        <f t="shared" si="273"/>
        <v>0</v>
      </c>
      <c r="O718" s="9">
        <f t="shared" si="274"/>
        <v>0</v>
      </c>
      <c r="P718" s="9">
        <f t="shared" si="275"/>
        <v>0</v>
      </c>
      <c r="Q718" s="9">
        <f t="shared" si="276"/>
        <v>0</v>
      </c>
      <c r="R718" s="9">
        <f t="shared" si="277"/>
        <v>0</v>
      </c>
      <c r="S718" s="9">
        <f t="shared" si="278"/>
        <v>0</v>
      </c>
      <c r="T718" s="9">
        <f t="shared" si="279"/>
        <v>0</v>
      </c>
      <c r="U718" s="9">
        <f t="shared" si="280"/>
        <v>0</v>
      </c>
      <c r="V718" s="9">
        <f t="shared" si="281"/>
        <v>0</v>
      </c>
      <c r="W718" s="9">
        <f t="shared" si="282"/>
        <v>0</v>
      </c>
      <c r="X718" s="9">
        <f t="shared" si="283"/>
        <v>0</v>
      </c>
      <c r="Y718" s="9">
        <f t="shared" si="284"/>
        <v>0</v>
      </c>
      <c r="Z718" s="9">
        <f t="shared" si="285"/>
        <v>0</v>
      </c>
      <c r="AA718" s="10">
        <f t="shared" si="286"/>
        <v>0</v>
      </c>
    </row>
    <row r="719" spans="1:27" x14ac:dyDescent="0.3">
      <c r="A719" s="18" t="s">
        <v>1303</v>
      </c>
      <c r="B719" s="4">
        <f t="shared" si="264"/>
        <v>0</v>
      </c>
      <c r="C719" s="4">
        <f t="shared" si="265"/>
        <v>0</v>
      </c>
      <c r="D719" s="4">
        <f t="shared" si="266"/>
        <v>0</v>
      </c>
      <c r="E719" s="4">
        <f t="shared" si="267"/>
        <v>0</v>
      </c>
      <c r="F719" s="4">
        <f t="shared" si="268"/>
        <v>1</v>
      </c>
      <c r="G719" s="4">
        <f t="shared" si="269"/>
        <v>0</v>
      </c>
      <c r="I719" s="8" t="s">
        <v>988</v>
      </c>
      <c r="J719" s="9">
        <f t="shared" si="270"/>
        <v>0</v>
      </c>
      <c r="K719" s="9">
        <f t="shared" si="287"/>
        <v>0</v>
      </c>
      <c r="L719" s="9">
        <f t="shared" si="271"/>
        <v>1</v>
      </c>
      <c r="M719" s="9">
        <f t="shared" si="272"/>
        <v>0</v>
      </c>
      <c r="N719" s="9">
        <f t="shared" si="273"/>
        <v>0</v>
      </c>
      <c r="O719" s="9">
        <f t="shared" si="274"/>
        <v>0</v>
      </c>
      <c r="P719" s="9">
        <f t="shared" si="275"/>
        <v>0</v>
      </c>
      <c r="Q719" s="9">
        <f t="shared" si="276"/>
        <v>0</v>
      </c>
      <c r="R719" s="9">
        <f t="shared" si="277"/>
        <v>0</v>
      </c>
      <c r="S719" s="9">
        <f t="shared" si="278"/>
        <v>0</v>
      </c>
      <c r="T719" s="9">
        <f t="shared" si="279"/>
        <v>0</v>
      </c>
      <c r="U719" s="9">
        <f t="shared" si="280"/>
        <v>0</v>
      </c>
      <c r="V719" s="9">
        <f t="shared" si="281"/>
        <v>0</v>
      </c>
      <c r="W719" s="9">
        <f t="shared" si="282"/>
        <v>0</v>
      </c>
      <c r="X719" s="9">
        <f t="shared" si="283"/>
        <v>0</v>
      </c>
      <c r="Y719" s="9">
        <f t="shared" si="284"/>
        <v>0</v>
      </c>
      <c r="Z719" s="9">
        <f t="shared" si="285"/>
        <v>0</v>
      </c>
      <c r="AA719" s="10">
        <f t="shared" si="286"/>
        <v>0</v>
      </c>
    </row>
    <row r="720" spans="1:27" x14ac:dyDescent="0.3">
      <c r="A720" s="4" t="s">
        <v>1303</v>
      </c>
      <c r="B720" s="4">
        <f t="shared" si="264"/>
        <v>0</v>
      </c>
      <c r="C720" s="4">
        <f t="shared" si="265"/>
        <v>0</v>
      </c>
      <c r="D720" s="4">
        <f t="shared" si="266"/>
        <v>0</v>
      </c>
      <c r="E720" s="4">
        <f t="shared" si="267"/>
        <v>0</v>
      </c>
      <c r="F720" s="4">
        <f t="shared" si="268"/>
        <v>1</v>
      </c>
      <c r="G720" s="4">
        <f t="shared" si="269"/>
        <v>0</v>
      </c>
      <c r="I720" s="11" t="s">
        <v>988</v>
      </c>
      <c r="J720" s="9">
        <f t="shared" si="270"/>
        <v>0</v>
      </c>
      <c r="K720" s="9">
        <f t="shared" si="287"/>
        <v>0</v>
      </c>
      <c r="L720" s="9">
        <f t="shared" si="271"/>
        <v>1</v>
      </c>
      <c r="M720" s="9">
        <f t="shared" si="272"/>
        <v>0</v>
      </c>
      <c r="N720" s="9">
        <f t="shared" si="273"/>
        <v>0</v>
      </c>
      <c r="O720" s="9">
        <f t="shared" si="274"/>
        <v>0</v>
      </c>
      <c r="P720" s="9">
        <f t="shared" si="275"/>
        <v>0</v>
      </c>
      <c r="Q720" s="9">
        <f t="shared" si="276"/>
        <v>0</v>
      </c>
      <c r="R720" s="9">
        <f t="shared" si="277"/>
        <v>0</v>
      </c>
      <c r="S720" s="9">
        <f t="shared" si="278"/>
        <v>0</v>
      </c>
      <c r="T720" s="9">
        <f t="shared" si="279"/>
        <v>0</v>
      </c>
      <c r="U720" s="9">
        <f t="shared" si="280"/>
        <v>0</v>
      </c>
      <c r="V720" s="9">
        <f t="shared" si="281"/>
        <v>0</v>
      </c>
      <c r="W720" s="9">
        <f t="shared" si="282"/>
        <v>0</v>
      </c>
      <c r="X720" s="9">
        <f t="shared" si="283"/>
        <v>0</v>
      </c>
      <c r="Y720" s="9">
        <f t="shared" si="284"/>
        <v>0</v>
      </c>
      <c r="Z720" s="9">
        <f t="shared" si="285"/>
        <v>0</v>
      </c>
      <c r="AA720" s="10">
        <f t="shared" si="286"/>
        <v>0</v>
      </c>
    </row>
    <row r="721" spans="1:27" x14ac:dyDescent="0.3">
      <c r="A721" s="18" t="s">
        <v>1303</v>
      </c>
      <c r="B721" s="4">
        <f t="shared" si="264"/>
        <v>0</v>
      </c>
      <c r="C721" s="4">
        <f t="shared" si="265"/>
        <v>0</v>
      </c>
      <c r="D721" s="4">
        <f t="shared" si="266"/>
        <v>0</v>
      </c>
      <c r="E721" s="4">
        <f t="shared" si="267"/>
        <v>0</v>
      </c>
      <c r="F721" s="4">
        <f t="shared" si="268"/>
        <v>1</v>
      </c>
      <c r="G721" s="4">
        <f t="shared" si="269"/>
        <v>0</v>
      </c>
      <c r="I721" s="8" t="s">
        <v>977</v>
      </c>
      <c r="J721" s="9">
        <f t="shared" si="270"/>
        <v>1</v>
      </c>
      <c r="K721" s="9">
        <f t="shared" si="287"/>
        <v>0</v>
      </c>
      <c r="L721" s="9">
        <f t="shared" si="271"/>
        <v>0</v>
      </c>
      <c r="M721" s="9">
        <f t="shared" si="272"/>
        <v>0</v>
      </c>
      <c r="N721" s="9">
        <f t="shared" si="273"/>
        <v>0</v>
      </c>
      <c r="O721" s="9">
        <f t="shared" si="274"/>
        <v>0</v>
      </c>
      <c r="P721" s="9">
        <f t="shared" si="275"/>
        <v>0</v>
      </c>
      <c r="Q721" s="9">
        <f t="shared" si="276"/>
        <v>0</v>
      </c>
      <c r="R721" s="9">
        <f t="shared" si="277"/>
        <v>0</v>
      </c>
      <c r="S721" s="9">
        <f t="shared" si="278"/>
        <v>0</v>
      </c>
      <c r="T721" s="9">
        <f t="shared" si="279"/>
        <v>0</v>
      </c>
      <c r="U721" s="9">
        <f t="shared" si="280"/>
        <v>0</v>
      </c>
      <c r="V721" s="9">
        <f t="shared" si="281"/>
        <v>0</v>
      </c>
      <c r="W721" s="9">
        <f t="shared" si="282"/>
        <v>0</v>
      </c>
      <c r="X721" s="9">
        <f t="shared" si="283"/>
        <v>0</v>
      </c>
      <c r="Y721" s="9">
        <f t="shared" si="284"/>
        <v>0</v>
      </c>
      <c r="Z721" s="9">
        <f t="shared" si="285"/>
        <v>0</v>
      </c>
      <c r="AA721" s="10">
        <f t="shared" si="286"/>
        <v>0</v>
      </c>
    </row>
    <row r="722" spans="1:27" x14ac:dyDescent="0.3">
      <c r="A722" s="4" t="s">
        <v>1303</v>
      </c>
      <c r="B722" s="4">
        <f t="shared" si="264"/>
        <v>0</v>
      </c>
      <c r="C722" s="4">
        <f t="shared" si="265"/>
        <v>0</v>
      </c>
      <c r="D722" s="4">
        <f t="shared" si="266"/>
        <v>0</v>
      </c>
      <c r="E722" s="4">
        <f t="shared" si="267"/>
        <v>0</v>
      </c>
      <c r="F722" s="4">
        <f t="shared" si="268"/>
        <v>1</v>
      </c>
      <c r="G722" s="4">
        <f t="shared" si="269"/>
        <v>0</v>
      </c>
      <c r="I722" s="11" t="s">
        <v>988</v>
      </c>
      <c r="J722" s="9">
        <f t="shared" si="270"/>
        <v>0</v>
      </c>
      <c r="K722" s="9">
        <f t="shared" si="287"/>
        <v>0</v>
      </c>
      <c r="L722" s="9">
        <f t="shared" si="271"/>
        <v>1</v>
      </c>
      <c r="M722" s="9">
        <f t="shared" si="272"/>
        <v>0</v>
      </c>
      <c r="N722" s="9">
        <f t="shared" si="273"/>
        <v>0</v>
      </c>
      <c r="O722" s="9">
        <f t="shared" si="274"/>
        <v>0</v>
      </c>
      <c r="P722" s="9">
        <f t="shared" si="275"/>
        <v>0</v>
      </c>
      <c r="Q722" s="9">
        <f t="shared" si="276"/>
        <v>0</v>
      </c>
      <c r="R722" s="9">
        <f t="shared" si="277"/>
        <v>0</v>
      </c>
      <c r="S722" s="9">
        <f t="shared" si="278"/>
        <v>0</v>
      </c>
      <c r="T722" s="9">
        <f t="shared" si="279"/>
        <v>0</v>
      </c>
      <c r="U722" s="9">
        <f t="shared" si="280"/>
        <v>0</v>
      </c>
      <c r="V722" s="9">
        <f t="shared" si="281"/>
        <v>0</v>
      </c>
      <c r="W722" s="9">
        <f t="shared" si="282"/>
        <v>0</v>
      </c>
      <c r="X722" s="9">
        <f t="shared" si="283"/>
        <v>0</v>
      </c>
      <c r="Y722" s="9">
        <f t="shared" si="284"/>
        <v>0</v>
      </c>
      <c r="Z722" s="9">
        <f t="shared" si="285"/>
        <v>0</v>
      </c>
      <c r="AA722" s="10">
        <f t="shared" si="286"/>
        <v>0</v>
      </c>
    </row>
    <row r="723" spans="1:27" x14ac:dyDescent="0.3">
      <c r="A723" s="18" t="s">
        <v>1305</v>
      </c>
      <c r="B723" s="4">
        <f t="shared" si="264"/>
        <v>0</v>
      </c>
      <c r="C723" s="4">
        <f t="shared" si="265"/>
        <v>0</v>
      </c>
      <c r="D723" s="4">
        <f t="shared" si="266"/>
        <v>0</v>
      </c>
      <c r="E723" s="4">
        <f t="shared" si="267"/>
        <v>0</v>
      </c>
      <c r="F723" s="4">
        <f t="shared" si="268"/>
        <v>0</v>
      </c>
      <c r="G723" s="4">
        <f t="shared" si="269"/>
        <v>1</v>
      </c>
      <c r="I723" s="8" t="s">
        <v>1011</v>
      </c>
      <c r="J723" s="9">
        <f t="shared" si="270"/>
        <v>0</v>
      </c>
      <c r="K723" s="9">
        <f t="shared" si="287"/>
        <v>0</v>
      </c>
      <c r="L723" s="9">
        <f t="shared" si="271"/>
        <v>0</v>
      </c>
      <c r="M723" s="9">
        <f t="shared" si="272"/>
        <v>0</v>
      </c>
      <c r="N723" s="9">
        <f t="shared" si="273"/>
        <v>0</v>
      </c>
      <c r="O723" s="9">
        <f t="shared" si="274"/>
        <v>0</v>
      </c>
      <c r="P723" s="9">
        <f t="shared" si="275"/>
        <v>0</v>
      </c>
      <c r="Q723" s="9">
        <f t="shared" si="276"/>
        <v>0</v>
      </c>
      <c r="R723" s="9">
        <f t="shared" si="277"/>
        <v>0</v>
      </c>
      <c r="S723" s="9">
        <f t="shared" si="278"/>
        <v>1</v>
      </c>
      <c r="T723" s="9">
        <f t="shared" si="279"/>
        <v>0</v>
      </c>
      <c r="U723" s="9">
        <f t="shared" si="280"/>
        <v>0</v>
      </c>
      <c r="V723" s="9">
        <f t="shared" si="281"/>
        <v>0</v>
      </c>
      <c r="W723" s="9">
        <f t="shared" si="282"/>
        <v>0</v>
      </c>
      <c r="X723" s="9">
        <f t="shared" si="283"/>
        <v>0</v>
      </c>
      <c r="Y723" s="9">
        <f t="shared" si="284"/>
        <v>0</v>
      </c>
      <c r="Z723" s="9">
        <f t="shared" si="285"/>
        <v>0</v>
      </c>
      <c r="AA723" s="10">
        <f t="shared" si="286"/>
        <v>0</v>
      </c>
    </row>
    <row r="724" spans="1:27" x14ac:dyDescent="0.3">
      <c r="A724" s="4" t="s">
        <v>1302</v>
      </c>
      <c r="B724" s="4">
        <f t="shared" si="264"/>
        <v>1</v>
      </c>
      <c r="C724" s="4">
        <f t="shared" si="265"/>
        <v>0</v>
      </c>
      <c r="D724" s="4">
        <f t="shared" si="266"/>
        <v>0</v>
      </c>
      <c r="E724" s="4">
        <f t="shared" si="267"/>
        <v>0</v>
      </c>
      <c r="F724" s="4">
        <f t="shared" si="268"/>
        <v>0</v>
      </c>
      <c r="G724" s="4">
        <f t="shared" si="269"/>
        <v>0</v>
      </c>
      <c r="I724" s="11" t="s">
        <v>988</v>
      </c>
      <c r="J724" s="9">
        <f t="shared" si="270"/>
        <v>0</v>
      </c>
      <c r="K724" s="9">
        <f t="shared" si="287"/>
        <v>0</v>
      </c>
      <c r="L724" s="9">
        <f t="shared" si="271"/>
        <v>1</v>
      </c>
      <c r="M724" s="9">
        <f t="shared" si="272"/>
        <v>0</v>
      </c>
      <c r="N724" s="9">
        <f t="shared" si="273"/>
        <v>0</v>
      </c>
      <c r="O724" s="9">
        <f t="shared" si="274"/>
        <v>0</v>
      </c>
      <c r="P724" s="9">
        <f t="shared" si="275"/>
        <v>0</v>
      </c>
      <c r="Q724" s="9">
        <f t="shared" si="276"/>
        <v>0</v>
      </c>
      <c r="R724" s="9">
        <f t="shared" si="277"/>
        <v>0</v>
      </c>
      <c r="S724" s="9">
        <f t="shared" si="278"/>
        <v>0</v>
      </c>
      <c r="T724" s="9">
        <f t="shared" si="279"/>
        <v>0</v>
      </c>
      <c r="U724" s="9">
        <f t="shared" si="280"/>
        <v>0</v>
      </c>
      <c r="V724" s="9">
        <f t="shared" si="281"/>
        <v>0</v>
      </c>
      <c r="W724" s="9">
        <f t="shared" si="282"/>
        <v>0</v>
      </c>
      <c r="X724" s="9">
        <f t="shared" si="283"/>
        <v>0</v>
      </c>
      <c r="Y724" s="9">
        <f t="shared" si="284"/>
        <v>0</v>
      </c>
      <c r="Z724" s="9">
        <f t="shared" si="285"/>
        <v>0</v>
      </c>
      <c r="AA724" s="10">
        <f t="shared" si="286"/>
        <v>0</v>
      </c>
    </row>
    <row r="725" spans="1:27" x14ac:dyDescent="0.3">
      <c r="A725" s="18" t="s">
        <v>1304</v>
      </c>
      <c r="B725" s="4">
        <f t="shared" si="264"/>
        <v>0</v>
      </c>
      <c r="C725" s="4">
        <f t="shared" si="265"/>
        <v>1</v>
      </c>
      <c r="D725" s="4">
        <f t="shared" si="266"/>
        <v>0</v>
      </c>
      <c r="E725" s="4">
        <f t="shared" si="267"/>
        <v>0</v>
      </c>
      <c r="F725" s="4">
        <f t="shared" si="268"/>
        <v>0</v>
      </c>
      <c r="G725" s="4">
        <f t="shared" si="269"/>
        <v>0</v>
      </c>
      <c r="I725" s="8" t="s">
        <v>1026</v>
      </c>
      <c r="J725" s="9">
        <f t="shared" si="270"/>
        <v>0</v>
      </c>
      <c r="K725" s="9">
        <f t="shared" si="287"/>
        <v>0</v>
      </c>
      <c r="L725" s="9">
        <f t="shared" si="271"/>
        <v>0</v>
      </c>
      <c r="M725" s="9">
        <f t="shared" si="272"/>
        <v>0</v>
      </c>
      <c r="N725" s="9">
        <f t="shared" si="273"/>
        <v>0</v>
      </c>
      <c r="O725" s="9">
        <f t="shared" si="274"/>
        <v>0</v>
      </c>
      <c r="P725" s="9">
        <f t="shared" si="275"/>
        <v>0</v>
      </c>
      <c r="Q725" s="9">
        <f t="shared" si="276"/>
        <v>0</v>
      </c>
      <c r="R725" s="9">
        <f t="shared" si="277"/>
        <v>0</v>
      </c>
      <c r="S725" s="9">
        <f t="shared" si="278"/>
        <v>0</v>
      </c>
      <c r="T725" s="9">
        <f t="shared" si="279"/>
        <v>1</v>
      </c>
      <c r="U725" s="9">
        <f t="shared" si="280"/>
        <v>0</v>
      </c>
      <c r="V725" s="9">
        <f t="shared" si="281"/>
        <v>0</v>
      </c>
      <c r="W725" s="9">
        <f t="shared" si="282"/>
        <v>0</v>
      </c>
      <c r="X725" s="9">
        <f t="shared" si="283"/>
        <v>0</v>
      </c>
      <c r="Y725" s="9">
        <f t="shared" si="284"/>
        <v>0</v>
      </c>
      <c r="Z725" s="9">
        <f t="shared" si="285"/>
        <v>0</v>
      </c>
      <c r="AA725" s="10">
        <f t="shared" si="286"/>
        <v>0</v>
      </c>
    </row>
    <row r="726" spans="1:27" x14ac:dyDescent="0.3">
      <c r="A726" s="4" t="s">
        <v>1302</v>
      </c>
      <c r="B726" s="4">
        <f t="shared" si="264"/>
        <v>1</v>
      </c>
      <c r="C726" s="4">
        <f t="shared" si="265"/>
        <v>0</v>
      </c>
      <c r="D726" s="4">
        <f t="shared" si="266"/>
        <v>0</v>
      </c>
      <c r="E726" s="4">
        <f t="shared" si="267"/>
        <v>0</v>
      </c>
      <c r="F726" s="4">
        <f t="shared" si="268"/>
        <v>0</v>
      </c>
      <c r="G726" s="4">
        <f t="shared" si="269"/>
        <v>0</v>
      </c>
      <c r="I726" s="11" t="s">
        <v>994</v>
      </c>
      <c r="J726" s="9">
        <f t="shared" si="270"/>
        <v>0</v>
      </c>
      <c r="K726" s="9">
        <f t="shared" si="287"/>
        <v>0</v>
      </c>
      <c r="L726" s="9">
        <f t="shared" si="271"/>
        <v>0</v>
      </c>
      <c r="M726" s="9">
        <f t="shared" si="272"/>
        <v>0</v>
      </c>
      <c r="N726" s="9">
        <f t="shared" si="273"/>
        <v>0</v>
      </c>
      <c r="O726" s="9">
        <f t="shared" si="274"/>
        <v>0</v>
      </c>
      <c r="P726" s="9">
        <f t="shared" si="275"/>
        <v>1</v>
      </c>
      <c r="Q726" s="9">
        <f t="shared" si="276"/>
        <v>0</v>
      </c>
      <c r="R726" s="9">
        <f t="shared" si="277"/>
        <v>0</v>
      </c>
      <c r="S726" s="9">
        <f t="shared" si="278"/>
        <v>0</v>
      </c>
      <c r="T726" s="9">
        <f t="shared" si="279"/>
        <v>0</v>
      </c>
      <c r="U726" s="9">
        <f t="shared" si="280"/>
        <v>0</v>
      </c>
      <c r="V726" s="9">
        <f t="shared" si="281"/>
        <v>0</v>
      </c>
      <c r="W726" s="9">
        <f t="shared" si="282"/>
        <v>0</v>
      </c>
      <c r="X726" s="9">
        <f t="shared" si="283"/>
        <v>0</v>
      </c>
      <c r="Y726" s="9">
        <f t="shared" si="284"/>
        <v>0</v>
      </c>
      <c r="Z726" s="9">
        <f t="shared" si="285"/>
        <v>0</v>
      </c>
      <c r="AA726" s="10">
        <f t="shared" si="286"/>
        <v>0</v>
      </c>
    </row>
    <row r="727" spans="1:27" x14ac:dyDescent="0.3">
      <c r="A727" s="18" t="s">
        <v>1303</v>
      </c>
      <c r="B727" s="4">
        <f t="shared" si="264"/>
        <v>0</v>
      </c>
      <c r="C727" s="4">
        <f t="shared" si="265"/>
        <v>0</v>
      </c>
      <c r="D727" s="4">
        <f t="shared" si="266"/>
        <v>0</v>
      </c>
      <c r="E727" s="4">
        <f t="shared" si="267"/>
        <v>0</v>
      </c>
      <c r="F727" s="4">
        <f t="shared" si="268"/>
        <v>1</v>
      </c>
      <c r="G727" s="4">
        <f t="shared" si="269"/>
        <v>0</v>
      </c>
      <c r="I727" s="8" t="s">
        <v>1044</v>
      </c>
      <c r="J727" s="9">
        <f t="shared" si="270"/>
        <v>0</v>
      </c>
      <c r="K727" s="9">
        <f t="shared" si="287"/>
        <v>0</v>
      </c>
      <c r="L727" s="9">
        <f t="shared" si="271"/>
        <v>0</v>
      </c>
      <c r="M727" s="9">
        <f t="shared" si="272"/>
        <v>0</v>
      </c>
      <c r="N727" s="9">
        <f t="shared" si="273"/>
        <v>0</v>
      </c>
      <c r="O727" s="9">
        <f t="shared" si="274"/>
        <v>0</v>
      </c>
      <c r="P727" s="9">
        <f t="shared" si="275"/>
        <v>0</v>
      </c>
      <c r="Q727" s="9">
        <f t="shared" si="276"/>
        <v>0</v>
      </c>
      <c r="R727" s="9">
        <f t="shared" si="277"/>
        <v>0</v>
      </c>
      <c r="S727" s="9">
        <f t="shared" si="278"/>
        <v>0</v>
      </c>
      <c r="T727" s="9">
        <f t="shared" si="279"/>
        <v>0</v>
      </c>
      <c r="U727" s="9">
        <f t="shared" si="280"/>
        <v>1</v>
      </c>
      <c r="V727" s="9">
        <f t="shared" si="281"/>
        <v>0</v>
      </c>
      <c r="W727" s="9">
        <f t="shared" si="282"/>
        <v>0</v>
      </c>
      <c r="X727" s="9">
        <f t="shared" si="283"/>
        <v>0</v>
      </c>
      <c r="Y727" s="9">
        <f t="shared" si="284"/>
        <v>0</v>
      </c>
      <c r="Z727" s="9">
        <f t="shared" si="285"/>
        <v>0</v>
      </c>
      <c r="AA727" s="10">
        <f t="shared" si="286"/>
        <v>0</v>
      </c>
    </row>
    <row r="728" spans="1:27" x14ac:dyDescent="0.3">
      <c r="A728" s="4" t="s">
        <v>1307</v>
      </c>
      <c r="B728" s="4">
        <f t="shared" si="264"/>
        <v>0</v>
      </c>
      <c r="C728" s="4">
        <f t="shared" si="265"/>
        <v>0</v>
      </c>
      <c r="D728" s="4">
        <f t="shared" si="266"/>
        <v>1</v>
      </c>
      <c r="E728" s="4">
        <f t="shared" si="267"/>
        <v>0</v>
      </c>
      <c r="F728" s="4">
        <f t="shared" si="268"/>
        <v>0</v>
      </c>
      <c r="G728" s="4">
        <f t="shared" si="269"/>
        <v>0</v>
      </c>
      <c r="I728" s="11" t="s">
        <v>977</v>
      </c>
      <c r="J728" s="9">
        <f t="shared" si="270"/>
        <v>1</v>
      </c>
      <c r="K728" s="9">
        <f t="shared" si="287"/>
        <v>0</v>
      </c>
      <c r="L728" s="9">
        <f t="shared" si="271"/>
        <v>0</v>
      </c>
      <c r="M728" s="9">
        <f t="shared" si="272"/>
        <v>0</v>
      </c>
      <c r="N728" s="9">
        <f t="shared" si="273"/>
        <v>0</v>
      </c>
      <c r="O728" s="9">
        <f t="shared" si="274"/>
        <v>0</v>
      </c>
      <c r="P728" s="9">
        <f t="shared" si="275"/>
        <v>0</v>
      </c>
      <c r="Q728" s="9">
        <f t="shared" si="276"/>
        <v>0</v>
      </c>
      <c r="R728" s="9">
        <f t="shared" si="277"/>
        <v>0</v>
      </c>
      <c r="S728" s="9">
        <f t="shared" si="278"/>
        <v>0</v>
      </c>
      <c r="T728" s="9">
        <f t="shared" si="279"/>
        <v>0</v>
      </c>
      <c r="U728" s="9">
        <f t="shared" si="280"/>
        <v>0</v>
      </c>
      <c r="V728" s="9">
        <f t="shared" si="281"/>
        <v>0</v>
      </c>
      <c r="W728" s="9">
        <f t="shared" si="282"/>
        <v>0</v>
      </c>
      <c r="X728" s="9">
        <f t="shared" si="283"/>
        <v>0</v>
      </c>
      <c r="Y728" s="9">
        <f t="shared" si="284"/>
        <v>0</v>
      </c>
      <c r="Z728" s="9">
        <f t="shared" si="285"/>
        <v>0</v>
      </c>
      <c r="AA728" s="10">
        <f t="shared" si="286"/>
        <v>0</v>
      </c>
    </row>
    <row r="729" spans="1:27" x14ac:dyDescent="0.3">
      <c r="A729" s="18" t="s">
        <v>1294</v>
      </c>
      <c r="B729" s="4">
        <f t="shared" si="264"/>
        <v>0</v>
      </c>
      <c r="C729" s="4">
        <f t="shared" si="265"/>
        <v>0</v>
      </c>
      <c r="D729" s="4">
        <f t="shared" si="266"/>
        <v>0</v>
      </c>
      <c r="E729" s="4">
        <f t="shared" si="267"/>
        <v>0</v>
      </c>
      <c r="F729" s="4">
        <f t="shared" si="268"/>
        <v>0</v>
      </c>
      <c r="G729" s="4">
        <f t="shared" si="269"/>
        <v>0</v>
      </c>
      <c r="I729" s="8" t="s">
        <v>982</v>
      </c>
      <c r="J729" s="9">
        <f t="shared" si="270"/>
        <v>0</v>
      </c>
      <c r="K729" s="9">
        <f t="shared" si="287"/>
        <v>1</v>
      </c>
      <c r="L729" s="9">
        <f t="shared" si="271"/>
        <v>0</v>
      </c>
      <c r="M729" s="9">
        <f t="shared" si="272"/>
        <v>0</v>
      </c>
      <c r="N729" s="9">
        <f t="shared" si="273"/>
        <v>0</v>
      </c>
      <c r="O729" s="9">
        <f t="shared" si="274"/>
        <v>0</v>
      </c>
      <c r="P729" s="9">
        <f t="shared" si="275"/>
        <v>0</v>
      </c>
      <c r="Q729" s="9">
        <f t="shared" si="276"/>
        <v>0</v>
      </c>
      <c r="R729" s="9">
        <f t="shared" si="277"/>
        <v>0</v>
      </c>
      <c r="S729" s="9">
        <f t="shared" si="278"/>
        <v>0</v>
      </c>
      <c r="T729" s="9">
        <f t="shared" si="279"/>
        <v>0</v>
      </c>
      <c r="U729" s="9">
        <f t="shared" si="280"/>
        <v>0</v>
      </c>
      <c r="V729" s="9">
        <f t="shared" si="281"/>
        <v>0</v>
      </c>
      <c r="W729" s="9">
        <f t="shared" si="282"/>
        <v>0</v>
      </c>
      <c r="X729" s="9">
        <f t="shared" si="283"/>
        <v>0</v>
      </c>
      <c r="Y729" s="9">
        <f t="shared" si="284"/>
        <v>0</v>
      </c>
      <c r="Z729" s="9">
        <f t="shared" si="285"/>
        <v>0</v>
      </c>
      <c r="AA729" s="10">
        <f t="shared" si="286"/>
        <v>0</v>
      </c>
    </row>
    <row r="730" spans="1:27" x14ac:dyDescent="0.3">
      <c r="A730" s="4" t="s">
        <v>1294</v>
      </c>
      <c r="B730" s="4">
        <f t="shared" si="264"/>
        <v>0</v>
      </c>
      <c r="C730" s="4">
        <f t="shared" si="265"/>
        <v>0</v>
      </c>
      <c r="D730" s="4">
        <f t="shared" si="266"/>
        <v>0</v>
      </c>
      <c r="E730" s="4">
        <f t="shared" si="267"/>
        <v>0</v>
      </c>
      <c r="F730" s="4">
        <f t="shared" si="268"/>
        <v>0</v>
      </c>
      <c r="G730" s="4">
        <f t="shared" si="269"/>
        <v>0</v>
      </c>
      <c r="I730" s="11" t="s">
        <v>996</v>
      </c>
      <c r="J730" s="9">
        <f t="shared" si="270"/>
        <v>0</v>
      </c>
      <c r="K730" s="9">
        <f t="shared" si="287"/>
        <v>0</v>
      </c>
      <c r="L730" s="9">
        <f t="shared" si="271"/>
        <v>0</v>
      </c>
      <c r="M730" s="9">
        <f t="shared" si="272"/>
        <v>0</v>
      </c>
      <c r="N730" s="9">
        <f t="shared" si="273"/>
        <v>0</v>
      </c>
      <c r="O730" s="9">
        <f t="shared" si="274"/>
        <v>0</v>
      </c>
      <c r="P730" s="9">
        <f t="shared" si="275"/>
        <v>0</v>
      </c>
      <c r="Q730" s="9">
        <f t="shared" si="276"/>
        <v>1</v>
      </c>
      <c r="R730" s="9">
        <f t="shared" si="277"/>
        <v>0</v>
      </c>
      <c r="S730" s="9">
        <f t="shared" si="278"/>
        <v>0</v>
      </c>
      <c r="T730" s="9">
        <f t="shared" si="279"/>
        <v>0</v>
      </c>
      <c r="U730" s="9">
        <f t="shared" si="280"/>
        <v>0</v>
      </c>
      <c r="V730" s="9">
        <f t="shared" si="281"/>
        <v>0</v>
      </c>
      <c r="W730" s="9">
        <f t="shared" si="282"/>
        <v>0</v>
      </c>
      <c r="X730" s="9">
        <f t="shared" si="283"/>
        <v>0</v>
      </c>
      <c r="Y730" s="9">
        <f t="shared" si="284"/>
        <v>0</v>
      </c>
      <c r="Z730" s="9">
        <f t="shared" si="285"/>
        <v>0</v>
      </c>
      <c r="AA730" s="10">
        <f t="shared" si="286"/>
        <v>0</v>
      </c>
    </row>
    <row r="731" spans="1:27" x14ac:dyDescent="0.3">
      <c r="A731" s="18" t="s">
        <v>1302</v>
      </c>
      <c r="B731" s="4">
        <f t="shared" si="264"/>
        <v>1</v>
      </c>
      <c r="C731" s="4">
        <f t="shared" si="265"/>
        <v>0</v>
      </c>
      <c r="D731" s="4">
        <f t="shared" si="266"/>
        <v>0</v>
      </c>
      <c r="E731" s="4">
        <f t="shared" si="267"/>
        <v>0</v>
      </c>
      <c r="F731" s="4">
        <f t="shared" si="268"/>
        <v>0</v>
      </c>
      <c r="G731" s="4">
        <f t="shared" si="269"/>
        <v>0</v>
      </c>
      <c r="I731" s="8" t="s">
        <v>988</v>
      </c>
      <c r="J731" s="9">
        <f t="shared" si="270"/>
        <v>0</v>
      </c>
      <c r="K731" s="9">
        <f t="shared" si="287"/>
        <v>0</v>
      </c>
      <c r="L731" s="9">
        <f t="shared" si="271"/>
        <v>1</v>
      </c>
      <c r="M731" s="9">
        <f t="shared" si="272"/>
        <v>0</v>
      </c>
      <c r="N731" s="9">
        <f t="shared" si="273"/>
        <v>0</v>
      </c>
      <c r="O731" s="9">
        <f t="shared" si="274"/>
        <v>0</v>
      </c>
      <c r="P731" s="9">
        <f t="shared" si="275"/>
        <v>0</v>
      </c>
      <c r="Q731" s="9">
        <f t="shared" si="276"/>
        <v>0</v>
      </c>
      <c r="R731" s="9">
        <f t="shared" si="277"/>
        <v>0</v>
      </c>
      <c r="S731" s="9">
        <f t="shared" si="278"/>
        <v>0</v>
      </c>
      <c r="T731" s="9">
        <f t="shared" si="279"/>
        <v>0</v>
      </c>
      <c r="U731" s="9">
        <f t="shared" si="280"/>
        <v>0</v>
      </c>
      <c r="V731" s="9">
        <f t="shared" si="281"/>
        <v>0</v>
      </c>
      <c r="W731" s="9">
        <f t="shared" si="282"/>
        <v>0</v>
      </c>
      <c r="X731" s="9">
        <f t="shared" si="283"/>
        <v>0</v>
      </c>
      <c r="Y731" s="9">
        <f t="shared" si="284"/>
        <v>0</v>
      </c>
      <c r="Z731" s="9">
        <f t="shared" si="285"/>
        <v>0</v>
      </c>
      <c r="AA731" s="10">
        <f t="shared" si="286"/>
        <v>0</v>
      </c>
    </row>
    <row r="732" spans="1:27" x14ac:dyDescent="0.3">
      <c r="A732" s="4" t="s">
        <v>1302</v>
      </c>
      <c r="B732" s="4">
        <f t="shared" si="264"/>
        <v>1</v>
      </c>
      <c r="C732" s="4">
        <f t="shared" si="265"/>
        <v>0</v>
      </c>
      <c r="D732" s="4">
        <f t="shared" si="266"/>
        <v>0</v>
      </c>
      <c r="E732" s="4">
        <f t="shared" si="267"/>
        <v>0</v>
      </c>
      <c r="F732" s="4">
        <f t="shared" si="268"/>
        <v>0</v>
      </c>
      <c r="G732" s="4">
        <f t="shared" si="269"/>
        <v>0</v>
      </c>
      <c r="I732" s="11" t="s">
        <v>988</v>
      </c>
      <c r="J732" s="9">
        <f t="shared" si="270"/>
        <v>0</v>
      </c>
      <c r="K732" s="9">
        <f t="shared" si="287"/>
        <v>0</v>
      </c>
      <c r="L732" s="9">
        <f t="shared" si="271"/>
        <v>1</v>
      </c>
      <c r="M732" s="9">
        <f t="shared" si="272"/>
        <v>0</v>
      </c>
      <c r="N732" s="9">
        <f t="shared" si="273"/>
        <v>0</v>
      </c>
      <c r="O732" s="9">
        <f t="shared" si="274"/>
        <v>0</v>
      </c>
      <c r="P732" s="9">
        <f t="shared" si="275"/>
        <v>0</v>
      </c>
      <c r="Q732" s="9">
        <f t="shared" si="276"/>
        <v>0</v>
      </c>
      <c r="R732" s="9">
        <f t="shared" si="277"/>
        <v>0</v>
      </c>
      <c r="S732" s="9">
        <f t="shared" si="278"/>
        <v>0</v>
      </c>
      <c r="T732" s="9">
        <f t="shared" si="279"/>
        <v>0</v>
      </c>
      <c r="U732" s="9">
        <f t="shared" si="280"/>
        <v>0</v>
      </c>
      <c r="V732" s="9">
        <f t="shared" si="281"/>
        <v>0</v>
      </c>
      <c r="W732" s="9">
        <f t="shared" si="282"/>
        <v>0</v>
      </c>
      <c r="X732" s="9">
        <f t="shared" si="283"/>
        <v>0</v>
      </c>
      <c r="Y732" s="9">
        <f t="shared" si="284"/>
        <v>0</v>
      </c>
      <c r="Z732" s="9">
        <f t="shared" si="285"/>
        <v>0</v>
      </c>
      <c r="AA732" s="10">
        <f t="shared" si="286"/>
        <v>0</v>
      </c>
    </row>
    <row r="733" spans="1:27" x14ac:dyDescent="0.3">
      <c r="A733" s="18" t="s">
        <v>1302</v>
      </c>
      <c r="B733" s="4">
        <f t="shared" si="264"/>
        <v>1</v>
      </c>
      <c r="C733" s="4">
        <f t="shared" si="265"/>
        <v>0</v>
      </c>
      <c r="D733" s="4">
        <f t="shared" si="266"/>
        <v>0</v>
      </c>
      <c r="E733" s="4">
        <f t="shared" si="267"/>
        <v>0</v>
      </c>
      <c r="F733" s="4">
        <f t="shared" si="268"/>
        <v>0</v>
      </c>
      <c r="G733" s="4">
        <f t="shared" si="269"/>
        <v>0</v>
      </c>
      <c r="I733" s="8" t="s">
        <v>996</v>
      </c>
      <c r="J733" s="9">
        <f t="shared" si="270"/>
        <v>0</v>
      </c>
      <c r="K733" s="9">
        <f t="shared" si="287"/>
        <v>0</v>
      </c>
      <c r="L733" s="9">
        <f t="shared" si="271"/>
        <v>0</v>
      </c>
      <c r="M733" s="9">
        <f t="shared" si="272"/>
        <v>0</v>
      </c>
      <c r="N733" s="9">
        <f t="shared" si="273"/>
        <v>0</v>
      </c>
      <c r="O733" s="9">
        <f t="shared" si="274"/>
        <v>0</v>
      </c>
      <c r="P733" s="9">
        <f t="shared" si="275"/>
        <v>0</v>
      </c>
      <c r="Q733" s="9">
        <f t="shared" si="276"/>
        <v>1</v>
      </c>
      <c r="R733" s="9">
        <f t="shared" si="277"/>
        <v>0</v>
      </c>
      <c r="S733" s="9">
        <f t="shared" si="278"/>
        <v>0</v>
      </c>
      <c r="T733" s="9">
        <f t="shared" si="279"/>
        <v>0</v>
      </c>
      <c r="U733" s="9">
        <f t="shared" si="280"/>
        <v>0</v>
      </c>
      <c r="V733" s="9">
        <f t="shared" si="281"/>
        <v>0</v>
      </c>
      <c r="W733" s="9">
        <f t="shared" si="282"/>
        <v>0</v>
      </c>
      <c r="X733" s="9">
        <f t="shared" si="283"/>
        <v>0</v>
      </c>
      <c r="Y733" s="9">
        <f t="shared" si="284"/>
        <v>0</v>
      </c>
      <c r="Z733" s="9">
        <f t="shared" si="285"/>
        <v>0</v>
      </c>
      <c r="AA733" s="10">
        <f t="shared" si="286"/>
        <v>0</v>
      </c>
    </row>
    <row r="734" spans="1:27" x14ac:dyDescent="0.3">
      <c r="A734" s="4" t="s">
        <v>1302</v>
      </c>
      <c r="B734" s="4">
        <f t="shared" si="264"/>
        <v>1</v>
      </c>
      <c r="C734" s="4">
        <f t="shared" si="265"/>
        <v>0</v>
      </c>
      <c r="D734" s="4">
        <f t="shared" si="266"/>
        <v>0</v>
      </c>
      <c r="E734" s="4">
        <f t="shared" si="267"/>
        <v>0</v>
      </c>
      <c r="F734" s="4">
        <f t="shared" si="268"/>
        <v>0</v>
      </c>
      <c r="G734" s="4">
        <f t="shared" si="269"/>
        <v>0</v>
      </c>
      <c r="I734" s="11" t="s">
        <v>994</v>
      </c>
      <c r="J734" s="9">
        <f t="shared" si="270"/>
        <v>0</v>
      </c>
      <c r="K734" s="9">
        <f t="shared" si="287"/>
        <v>0</v>
      </c>
      <c r="L734" s="9">
        <f t="shared" si="271"/>
        <v>0</v>
      </c>
      <c r="M734" s="9">
        <f t="shared" si="272"/>
        <v>0</v>
      </c>
      <c r="N734" s="9">
        <f t="shared" si="273"/>
        <v>0</v>
      </c>
      <c r="O734" s="9">
        <f t="shared" si="274"/>
        <v>0</v>
      </c>
      <c r="P734" s="9">
        <f t="shared" si="275"/>
        <v>1</v>
      </c>
      <c r="Q734" s="9">
        <f t="shared" si="276"/>
        <v>0</v>
      </c>
      <c r="R734" s="9">
        <f t="shared" si="277"/>
        <v>0</v>
      </c>
      <c r="S734" s="9">
        <f t="shared" si="278"/>
        <v>0</v>
      </c>
      <c r="T734" s="9">
        <f t="shared" si="279"/>
        <v>0</v>
      </c>
      <c r="U734" s="9">
        <f t="shared" si="280"/>
        <v>0</v>
      </c>
      <c r="V734" s="9">
        <f t="shared" si="281"/>
        <v>0</v>
      </c>
      <c r="W734" s="9">
        <f t="shared" si="282"/>
        <v>0</v>
      </c>
      <c r="X734" s="9">
        <f t="shared" si="283"/>
        <v>0</v>
      </c>
      <c r="Y734" s="9">
        <f t="shared" si="284"/>
        <v>0</v>
      </c>
      <c r="Z734" s="9">
        <f t="shared" si="285"/>
        <v>0</v>
      </c>
      <c r="AA734" s="10">
        <f t="shared" si="286"/>
        <v>0</v>
      </c>
    </row>
    <row r="735" spans="1:27" x14ac:dyDescent="0.3">
      <c r="A735" s="18" t="s">
        <v>1303</v>
      </c>
      <c r="B735" s="4">
        <f t="shared" si="264"/>
        <v>0</v>
      </c>
      <c r="C735" s="4">
        <f t="shared" si="265"/>
        <v>0</v>
      </c>
      <c r="D735" s="4">
        <f t="shared" si="266"/>
        <v>0</v>
      </c>
      <c r="E735" s="4">
        <f t="shared" si="267"/>
        <v>0</v>
      </c>
      <c r="F735" s="4">
        <f t="shared" si="268"/>
        <v>1</v>
      </c>
      <c r="G735" s="4">
        <f t="shared" si="269"/>
        <v>0</v>
      </c>
      <c r="I735" s="8" t="s">
        <v>1294</v>
      </c>
      <c r="J735" s="9">
        <f t="shared" si="270"/>
        <v>0</v>
      </c>
      <c r="K735" s="9">
        <f t="shared" si="287"/>
        <v>0</v>
      </c>
      <c r="L735" s="9">
        <f t="shared" si="271"/>
        <v>0</v>
      </c>
      <c r="M735" s="9">
        <f t="shared" si="272"/>
        <v>0</v>
      </c>
      <c r="N735" s="9">
        <f t="shared" si="273"/>
        <v>0</v>
      </c>
      <c r="O735" s="9">
        <f t="shared" si="274"/>
        <v>0</v>
      </c>
      <c r="P735" s="9">
        <f t="shared" si="275"/>
        <v>0</v>
      </c>
      <c r="Q735" s="9">
        <f t="shared" si="276"/>
        <v>0</v>
      </c>
      <c r="R735" s="9">
        <f t="shared" si="277"/>
        <v>0</v>
      </c>
      <c r="S735" s="9">
        <f t="shared" si="278"/>
        <v>0</v>
      </c>
      <c r="T735" s="9">
        <f t="shared" si="279"/>
        <v>0</v>
      </c>
      <c r="U735" s="9">
        <f t="shared" si="280"/>
        <v>0</v>
      </c>
      <c r="V735" s="9">
        <f t="shared" si="281"/>
        <v>0</v>
      </c>
      <c r="W735" s="9">
        <f t="shared" si="282"/>
        <v>0</v>
      </c>
      <c r="X735" s="9">
        <f t="shared" si="283"/>
        <v>0</v>
      </c>
      <c r="Y735" s="9">
        <f t="shared" si="284"/>
        <v>0</v>
      </c>
      <c r="Z735" s="9">
        <f t="shared" si="285"/>
        <v>0</v>
      </c>
      <c r="AA735" s="10">
        <f t="shared" si="286"/>
        <v>0</v>
      </c>
    </row>
    <row r="736" spans="1:27" x14ac:dyDescent="0.3">
      <c r="A736" s="4" t="s">
        <v>1303</v>
      </c>
      <c r="B736" s="4">
        <f t="shared" si="264"/>
        <v>0</v>
      </c>
      <c r="C736" s="4">
        <f t="shared" si="265"/>
        <v>0</v>
      </c>
      <c r="D736" s="4">
        <f t="shared" si="266"/>
        <v>0</v>
      </c>
      <c r="E736" s="4">
        <f t="shared" si="267"/>
        <v>0</v>
      </c>
      <c r="F736" s="4">
        <f t="shared" si="268"/>
        <v>1</v>
      </c>
      <c r="G736" s="4">
        <f t="shared" si="269"/>
        <v>0</v>
      </c>
      <c r="I736" s="11" t="s">
        <v>1044</v>
      </c>
      <c r="J736" s="9">
        <f t="shared" si="270"/>
        <v>0</v>
      </c>
      <c r="K736" s="9">
        <f t="shared" si="287"/>
        <v>0</v>
      </c>
      <c r="L736" s="9">
        <f t="shared" si="271"/>
        <v>0</v>
      </c>
      <c r="M736" s="9">
        <f t="shared" si="272"/>
        <v>0</v>
      </c>
      <c r="N736" s="9">
        <f t="shared" si="273"/>
        <v>0</v>
      </c>
      <c r="O736" s="9">
        <f t="shared" si="274"/>
        <v>0</v>
      </c>
      <c r="P736" s="9">
        <f t="shared" si="275"/>
        <v>0</v>
      </c>
      <c r="Q736" s="9">
        <f t="shared" si="276"/>
        <v>0</v>
      </c>
      <c r="R736" s="9">
        <f t="shared" si="277"/>
        <v>0</v>
      </c>
      <c r="S736" s="9">
        <f t="shared" si="278"/>
        <v>0</v>
      </c>
      <c r="T736" s="9">
        <f t="shared" si="279"/>
        <v>0</v>
      </c>
      <c r="U736" s="9">
        <f t="shared" si="280"/>
        <v>1</v>
      </c>
      <c r="V736" s="9">
        <f t="shared" si="281"/>
        <v>0</v>
      </c>
      <c r="W736" s="9">
        <f t="shared" si="282"/>
        <v>0</v>
      </c>
      <c r="X736" s="9">
        <f t="shared" si="283"/>
        <v>0</v>
      </c>
      <c r="Y736" s="9">
        <f t="shared" si="284"/>
        <v>0</v>
      </c>
      <c r="Z736" s="9">
        <f t="shared" si="285"/>
        <v>0</v>
      </c>
      <c r="AA736" s="10">
        <f t="shared" si="286"/>
        <v>0</v>
      </c>
    </row>
    <row r="737" spans="1:27" x14ac:dyDescent="0.3">
      <c r="A737" s="18" t="s">
        <v>1303</v>
      </c>
      <c r="B737" s="4">
        <f t="shared" si="264"/>
        <v>0</v>
      </c>
      <c r="C737" s="4">
        <f t="shared" si="265"/>
        <v>0</v>
      </c>
      <c r="D737" s="4">
        <f t="shared" si="266"/>
        <v>0</v>
      </c>
      <c r="E737" s="4">
        <f t="shared" si="267"/>
        <v>0</v>
      </c>
      <c r="F737" s="4">
        <f t="shared" si="268"/>
        <v>1</v>
      </c>
      <c r="G737" s="4">
        <f t="shared" si="269"/>
        <v>0</v>
      </c>
      <c r="I737" s="8" t="s">
        <v>1011</v>
      </c>
      <c r="J737" s="9">
        <f t="shared" si="270"/>
        <v>0</v>
      </c>
      <c r="K737" s="9">
        <f t="shared" si="287"/>
        <v>0</v>
      </c>
      <c r="L737" s="9">
        <f t="shared" si="271"/>
        <v>0</v>
      </c>
      <c r="M737" s="9">
        <f t="shared" si="272"/>
        <v>0</v>
      </c>
      <c r="N737" s="9">
        <f t="shared" si="273"/>
        <v>0</v>
      </c>
      <c r="O737" s="9">
        <f t="shared" si="274"/>
        <v>0</v>
      </c>
      <c r="P737" s="9">
        <f t="shared" si="275"/>
        <v>0</v>
      </c>
      <c r="Q737" s="9">
        <f t="shared" si="276"/>
        <v>0</v>
      </c>
      <c r="R737" s="9">
        <f t="shared" si="277"/>
        <v>0</v>
      </c>
      <c r="S737" s="9">
        <f t="shared" si="278"/>
        <v>1</v>
      </c>
      <c r="T737" s="9">
        <f t="shared" si="279"/>
        <v>0</v>
      </c>
      <c r="U737" s="9">
        <f t="shared" si="280"/>
        <v>0</v>
      </c>
      <c r="V737" s="9">
        <f t="shared" si="281"/>
        <v>0</v>
      </c>
      <c r="W737" s="9">
        <f t="shared" si="282"/>
        <v>0</v>
      </c>
      <c r="X737" s="9">
        <f t="shared" si="283"/>
        <v>0</v>
      </c>
      <c r="Y737" s="9">
        <f t="shared" si="284"/>
        <v>0</v>
      </c>
      <c r="Z737" s="9">
        <f t="shared" si="285"/>
        <v>0</v>
      </c>
      <c r="AA737" s="10">
        <f t="shared" si="286"/>
        <v>0</v>
      </c>
    </row>
    <row r="738" spans="1:27" x14ac:dyDescent="0.3">
      <c r="A738" s="4" t="s">
        <v>1303</v>
      </c>
      <c r="B738" s="4">
        <f t="shared" si="264"/>
        <v>0</v>
      </c>
      <c r="C738" s="4">
        <f t="shared" si="265"/>
        <v>0</v>
      </c>
      <c r="D738" s="4">
        <f t="shared" si="266"/>
        <v>0</v>
      </c>
      <c r="E738" s="4">
        <f t="shared" si="267"/>
        <v>0</v>
      </c>
      <c r="F738" s="4">
        <f t="shared" si="268"/>
        <v>1</v>
      </c>
      <c r="G738" s="4">
        <f t="shared" si="269"/>
        <v>0</v>
      </c>
      <c r="I738" s="11" t="s">
        <v>977</v>
      </c>
      <c r="J738" s="9">
        <f t="shared" si="270"/>
        <v>1</v>
      </c>
      <c r="K738" s="9">
        <f t="shared" si="287"/>
        <v>0</v>
      </c>
      <c r="L738" s="9">
        <f t="shared" si="271"/>
        <v>0</v>
      </c>
      <c r="M738" s="9">
        <f t="shared" si="272"/>
        <v>0</v>
      </c>
      <c r="N738" s="9">
        <f t="shared" si="273"/>
        <v>0</v>
      </c>
      <c r="O738" s="9">
        <f t="shared" si="274"/>
        <v>0</v>
      </c>
      <c r="P738" s="9">
        <f t="shared" si="275"/>
        <v>0</v>
      </c>
      <c r="Q738" s="9">
        <f t="shared" si="276"/>
        <v>0</v>
      </c>
      <c r="R738" s="9">
        <f t="shared" si="277"/>
        <v>0</v>
      </c>
      <c r="S738" s="9">
        <f t="shared" si="278"/>
        <v>0</v>
      </c>
      <c r="T738" s="9">
        <f t="shared" si="279"/>
        <v>0</v>
      </c>
      <c r="U738" s="9">
        <f t="shared" si="280"/>
        <v>0</v>
      </c>
      <c r="V738" s="9">
        <f t="shared" si="281"/>
        <v>0</v>
      </c>
      <c r="W738" s="9">
        <f t="shared" si="282"/>
        <v>0</v>
      </c>
      <c r="X738" s="9">
        <f t="shared" si="283"/>
        <v>0</v>
      </c>
      <c r="Y738" s="9">
        <f t="shared" si="284"/>
        <v>0</v>
      </c>
      <c r="Z738" s="9">
        <f t="shared" si="285"/>
        <v>0</v>
      </c>
      <c r="AA738" s="10">
        <f t="shared" si="286"/>
        <v>0</v>
      </c>
    </row>
    <row r="739" spans="1:27" x14ac:dyDescent="0.3">
      <c r="A739" s="18" t="s">
        <v>1303</v>
      </c>
      <c r="B739" s="4">
        <f t="shared" si="264"/>
        <v>0</v>
      </c>
      <c r="C739" s="4">
        <f t="shared" si="265"/>
        <v>0</v>
      </c>
      <c r="D739" s="4">
        <f t="shared" si="266"/>
        <v>0</v>
      </c>
      <c r="E739" s="4">
        <f t="shared" si="267"/>
        <v>0</v>
      </c>
      <c r="F739" s="4">
        <f t="shared" si="268"/>
        <v>1</v>
      </c>
      <c r="G739" s="4">
        <f t="shared" si="269"/>
        <v>0</v>
      </c>
      <c r="I739" s="8" t="s">
        <v>977</v>
      </c>
      <c r="J739" s="9">
        <f t="shared" si="270"/>
        <v>1</v>
      </c>
      <c r="K739" s="9">
        <f t="shared" si="287"/>
        <v>0</v>
      </c>
      <c r="L739" s="9">
        <f t="shared" si="271"/>
        <v>0</v>
      </c>
      <c r="M739" s="9">
        <f t="shared" si="272"/>
        <v>0</v>
      </c>
      <c r="N739" s="9">
        <f t="shared" si="273"/>
        <v>0</v>
      </c>
      <c r="O739" s="9">
        <f t="shared" si="274"/>
        <v>0</v>
      </c>
      <c r="P739" s="9">
        <f t="shared" si="275"/>
        <v>0</v>
      </c>
      <c r="Q739" s="9">
        <f t="shared" si="276"/>
        <v>0</v>
      </c>
      <c r="R739" s="9">
        <f t="shared" si="277"/>
        <v>0</v>
      </c>
      <c r="S739" s="9">
        <f t="shared" si="278"/>
        <v>0</v>
      </c>
      <c r="T739" s="9">
        <f t="shared" si="279"/>
        <v>0</v>
      </c>
      <c r="U739" s="9">
        <f t="shared" si="280"/>
        <v>0</v>
      </c>
      <c r="V739" s="9">
        <f t="shared" si="281"/>
        <v>0</v>
      </c>
      <c r="W739" s="9">
        <f t="shared" si="282"/>
        <v>0</v>
      </c>
      <c r="X739" s="9">
        <f t="shared" si="283"/>
        <v>0</v>
      </c>
      <c r="Y739" s="9">
        <f t="shared" si="284"/>
        <v>0</v>
      </c>
      <c r="Z739" s="9">
        <f t="shared" si="285"/>
        <v>0</v>
      </c>
      <c r="AA739" s="10">
        <f t="shared" si="286"/>
        <v>0</v>
      </c>
    </row>
    <row r="740" spans="1:27" x14ac:dyDescent="0.3">
      <c r="A740" s="4" t="s">
        <v>1304</v>
      </c>
      <c r="B740" s="4">
        <f t="shared" si="264"/>
        <v>0</v>
      </c>
      <c r="C740" s="4">
        <f t="shared" si="265"/>
        <v>1</v>
      </c>
      <c r="D740" s="4">
        <f t="shared" si="266"/>
        <v>0</v>
      </c>
      <c r="E740" s="4">
        <f t="shared" si="267"/>
        <v>0</v>
      </c>
      <c r="F740" s="4">
        <f t="shared" si="268"/>
        <v>0</v>
      </c>
      <c r="G740" s="4">
        <f t="shared" si="269"/>
        <v>0</v>
      </c>
      <c r="I740" s="11" t="s">
        <v>1044</v>
      </c>
      <c r="J740" s="9">
        <f t="shared" si="270"/>
        <v>0</v>
      </c>
      <c r="K740" s="9">
        <f t="shared" si="287"/>
        <v>0</v>
      </c>
      <c r="L740" s="9">
        <f t="shared" si="271"/>
        <v>0</v>
      </c>
      <c r="M740" s="9">
        <f t="shared" si="272"/>
        <v>0</v>
      </c>
      <c r="N740" s="9">
        <f t="shared" si="273"/>
        <v>0</v>
      </c>
      <c r="O740" s="9">
        <f t="shared" si="274"/>
        <v>0</v>
      </c>
      <c r="P740" s="9">
        <f t="shared" si="275"/>
        <v>0</v>
      </c>
      <c r="Q740" s="9">
        <f t="shared" si="276"/>
        <v>0</v>
      </c>
      <c r="R740" s="9">
        <f t="shared" si="277"/>
        <v>0</v>
      </c>
      <c r="S740" s="9">
        <f t="shared" si="278"/>
        <v>0</v>
      </c>
      <c r="T740" s="9">
        <f t="shared" si="279"/>
        <v>0</v>
      </c>
      <c r="U740" s="9">
        <f t="shared" si="280"/>
        <v>1</v>
      </c>
      <c r="V740" s="9">
        <f t="shared" si="281"/>
        <v>0</v>
      </c>
      <c r="W740" s="9">
        <f t="shared" si="282"/>
        <v>0</v>
      </c>
      <c r="X740" s="9">
        <f t="shared" si="283"/>
        <v>0</v>
      </c>
      <c r="Y740" s="9">
        <f t="shared" si="284"/>
        <v>0</v>
      </c>
      <c r="Z740" s="9">
        <f t="shared" si="285"/>
        <v>0</v>
      </c>
      <c r="AA740" s="10">
        <f t="shared" si="286"/>
        <v>0</v>
      </c>
    </row>
    <row r="741" spans="1:27" x14ac:dyDescent="0.3">
      <c r="A741" s="18" t="s">
        <v>1305</v>
      </c>
      <c r="B741" s="4">
        <f t="shared" si="264"/>
        <v>0</v>
      </c>
      <c r="C741" s="4">
        <f t="shared" si="265"/>
        <v>0</v>
      </c>
      <c r="D741" s="4">
        <f t="shared" si="266"/>
        <v>0</v>
      </c>
      <c r="E741" s="4">
        <f t="shared" si="267"/>
        <v>0</v>
      </c>
      <c r="F741" s="4">
        <f t="shared" si="268"/>
        <v>0</v>
      </c>
      <c r="G741" s="4">
        <f t="shared" si="269"/>
        <v>1</v>
      </c>
      <c r="I741" s="8" t="s">
        <v>988</v>
      </c>
      <c r="J741" s="9">
        <f t="shared" si="270"/>
        <v>0</v>
      </c>
      <c r="K741" s="9">
        <f t="shared" si="287"/>
        <v>0</v>
      </c>
      <c r="L741" s="9">
        <f t="shared" si="271"/>
        <v>1</v>
      </c>
      <c r="M741" s="9">
        <f t="shared" si="272"/>
        <v>0</v>
      </c>
      <c r="N741" s="9">
        <f t="shared" si="273"/>
        <v>0</v>
      </c>
      <c r="O741" s="9">
        <f t="shared" si="274"/>
        <v>0</v>
      </c>
      <c r="P741" s="9">
        <f t="shared" si="275"/>
        <v>0</v>
      </c>
      <c r="Q741" s="9">
        <f t="shared" si="276"/>
        <v>0</v>
      </c>
      <c r="R741" s="9">
        <f t="shared" si="277"/>
        <v>0</v>
      </c>
      <c r="S741" s="9">
        <f t="shared" si="278"/>
        <v>0</v>
      </c>
      <c r="T741" s="9">
        <f t="shared" si="279"/>
        <v>0</v>
      </c>
      <c r="U741" s="9">
        <f t="shared" si="280"/>
        <v>0</v>
      </c>
      <c r="V741" s="9">
        <f t="shared" si="281"/>
        <v>0</v>
      </c>
      <c r="W741" s="9">
        <f t="shared" si="282"/>
        <v>0</v>
      </c>
      <c r="X741" s="9">
        <f t="shared" si="283"/>
        <v>0</v>
      </c>
      <c r="Y741" s="9">
        <f t="shared" si="284"/>
        <v>0</v>
      </c>
      <c r="Z741" s="9">
        <f t="shared" si="285"/>
        <v>0</v>
      </c>
      <c r="AA741" s="10">
        <f t="shared" si="286"/>
        <v>0</v>
      </c>
    </row>
    <row r="742" spans="1:27" x14ac:dyDescent="0.3">
      <c r="A742" s="4" t="s">
        <v>1303</v>
      </c>
      <c r="B742" s="4">
        <f t="shared" si="264"/>
        <v>0</v>
      </c>
      <c r="C742" s="4">
        <f t="shared" si="265"/>
        <v>0</v>
      </c>
      <c r="D742" s="4">
        <f t="shared" si="266"/>
        <v>0</v>
      </c>
      <c r="E742" s="4">
        <f t="shared" si="267"/>
        <v>0</v>
      </c>
      <c r="F742" s="4">
        <f t="shared" si="268"/>
        <v>1</v>
      </c>
      <c r="G742" s="4">
        <f t="shared" si="269"/>
        <v>0</v>
      </c>
      <c r="I742" s="11" t="s">
        <v>994</v>
      </c>
      <c r="J742" s="9">
        <f t="shared" si="270"/>
        <v>0</v>
      </c>
      <c r="K742" s="9">
        <f t="shared" si="287"/>
        <v>0</v>
      </c>
      <c r="L742" s="9">
        <f t="shared" si="271"/>
        <v>0</v>
      </c>
      <c r="M742" s="9">
        <f t="shared" si="272"/>
        <v>0</v>
      </c>
      <c r="N742" s="9">
        <f t="shared" si="273"/>
        <v>0</v>
      </c>
      <c r="O742" s="9">
        <f t="shared" si="274"/>
        <v>0</v>
      </c>
      <c r="P742" s="9">
        <f t="shared" si="275"/>
        <v>1</v>
      </c>
      <c r="Q742" s="9">
        <f t="shared" si="276"/>
        <v>0</v>
      </c>
      <c r="R742" s="9">
        <f t="shared" si="277"/>
        <v>0</v>
      </c>
      <c r="S742" s="9">
        <f t="shared" si="278"/>
        <v>0</v>
      </c>
      <c r="T742" s="9">
        <f t="shared" si="279"/>
        <v>0</v>
      </c>
      <c r="U742" s="9">
        <f t="shared" si="280"/>
        <v>0</v>
      </c>
      <c r="V742" s="9">
        <f t="shared" si="281"/>
        <v>0</v>
      </c>
      <c r="W742" s="9">
        <f t="shared" si="282"/>
        <v>0</v>
      </c>
      <c r="X742" s="9">
        <f t="shared" si="283"/>
        <v>0</v>
      </c>
      <c r="Y742" s="9">
        <f t="shared" si="284"/>
        <v>0</v>
      </c>
      <c r="Z742" s="9">
        <f t="shared" si="285"/>
        <v>0</v>
      </c>
      <c r="AA742" s="10">
        <f t="shared" si="286"/>
        <v>0</v>
      </c>
    </row>
    <row r="743" spans="1:27" x14ac:dyDescent="0.3">
      <c r="A743" s="18" t="s">
        <v>1303</v>
      </c>
      <c r="B743" s="4">
        <f t="shared" si="264"/>
        <v>0</v>
      </c>
      <c r="C743" s="4">
        <f t="shared" si="265"/>
        <v>0</v>
      </c>
      <c r="D743" s="4">
        <f t="shared" si="266"/>
        <v>0</v>
      </c>
      <c r="E743" s="4">
        <f t="shared" si="267"/>
        <v>0</v>
      </c>
      <c r="F743" s="4">
        <f t="shared" si="268"/>
        <v>1</v>
      </c>
      <c r="G743" s="4">
        <f t="shared" si="269"/>
        <v>0</v>
      </c>
      <c r="I743" s="8" t="s">
        <v>1044</v>
      </c>
      <c r="J743" s="9">
        <f t="shared" si="270"/>
        <v>0</v>
      </c>
      <c r="K743" s="9">
        <f t="shared" si="287"/>
        <v>0</v>
      </c>
      <c r="L743" s="9">
        <f t="shared" si="271"/>
        <v>0</v>
      </c>
      <c r="M743" s="9">
        <f t="shared" si="272"/>
        <v>0</v>
      </c>
      <c r="N743" s="9">
        <f t="shared" si="273"/>
        <v>0</v>
      </c>
      <c r="O743" s="9">
        <f t="shared" si="274"/>
        <v>0</v>
      </c>
      <c r="P743" s="9">
        <f t="shared" si="275"/>
        <v>0</v>
      </c>
      <c r="Q743" s="9">
        <f t="shared" si="276"/>
        <v>0</v>
      </c>
      <c r="R743" s="9">
        <f t="shared" si="277"/>
        <v>0</v>
      </c>
      <c r="S743" s="9">
        <f t="shared" si="278"/>
        <v>0</v>
      </c>
      <c r="T743" s="9">
        <f t="shared" si="279"/>
        <v>0</v>
      </c>
      <c r="U743" s="9">
        <f t="shared" si="280"/>
        <v>1</v>
      </c>
      <c r="V743" s="9">
        <f t="shared" si="281"/>
        <v>0</v>
      </c>
      <c r="W743" s="9">
        <f t="shared" si="282"/>
        <v>0</v>
      </c>
      <c r="X743" s="9">
        <f t="shared" si="283"/>
        <v>0</v>
      </c>
      <c r="Y743" s="9">
        <f t="shared" si="284"/>
        <v>0</v>
      </c>
      <c r="Z743" s="9">
        <f t="shared" si="285"/>
        <v>0</v>
      </c>
      <c r="AA743" s="10">
        <f t="shared" si="286"/>
        <v>0</v>
      </c>
    </row>
    <row r="744" spans="1:27" x14ac:dyDescent="0.3">
      <c r="A744" s="4" t="s">
        <v>1294</v>
      </c>
      <c r="B744" s="4">
        <f t="shared" si="264"/>
        <v>0</v>
      </c>
      <c r="C744" s="4">
        <f t="shared" si="265"/>
        <v>0</v>
      </c>
      <c r="D744" s="4">
        <f t="shared" si="266"/>
        <v>0</v>
      </c>
      <c r="E744" s="4">
        <f t="shared" si="267"/>
        <v>0</v>
      </c>
      <c r="F744" s="4">
        <f t="shared" si="268"/>
        <v>0</v>
      </c>
      <c r="G744" s="4">
        <f t="shared" si="269"/>
        <v>0</v>
      </c>
      <c r="I744" s="11" t="s">
        <v>1128</v>
      </c>
      <c r="J744" s="9">
        <f t="shared" si="270"/>
        <v>0</v>
      </c>
      <c r="K744" s="9">
        <f t="shared" si="287"/>
        <v>0</v>
      </c>
      <c r="L744" s="9">
        <f t="shared" si="271"/>
        <v>0</v>
      </c>
      <c r="M744" s="9">
        <f t="shared" si="272"/>
        <v>0</v>
      </c>
      <c r="N744" s="9">
        <f t="shared" si="273"/>
        <v>0</v>
      </c>
      <c r="O744" s="9">
        <f t="shared" si="274"/>
        <v>0</v>
      </c>
      <c r="P744" s="9">
        <f t="shared" si="275"/>
        <v>0</v>
      </c>
      <c r="Q744" s="9">
        <f t="shared" si="276"/>
        <v>0</v>
      </c>
      <c r="R744" s="9">
        <f t="shared" si="277"/>
        <v>0</v>
      </c>
      <c r="S744" s="9">
        <f t="shared" si="278"/>
        <v>0</v>
      </c>
      <c r="T744" s="9">
        <f t="shared" si="279"/>
        <v>0</v>
      </c>
      <c r="U744" s="9">
        <f t="shared" si="280"/>
        <v>0</v>
      </c>
      <c r="V744" s="9">
        <f t="shared" si="281"/>
        <v>0</v>
      </c>
      <c r="W744" s="9">
        <f t="shared" si="282"/>
        <v>0</v>
      </c>
      <c r="X744" s="9">
        <f t="shared" si="283"/>
        <v>0</v>
      </c>
      <c r="Y744" s="9">
        <f t="shared" si="284"/>
        <v>1</v>
      </c>
      <c r="Z744" s="9">
        <f t="shared" si="285"/>
        <v>0</v>
      </c>
      <c r="AA744" s="10">
        <f t="shared" si="286"/>
        <v>0</v>
      </c>
    </row>
    <row r="745" spans="1:27" x14ac:dyDescent="0.3">
      <c r="A745" s="18" t="s">
        <v>1294</v>
      </c>
      <c r="B745" s="4">
        <f t="shared" si="264"/>
        <v>0</v>
      </c>
      <c r="C745" s="4">
        <f t="shared" si="265"/>
        <v>0</v>
      </c>
      <c r="D745" s="4">
        <f t="shared" si="266"/>
        <v>0</v>
      </c>
      <c r="E745" s="4">
        <f t="shared" si="267"/>
        <v>0</v>
      </c>
      <c r="F745" s="4">
        <f t="shared" si="268"/>
        <v>0</v>
      </c>
      <c r="G745" s="4">
        <f t="shared" si="269"/>
        <v>0</v>
      </c>
      <c r="I745" s="8" t="s">
        <v>977</v>
      </c>
      <c r="J745" s="9">
        <f t="shared" si="270"/>
        <v>1</v>
      </c>
      <c r="K745" s="9">
        <f t="shared" si="287"/>
        <v>0</v>
      </c>
      <c r="L745" s="9">
        <f t="shared" si="271"/>
        <v>0</v>
      </c>
      <c r="M745" s="9">
        <f t="shared" si="272"/>
        <v>0</v>
      </c>
      <c r="N745" s="9">
        <f t="shared" si="273"/>
        <v>0</v>
      </c>
      <c r="O745" s="9">
        <f t="shared" si="274"/>
        <v>0</v>
      </c>
      <c r="P745" s="9">
        <f t="shared" si="275"/>
        <v>0</v>
      </c>
      <c r="Q745" s="9">
        <f t="shared" si="276"/>
        <v>0</v>
      </c>
      <c r="R745" s="9">
        <f t="shared" si="277"/>
        <v>0</v>
      </c>
      <c r="S745" s="9">
        <f t="shared" si="278"/>
        <v>0</v>
      </c>
      <c r="T745" s="9">
        <f t="shared" si="279"/>
        <v>0</v>
      </c>
      <c r="U745" s="9">
        <f t="shared" si="280"/>
        <v>0</v>
      </c>
      <c r="V745" s="9">
        <f t="shared" si="281"/>
        <v>0</v>
      </c>
      <c r="W745" s="9">
        <f t="shared" si="282"/>
        <v>0</v>
      </c>
      <c r="X745" s="9">
        <f t="shared" si="283"/>
        <v>0</v>
      </c>
      <c r="Y745" s="9">
        <f t="shared" si="284"/>
        <v>0</v>
      </c>
      <c r="Z745" s="9">
        <f t="shared" si="285"/>
        <v>0</v>
      </c>
      <c r="AA745" s="10">
        <f t="shared" si="286"/>
        <v>0</v>
      </c>
    </row>
    <row r="746" spans="1:27" x14ac:dyDescent="0.3">
      <c r="A746" s="4" t="s">
        <v>1302</v>
      </c>
      <c r="B746" s="4">
        <f t="shared" si="264"/>
        <v>1</v>
      </c>
      <c r="C746" s="4">
        <f t="shared" si="265"/>
        <v>0</v>
      </c>
      <c r="D746" s="4">
        <f t="shared" si="266"/>
        <v>0</v>
      </c>
      <c r="E746" s="4">
        <f t="shared" si="267"/>
        <v>0</v>
      </c>
      <c r="F746" s="4">
        <f t="shared" si="268"/>
        <v>0</v>
      </c>
      <c r="G746" s="4">
        <f t="shared" si="269"/>
        <v>0</v>
      </c>
      <c r="I746" s="11" t="s">
        <v>1044</v>
      </c>
      <c r="J746" s="9">
        <f t="shared" si="270"/>
        <v>0</v>
      </c>
      <c r="K746" s="9">
        <f t="shared" si="287"/>
        <v>0</v>
      </c>
      <c r="L746" s="9">
        <f t="shared" si="271"/>
        <v>0</v>
      </c>
      <c r="M746" s="9">
        <f t="shared" si="272"/>
        <v>0</v>
      </c>
      <c r="N746" s="9">
        <f t="shared" si="273"/>
        <v>0</v>
      </c>
      <c r="O746" s="9">
        <f t="shared" si="274"/>
        <v>0</v>
      </c>
      <c r="P746" s="9">
        <f t="shared" si="275"/>
        <v>0</v>
      </c>
      <c r="Q746" s="9">
        <f t="shared" si="276"/>
        <v>0</v>
      </c>
      <c r="R746" s="9">
        <f t="shared" si="277"/>
        <v>0</v>
      </c>
      <c r="S746" s="9">
        <f t="shared" si="278"/>
        <v>0</v>
      </c>
      <c r="T746" s="9">
        <f t="shared" si="279"/>
        <v>0</v>
      </c>
      <c r="U746" s="9">
        <f t="shared" si="280"/>
        <v>1</v>
      </c>
      <c r="V746" s="9">
        <f t="shared" si="281"/>
        <v>0</v>
      </c>
      <c r="W746" s="9">
        <f t="shared" si="282"/>
        <v>0</v>
      </c>
      <c r="X746" s="9">
        <f t="shared" si="283"/>
        <v>0</v>
      </c>
      <c r="Y746" s="9">
        <f t="shared" si="284"/>
        <v>0</v>
      </c>
      <c r="Z746" s="9">
        <f t="shared" si="285"/>
        <v>0</v>
      </c>
      <c r="AA746" s="10">
        <f t="shared" si="286"/>
        <v>0</v>
      </c>
    </row>
    <row r="747" spans="1:27" x14ac:dyDescent="0.3">
      <c r="A747" s="18" t="s">
        <v>1302</v>
      </c>
      <c r="B747" s="4">
        <f t="shared" si="264"/>
        <v>1</v>
      </c>
      <c r="C747" s="4">
        <f t="shared" si="265"/>
        <v>0</v>
      </c>
      <c r="D747" s="4">
        <f t="shared" si="266"/>
        <v>0</v>
      </c>
      <c r="E747" s="4">
        <f t="shared" si="267"/>
        <v>0</v>
      </c>
      <c r="F747" s="4">
        <f t="shared" si="268"/>
        <v>0</v>
      </c>
      <c r="G747" s="4">
        <f t="shared" si="269"/>
        <v>0</v>
      </c>
      <c r="I747" s="8" t="s">
        <v>990</v>
      </c>
      <c r="J747" s="9">
        <f t="shared" si="270"/>
        <v>0</v>
      </c>
      <c r="K747" s="9">
        <f t="shared" si="287"/>
        <v>0</v>
      </c>
      <c r="L747" s="9">
        <f t="shared" si="271"/>
        <v>0</v>
      </c>
      <c r="M747" s="9">
        <f t="shared" si="272"/>
        <v>0</v>
      </c>
      <c r="N747" s="9">
        <f t="shared" si="273"/>
        <v>1</v>
      </c>
      <c r="O747" s="9">
        <f t="shared" si="274"/>
        <v>0</v>
      </c>
      <c r="P747" s="9">
        <f t="shared" si="275"/>
        <v>0</v>
      </c>
      <c r="Q747" s="9">
        <f t="shared" si="276"/>
        <v>0</v>
      </c>
      <c r="R747" s="9">
        <f t="shared" si="277"/>
        <v>0</v>
      </c>
      <c r="S747" s="9">
        <f t="shared" si="278"/>
        <v>0</v>
      </c>
      <c r="T747" s="9">
        <f t="shared" si="279"/>
        <v>0</v>
      </c>
      <c r="U747" s="9">
        <f t="shared" si="280"/>
        <v>0</v>
      </c>
      <c r="V747" s="9">
        <f t="shared" si="281"/>
        <v>0</v>
      </c>
      <c r="W747" s="9">
        <f t="shared" si="282"/>
        <v>0</v>
      </c>
      <c r="X747" s="9">
        <f t="shared" si="283"/>
        <v>0</v>
      </c>
      <c r="Y747" s="9">
        <f t="shared" si="284"/>
        <v>0</v>
      </c>
      <c r="Z747" s="9">
        <f t="shared" si="285"/>
        <v>0</v>
      </c>
      <c r="AA747" s="10">
        <f t="shared" si="286"/>
        <v>0</v>
      </c>
    </row>
    <row r="748" spans="1:27" x14ac:dyDescent="0.3">
      <c r="A748" s="4" t="s">
        <v>1302</v>
      </c>
      <c r="B748" s="4">
        <f t="shared" si="264"/>
        <v>1</v>
      </c>
      <c r="C748" s="4">
        <f t="shared" si="265"/>
        <v>0</v>
      </c>
      <c r="D748" s="4">
        <f t="shared" si="266"/>
        <v>0</v>
      </c>
      <c r="E748" s="4">
        <f t="shared" si="267"/>
        <v>0</v>
      </c>
      <c r="F748" s="4">
        <f t="shared" si="268"/>
        <v>0</v>
      </c>
      <c r="G748" s="4">
        <f t="shared" si="269"/>
        <v>0</v>
      </c>
      <c r="I748" s="11" t="s">
        <v>988</v>
      </c>
      <c r="J748" s="9">
        <f t="shared" si="270"/>
        <v>0</v>
      </c>
      <c r="K748" s="9">
        <f t="shared" si="287"/>
        <v>0</v>
      </c>
      <c r="L748" s="9">
        <f t="shared" si="271"/>
        <v>1</v>
      </c>
      <c r="M748" s="9">
        <f t="shared" si="272"/>
        <v>0</v>
      </c>
      <c r="N748" s="9">
        <f t="shared" si="273"/>
        <v>0</v>
      </c>
      <c r="O748" s="9">
        <f t="shared" si="274"/>
        <v>0</v>
      </c>
      <c r="P748" s="9">
        <f t="shared" si="275"/>
        <v>0</v>
      </c>
      <c r="Q748" s="9">
        <f t="shared" si="276"/>
        <v>0</v>
      </c>
      <c r="R748" s="9">
        <f t="shared" si="277"/>
        <v>0</v>
      </c>
      <c r="S748" s="9">
        <f t="shared" si="278"/>
        <v>0</v>
      </c>
      <c r="T748" s="9">
        <f t="shared" si="279"/>
        <v>0</v>
      </c>
      <c r="U748" s="9">
        <f t="shared" si="280"/>
        <v>0</v>
      </c>
      <c r="V748" s="9">
        <f t="shared" si="281"/>
        <v>0</v>
      </c>
      <c r="W748" s="9">
        <f t="shared" si="282"/>
        <v>0</v>
      </c>
      <c r="X748" s="9">
        <f t="shared" si="283"/>
        <v>0</v>
      </c>
      <c r="Y748" s="9">
        <f t="shared" si="284"/>
        <v>0</v>
      </c>
      <c r="Z748" s="9">
        <f t="shared" si="285"/>
        <v>0</v>
      </c>
      <c r="AA748" s="10">
        <f t="shared" si="286"/>
        <v>0</v>
      </c>
    </row>
    <row r="749" spans="1:27" x14ac:dyDescent="0.3">
      <c r="A749" s="18" t="s">
        <v>1303</v>
      </c>
      <c r="B749" s="4">
        <f t="shared" si="264"/>
        <v>0</v>
      </c>
      <c r="C749" s="4">
        <f t="shared" si="265"/>
        <v>0</v>
      </c>
      <c r="D749" s="4">
        <f t="shared" si="266"/>
        <v>0</v>
      </c>
      <c r="E749" s="4">
        <f t="shared" si="267"/>
        <v>0</v>
      </c>
      <c r="F749" s="4">
        <f t="shared" si="268"/>
        <v>1</v>
      </c>
      <c r="G749" s="4">
        <f t="shared" si="269"/>
        <v>0</v>
      </c>
      <c r="I749" s="8" t="s">
        <v>988</v>
      </c>
      <c r="J749" s="9">
        <f t="shared" si="270"/>
        <v>0</v>
      </c>
      <c r="K749" s="9">
        <f t="shared" si="287"/>
        <v>0</v>
      </c>
      <c r="L749" s="9">
        <f t="shared" si="271"/>
        <v>1</v>
      </c>
      <c r="M749" s="9">
        <f t="shared" si="272"/>
        <v>0</v>
      </c>
      <c r="N749" s="9">
        <f t="shared" si="273"/>
        <v>0</v>
      </c>
      <c r="O749" s="9">
        <f t="shared" si="274"/>
        <v>0</v>
      </c>
      <c r="P749" s="9">
        <f t="shared" si="275"/>
        <v>0</v>
      </c>
      <c r="Q749" s="9">
        <f t="shared" si="276"/>
        <v>0</v>
      </c>
      <c r="R749" s="9">
        <f t="shared" si="277"/>
        <v>0</v>
      </c>
      <c r="S749" s="9">
        <f t="shared" si="278"/>
        <v>0</v>
      </c>
      <c r="T749" s="9">
        <f t="shared" si="279"/>
        <v>0</v>
      </c>
      <c r="U749" s="9">
        <f t="shared" si="280"/>
        <v>0</v>
      </c>
      <c r="V749" s="9">
        <f t="shared" si="281"/>
        <v>0</v>
      </c>
      <c r="W749" s="9">
        <f t="shared" si="282"/>
        <v>0</v>
      </c>
      <c r="X749" s="9">
        <f t="shared" si="283"/>
        <v>0</v>
      </c>
      <c r="Y749" s="9">
        <f t="shared" si="284"/>
        <v>0</v>
      </c>
      <c r="Z749" s="9">
        <f t="shared" si="285"/>
        <v>0</v>
      </c>
      <c r="AA749" s="10">
        <f t="shared" si="286"/>
        <v>0</v>
      </c>
    </row>
    <row r="750" spans="1:27" x14ac:dyDescent="0.3">
      <c r="A750" s="4" t="s">
        <v>1305</v>
      </c>
      <c r="B750" s="4">
        <f t="shared" si="264"/>
        <v>0</v>
      </c>
      <c r="C750" s="4">
        <f t="shared" si="265"/>
        <v>0</v>
      </c>
      <c r="D750" s="4">
        <f t="shared" si="266"/>
        <v>0</v>
      </c>
      <c r="E750" s="4">
        <f t="shared" si="267"/>
        <v>0</v>
      </c>
      <c r="F750" s="4">
        <f t="shared" si="268"/>
        <v>0</v>
      </c>
      <c r="G750" s="4">
        <f t="shared" si="269"/>
        <v>1</v>
      </c>
      <c r="I750" s="11" t="s">
        <v>982</v>
      </c>
      <c r="J750" s="9">
        <f t="shared" si="270"/>
        <v>0</v>
      </c>
      <c r="K750" s="9">
        <f t="shared" si="287"/>
        <v>1</v>
      </c>
      <c r="L750" s="9">
        <f t="shared" si="271"/>
        <v>0</v>
      </c>
      <c r="M750" s="9">
        <f t="shared" si="272"/>
        <v>0</v>
      </c>
      <c r="N750" s="9">
        <f t="shared" si="273"/>
        <v>0</v>
      </c>
      <c r="O750" s="9">
        <f t="shared" si="274"/>
        <v>0</v>
      </c>
      <c r="P750" s="9">
        <f t="shared" si="275"/>
        <v>0</v>
      </c>
      <c r="Q750" s="9">
        <f t="shared" si="276"/>
        <v>0</v>
      </c>
      <c r="R750" s="9">
        <f t="shared" si="277"/>
        <v>0</v>
      </c>
      <c r="S750" s="9">
        <f t="shared" si="278"/>
        <v>0</v>
      </c>
      <c r="T750" s="9">
        <f t="shared" si="279"/>
        <v>0</v>
      </c>
      <c r="U750" s="9">
        <f t="shared" si="280"/>
        <v>0</v>
      </c>
      <c r="V750" s="9">
        <f t="shared" si="281"/>
        <v>0</v>
      </c>
      <c r="W750" s="9">
        <f t="shared" si="282"/>
        <v>0</v>
      </c>
      <c r="X750" s="9">
        <f t="shared" si="283"/>
        <v>0</v>
      </c>
      <c r="Y750" s="9">
        <f t="shared" si="284"/>
        <v>0</v>
      </c>
      <c r="Z750" s="9">
        <f t="shared" si="285"/>
        <v>0</v>
      </c>
      <c r="AA750" s="10">
        <f t="shared" si="286"/>
        <v>0</v>
      </c>
    </row>
    <row r="751" spans="1:27" x14ac:dyDescent="0.3">
      <c r="A751" s="18" t="s">
        <v>1305</v>
      </c>
      <c r="B751" s="4">
        <f t="shared" si="264"/>
        <v>0</v>
      </c>
      <c r="C751" s="4">
        <f t="shared" si="265"/>
        <v>0</v>
      </c>
      <c r="D751" s="4">
        <f t="shared" si="266"/>
        <v>0</v>
      </c>
      <c r="E751" s="4">
        <f t="shared" si="267"/>
        <v>0</v>
      </c>
      <c r="F751" s="4">
        <f t="shared" si="268"/>
        <v>0</v>
      </c>
      <c r="G751" s="4">
        <f t="shared" si="269"/>
        <v>1</v>
      </c>
      <c r="I751" s="8" t="s">
        <v>996</v>
      </c>
      <c r="J751" s="9">
        <f t="shared" si="270"/>
        <v>0</v>
      </c>
      <c r="K751" s="9">
        <f t="shared" si="287"/>
        <v>0</v>
      </c>
      <c r="L751" s="9">
        <f t="shared" si="271"/>
        <v>0</v>
      </c>
      <c r="M751" s="9">
        <f t="shared" si="272"/>
        <v>0</v>
      </c>
      <c r="N751" s="9">
        <f t="shared" si="273"/>
        <v>0</v>
      </c>
      <c r="O751" s="9">
        <f t="shared" si="274"/>
        <v>0</v>
      </c>
      <c r="P751" s="9">
        <f t="shared" si="275"/>
        <v>0</v>
      </c>
      <c r="Q751" s="9">
        <f t="shared" si="276"/>
        <v>1</v>
      </c>
      <c r="R751" s="9">
        <f t="shared" si="277"/>
        <v>0</v>
      </c>
      <c r="S751" s="9">
        <f t="shared" si="278"/>
        <v>0</v>
      </c>
      <c r="T751" s="9">
        <f t="shared" si="279"/>
        <v>0</v>
      </c>
      <c r="U751" s="9">
        <f t="shared" si="280"/>
        <v>0</v>
      </c>
      <c r="V751" s="9">
        <f t="shared" si="281"/>
        <v>0</v>
      </c>
      <c r="W751" s="9">
        <f t="shared" si="282"/>
        <v>0</v>
      </c>
      <c r="X751" s="9">
        <f t="shared" si="283"/>
        <v>0</v>
      </c>
      <c r="Y751" s="9">
        <f t="shared" si="284"/>
        <v>0</v>
      </c>
      <c r="Z751" s="9">
        <f t="shared" si="285"/>
        <v>0</v>
      </c>
      <c r="AA751" s="10">
        <f t="shared" si="286"/>
        <v>0</v>
      </c>
    </row>
    <row r="752" spans="1:27" x14ac:dyDescent="0.3">
      <c r="A752" s="4" t="s">
        <v>1302</v>
      </c>
      <c r="B752" s="4">
        <f t="shared" si="264"/>
        <v>1</v>
      </c>
      <c r="C752" s="4">
        <f t="shared" si="265"/>
        <v>0</v>
      </c>
      <c r="D752" s="4">
        <f t="shared" si="266"/>
        <v>0</v>
      </c>
      <c r="E752" s="4">
        <f t="shared" si="267"/>
        <v>0</v>
      </c>
      <c r="F752" s="4">
        <f t="shared" si="268"/>
        <v>0</v>
      </c>
      <c r="G752" s="4">
        <f t="shared" si="269"/>
        <v>0</v>
      </c>
      <c r="I752" s="11" t="s">
        <v>977</v>
      </c>
      <c r="J752" s="9">
        <f t="shared" si="270"/>
        <v>1</v>
      </c>
      <c r="K752" s="9">
        <f t="shared" si="287"/>
        <v>0</v>
      </c>
      <c r="L752" s="9">
        <f t="shared" si="271"/>
        <v>0</v>
      </c>
      <c r="M752" s="9">
        <f t="shared" si="272"/>
        <v>0</v>
      </c>
      <c r="N752" s="9">
        <f t="shared" si="273"/>
        <v>0</v>
      </c>
      <c r="O752" s="9">
        <f t="shared" si="274"/>
        <v>0</v>
      </c>
      <c r="P752" s="9">
        <f t="shared" si="275"/>
        <v>0</v>
      </c>
      <c r="Q752" s="9">
        <f t="shared" si="276"/>
        <v>0</v>
      </c>
      <c r="R752" s="9">
        <f t="shared" si="277"/>
        <v>0</v>
      </c>
      <c r="S752" s="9">
        <f t="shared" si="278"/>
        <v>0</v>
      </c>
      <c r="T752" s="9">
        <f t="shared" si="279"/>
        <v>0</v>
      </c>
      <c r="U752" s="9">
        <f t="shared" si="280"/>
        <v>0</v>
      </c>
      <c r="V752" s="9">
        <f t="shared" si="281"/>
        <v>0</v>
      </c>
      <c r="W752" s="9">
        <f t="shared" si="282"/>
        <v>0</v>
      </c>
      <c r="X752" s="9">
        <f t="shared" si="283"/>
        <v>0</v>
      </c>
      <c r="Y752" s="9">
        <f t="shared" si="284"/>
        <v>0</v>
      </c>
      <c r="Z752" s="9">
        <f t="shared" si="285"/>
        <v>0</v>
      </c>
      <c r="AA752" s="10">
        <f t="shared" si="286"/>
        <v>0</v>
      </c>
    </row>
    <row r="753" spans="1:27" x14ac:dyDescent="0.3">
      <c r="A753" s="18" t="s">
        <v>1304</v>
      </c>
      <c r="B753" s="4">
        <f t="shared" si="264"/>
        <v>0</v>
      </c>
      <c r="C753" s="4">
        <f t="shared" si="265"/>
        <v>1</v>
      </c>
      <c r="D753" s="4">
        <f t="shared" si="266"/>
        <v>0</v>
      </c>
      <c r="E753" s="4">
        <f t="shared" si="267"/>
        <v>0</v>
      </c>
      <c r="F753" s="4">
        <f t="shared" si="268"/>
        <v>0</v>
      </c>
      <c r="G753" s="4">
        <f t="shared" si="269"/>
        <v>0</v>
      </c>
      <c r="I753" s="8" t="s">
        <v>996</v>
      </c>
      <c r="J753" s="9">
        <f t="shared" si="270"/>
        <v>0</v>
      </c>
      <c r="K753" s="9">
        <f t="shared" si="287"/>
        <v>0</v>
      </c>
      <c r="L753" s="9">
        <f t="shared" si="271"/>
        <v>0</v>
      </c>
      <c r="M753" s="9">
        <f t="shared" si="272"/>
        <v>0</v>
      </c>
      <c r="N753" s="9">
        <f t="shared" si="273"/>
        <v>0</v>
      </c>
      <c r="O753" s="9">
        <f t="shared" si="274"/>
        <v>0</v>
      </c>
      <c r="P753" s="9">
        <f t="shared" si="275"/>
        <v>0</v>
      </c>
      <c r="Q753" s="9">
        <f t="shared" si="276"/>
        <v>1</v>
      </c>
      <c r="R753" s="9">
        <f t="shared" si="277"/>
        <v>0</v>
      </c>
      <c r="S753" s="9">
        <f t="shared" si="278"/>
        <v>0</v>
      </c>
      <c r="T753" s="9">
        <f t="shared" si="279"/>
        <v>0</v>
      </c>
      <c r="U753" s="9">
        <f t="shared" si="280"/>
        <v>0</v>
      </c>
      <c r="V753" s="9">
        <f t="shared" si="281"/>
        <v>0</v>
      </c>
      <c r="W753" s="9">
        <f t="shared" si="282"/>
        <v>0</v>
      </c>
      <c r="X753" s="9">
        <f t="shared" si="283"/>
        <v>0</v>
      </c>
      <c r="Y753" s="9">
        <f t="shared" si="284"/>
        <v>0</v>
      </c>
      <c r="Z753" s="9">
        <f t="shared" si="285"/>
        <v>0</v>
      </c>
      <c r="AA753" s="10">
        <f t="shared" si="286"/>
        <v>0</v>
      </c>
    </row>
    <row r="754" spans="1:27" x14ac:dyDescent="0.3">
      <c r="A754" s="4" t="s">
        <v>1304</v>
      </c>
      <c r="B754" s="4">
        <f t="shared" si="264"/>
        <v>0</v>
      </c>
      <c r="C754" s="4">
        <f t="shared" si="265"/>
        <v>1</v>
      </c>
      <c r="D754" s="4">
        <f t="shared" si="266"/>
        <v>0</v>
      </c>
      <c r="E754" s="4">
        <f t="shared" si="267"/>
        <v>0</v>
      </c>
      <c r="F754" s="4">
        <f t="shared" si="268"/>
        <v>0</v>
      </c>
      <c r="G754" s="4">
        <f t="shared" si="269"/>
        <v>0</v>
      </c>
      <c r="I754" s="11" t="s">
        <v>988</v>
      </c>
      <c r="J754" s="9">
        <f t="shared" si="270"/>
        <v>0</v>
      </c>
      <c r="K754" s="9">
        <f t="shared" si="287"/>
        <v>0</v>
      </c>
      <c r="L754" s="9">
        <f t="shared" si="271"/>
        <v>1</v>
      </c>
      <c r="M754" s="9">
        <f t="shared" si="272"/>
        <v>0</v>
      </c>
      <c r="N754" s="9">
        <f t="shared" si="273"/>
        <v>0</v>
      </c>
      <c r="O754" s="9">
        <f t="shared" si="274"/>
        <v>0</v>
      </c>
      <c r="P754" s="9">
        <f t="shared" si="275"/>
        <v>0</v>
      </c>
      <c r="Q754" s="9">
        <f t="shared" si="276"/>
        <v>0</v>
      </c>
      <c r="R754" s="9">
        <f t="shared" si="277"/>
        <v>0</v>
      </c>
      <c r="S754" s="9">
        <f t="shared" si="278"/>
        <v>0</v>
      </c>
      <c r="T754" s="9">
        <f t="shared" si="279"/>
        <v>0</v>
      </c>
      <c r="U754" s="9">
        <f t="shared" si="280"/>
        <v>0</v>
      </c>
      <c r="V754" s="9">
        <f t="shared" si="281"/>
        <v>0</v>
      </c>
      <c r="W754" s="9">
        <f t="shared" si="282"/>
        <v>0</v>
      </c>
      <c r="X754" s="9">
        <f t="shared" si="283"/>
        <v>0</v>
      </c>
      <c r="Y754" s="9">
        <f t="shared" si="284"/>
        <v>0</v>
      </c>
      <c r="Z754" s="9">
        <f t="shared" si="285"/>
        <v>0</v>
      </c>
      <c r="AA754" s="10">
        <f t="shared" si="286"/>
        <v>0</v>
      </c>
    </row>
    <row r="755" spans="1:27" x14ac:dyDescent="0.3">
      <c r="A755" s="18" t="s">
        <v>1304</v>
      </c>
      <c r="B755" s="4">
        <f t="shared" si="264"/>
        <v>0</v>
      </c>
      <c r="C755" s="4">
        <f t="shared" si="265"/>
        <v>1</v>
      </c>
      <c r="D755" s="4">
        <f t="shared" si="266"/>
        <v>0</v>
      </c>
      <c r="E755" s="4">
        <f t="shared" si="267"/>
        <v>0</v>
      </c>
      <c r="F755" s="4">
        <f t="shared" si="268"/>
        <v>0</v>
      </c>
      <c r="G755" s="4">
        <f t="shared" si="269"/>
        <v>0</v>
      </c>
      <c r="I755" s="8" t="s">
        <v>1011</v>
      </c>
      <c r="J755" s="9">
        <f t="shared" si="270"/>
        <v>0</v>
      </c>
      <c r="K755" s="9">
        <f t="shared" si="287"/>
        <v>0</v>
      </c>
      <c r="L755" s="9">
        <f t="shared" si="271"/>
        <v>0</v>
      </c>
      <c r="M755" s="9">
        <f t="shared" si="272"/>
        <v>0</v>
      </c>
      <c r="N755" s="9">
        <f t="shared" si="273"/>
        <v>0</v>
      </c>
      <c r="O755" s="9">
        <f t="shared" si="274"/>
        <v>0</v>
      </c>
      <c r="P755" s="9">
        <f t="shared" si="275"/>
        <v>0</v>
      </c>
      <c r="Q755" s="9">
        <f t="shared" si="276"/>
        <v>0</v>
      </c>
      <c r="R755" s="9">
        <f t="shared" si="277"/>
        <v>0</v>
      </c>
      <c r="S755" s="9">
        <f t="shared" si="278"/>
        <v>1</v>
      </c>
      <c r="T755" s="9">
        <f t="shared" si="279"/>
        <v>0</v>
      </c>
      <c r="U755" s="9">
        <f t="shared" si="280"/>
        <v>0</v>
      </c>
      <c r="V755" s="9">
        <f t="shared" si="281"/>
        <v>0</v>
      </c>
      <c r="W755" s="9">
        <f t="shared" si="282"/>
        <v>0</v>
      </c>
      <c r="X755" s="9">
        <f t="shared" si="283"/>
        <v>0</v>
      </c>
      <c r="Y755" s="9">
        <f t="shared" si="284"/>
        <v>0</v>
      </c>
      <c r="Z755" s="9">
        <f t="shared" si="285"/>
        <v>0</v>
      </c>
      <c r="AA755" s="10">
        <f t="shared" si="286"/>
        <v>0</v>
      </c>
    </row>
    <row r="756" spans="1:27" x14ac:dyDescent="0.3">
      <c r="A756" s="4" t="s">
        <v>1294</v>
      </c>
      <c r="B756" s="4">
        <f t="shared" si="264"/>
        <v>0</v>
      </c>
      <c r="C756" s="4">
        <f t="shared" si="265"/>
        <v>0</v>
      </c>
      <c r="D756" s="4">
        <f t="shared" si="266"/>
        <v>0</v>
      </c>
      <c r="E756" s="4">
        <f t="shared" si="267"/>
        <v>0</v>
      </c>
      <c r="F756" s="4">
        <f t="shared" si="268"/>
        <v>0</v>
      </c>
      <c r="G756" s="4">
        <f t="shared" si="269"/>
        <v>0</v>
      </c>
      <c r="I756" s="11" t="s">
        <v>988</v>
      </c>
      <c r="J756" s="9">
        <f t="shared" si="270"/>
        <v>0</v>
      </c>
      <c r="K756" s="9">
        <f t="shared" si="287"/>
        <v>0</v>
      </c>
      <c r="L756" s="9">
        <f t="shared" si="271"/>
        <v>1</v>
      </c>
      <c r="M756" s="9">
        <f t="shared" si="272"/>
        <v>0</v>
      </c>
      <c r="N756" s="9">
        <f t="shared" si="273"/>
        <v>0</v>
      </c>
      <c r="O756" s="9">
        <f t="shared" si="274"/>
        <v>0</v>
      </c>
      <c r="P756" s="9">
        <f t="shared" si="275"/>
        <v>0</v>
      </c>
      <c r="Q756" s="9">
        <f t="shared" si="276"/>
        <v>0</v>
      </c>
      <c r="R756" s="9">
        <f t="shared" si="277"/>
        <v>0</v>
      </c>
      <c r="S756" s="9">
        <f t="shared" si="278"/>
        <v>0</v>
      </c>
      <c r="T756" s="9">
        <f t="shared" si="279"/>
        <v>0</v>
      </c>
      <c r="U756" s="9">
        <f t="shared" si="280"/>
        <v>0</v>
      </c>
      <c r="V756" s="9">
        <f t="shared" si="281"/>
        <v>0</v>
      </c>
      <c r="W756" s="9">
        <f t="shared" si="282"/>
        <v>0</v>
      </c>
      <c r="X756" s="9">
        <f t="shared" si="283"/>
        <v>0</v>
      </c>
      <c r="Y756" s="9">
        <f t="shared" si="284"/>
        <v>0</v>
      </c>
      <c r="Z756" s="9">
        <f t="shared" si="285"/>
        <v>0</v>
      </c>
      <c r="AA756" s="10">
        <f t="shared" si="286"/>
        <v>0</v>
      </c>
    </row>
    <row r="757" spans="1:27" x14ac:dyDescent="0.3">
      <c r="A757" s="18" t="s">
        <v>1302</v>
      </c>
      <c r="B757" s="4">
        <f t="shared" si="264"/>
        <v>1</v>
      </c>
      <c r="C757" s="4">
        <f t="shared" si="265"/>
        <v>0</v>
      </c>
      <c r="D757" s="4">
        <f t="shared" si="266"/>
        <v>0</v>
      </c>
      <c r="E757" s="4">
        <f t="shared" si="267"/>
        <v>0</v>
      </c>
      <c r="F757" s="4">
        <f t="shared" si="268"/>
        <v>0</v>
      </c>
      <c r="G757" s="4">
        <f t="shared" si="269"/>
        <v>0</v>
      </c>
      <c r="I757" s="8" t="s">
        <v>977</v>
      </c>
      <c r="J757" s="9">
        <f t="shared" si="270"/>
        <v>1</v>
      </c>
      <c r="K757" s="9">
        <f t="shared" si="287"/>
        <v>0</v>
      </c>
      <c r="L757" s="9">
        <f t="shared" si="271"/>
        <v>0</v>
      </c>
      <c r="M757" s="9">
        <f t="shared" si="272"/>
        <v>0</v>
      </c>
      <c r="N757" s="9">
        <f t="shared" si="273"/>
        <v>0</v>
      </c>
      <c r="O757" s="9">
        <f t="shared" si="274"/>
        <v>0</v>
      </c>
      <c r="P757" s="9">
        <f t="shared" si="275"/>
        <v>0</v>
      </c>
      <c r="Q757" s="9">
        <f t="shared" si="276"/>
        <v>0</v>
      </c>
      <c r="R757" s="9">
        <f t="shared" si="277"/>
        <v>0</v>
      </c>
      <c r="S757" s="9">
        <f t="shared" si="278"/>
        <v>0</v>
      </c>
      <c r="T757" s="9">
        <f t="shared" si="279"/>
        <v>0</v>
      </c>
      <c r="U757" s="9">
        <f t="shared" si="280"/>
        <v>0</v>
      </c>
      <c r="V757" s="9">
        <f t="shared" si="281"/>
        <v>0</v>
      </c>
      <c r="W757" s="9">
        <f t="shared" si="282"/>
        <v>0</v>
      </c>
      <c r="X757" s="9">
        <f t="shared" si="283"/>
        <v>0</v>
      </c>
      <c r="Y757" s="9">
        <f t="shared" si="284"/>
        <v>0</v>
      </c>
      <c r="Z757" s="9">
        <f t="shared" si="285"/>
        <v>0</v>
      </c>
      <c r="AA757" s="10">
        <f t="shared" si="286"/>
        <v>0</v>
      </c>
    </row>
    <row r="758" spans="1:27" x14ac:dyDescent="0.3">
      <c r="A758" s="4" t="s">
        <v>1303</v>
      </c>
      <c r="B758" s="4">
        <f t="shared" si="264"/>
        <v>0</v>
      </c>
      <c r="C758" s="4">
        <f t="shared" si="265"/>
        <v>0</v>
      </c>
      <c r="D758" s="4">
        <f t="shared" si="266"/>
        <v>0</v>
      </c>
      <c r="E758" s="4">
        <f t="shared" si="267"/>
        <v>0</v>
      </c>
      <c r="F758" s="4">
        <f t="shared" si="268"/>
        <v>1</v>
      </c>
      <c r="G758" s="4">
        <f t="shared" si="269"/>
        <v>0</v>
      </c>
      <c r="I758" s="11" t="s">
        <v>977</v>
      </c>
      <c r="J758" s="9">
        <f t="shared" si="270"/>
        <v>1</v>
      </c>
      <c r="K758" s="9">
        <f t="shared" si="287"/>
        <v>0</v>
      </c>
      <c r="L758" s="9">
        <f t="shared" si="271"/>
        <v>0</v>
      </c>
      <c r="M758" s="9">
        <f t="shared" si="272"/>
        <v>0</v>
      </c>
      <c r="N758" s="9">
        <f t="shared" si="273"/>
        <v>0</v>
      </c>
      <c r="O758" s="9">
        <f t="shared" si="274"/>
        <v>0</v>
      </c>
      <c r="P758" s="9">
        <f t="shared" si="275"/>
        <v>0</v>
      </c>
      <c r="Q758" s="9">
        <f t="shared" si="276"/>
        <v>0</v>
      </c>
      <c r="R758" s="9">
        <f t="shared" si="277"/>
        <v>0</v>
      </c>
      <c r="S758" s="9">
        <f t="shared" si="278"/>
        <v>0</v>
      </c>
      <c r="T758" s="9">
        <f t="shared" si="279"/>
        <v>0</v>
      </c>
      <c r="U758" s="9">
        <f t="shared" si="280"/>
        <v>0</v>
      </c>
      <c r="V758" s="9">
        <f t="shared" si="281"/>
        <v>0</v>
      </c>
      <c r="W758" s="9">
        <f t="shared" si="282"/>
        <v>0</v>
      </c>
      <c r="X758" s="9">
        <f t="shared" si="283"/>
        <v>0</v>
      </c>
      <c r="Y758" s="9">
        <f t="shared" si="284"/>
        <v>0</v>
      </c>
      <c r="Z758" s="9">
        <f t="shared" si="285"/>
        <v>0</v>
      </c>
      <c r="AA758" s="10">
        <f t="shared" si="286"/>
        <v>0</v>
      </c>
    </row>
    <row r="759" spans="1:27" x14ac:dyDescent="0.3">
      <c r="A759" s="18" t="s">
        <v>1303</v>
      </c>
      <c r="B759" s="4">
        <f t="shared" si="264"/>
        <v>0</v>
      </c>
      <c r="C759" s="4">
        <f t="shared" si="265"/>
        <v>0</v>
      </c>
      <c r="D759" s="4">
        <f t="shared" si="266"/>
        <v>0</v>
      </c>
      <c r="E759" s="4">
        <f t="shared" si="267"/>
        <v>0</v>
      </c>
      <c r="F759" s="4">
        <f t="shared" si="268"/>
        <v>1</v>
      </c>
      <c r="G759" s="4">
        <f t="shared" si="269"/>
        <v>0</v>
      </c>
      <c r="I759" s="8" t="s">
        <v>977</v>
      </c>
      <c r="J759" s="9">
        <f t="shared" si="270"/>
        <v>1</v>
      </c>
      <c r="K759" s="9">
        <f t="shared" si="287"/>
        <v>0</v>
      </c>
      <c r="L759" s="9">
        <f t="shared" si="271"/>
        <v>0</v>
      </c>
      <c r="M759" s="9">
        <f t="shared" si="272"/>
        <v>0</v>
      </c>
      <c r="N759" s="9">
        <f t="shared" si="273"/>
        <v>0</v>
      </c>
      <c r="O759" s="9">
        <f t="shared" si="274"/>
        <v>0</v>
      </c>
      <c r="P759" s="9">
        <f t="shared" si="275"/>
        <v>0</v>
      </c>
      <c r="Q759" s="9">
        <f t="shared" si="276"/>
        <v>0</v>
      </c>
      <c r="R759" s="9">
        <f t="shared" si="277"/>
        <v>0</v>
      </c>
      <c r="S759" s="9">
        <f t="shared" si="278"/>
        <v>0</v>
      </c>
      <c r="T759" s="9">
        <f t="shared" si="279"/>
        <v>0</v>
      </c>
      <c r="U759" s="9">
        <f t="shared" si="280"/>
        <v>0</v>
      </c>
      <c r="V759" s="9">
        <f t="shared" si="281"/>
        <v>0</v>
      </c>
      <c r="W759" s="9">
        <f t="shared" si="282"/>
        <v>0</v>
      </c>
      <c r="X759" s="9">
        <f t="shared" si="283"/>
        <v>0</v>
      </c>
      <c r="Y759" s="9">
        <f t="shared" si="284"/>
        <v>0</v>
      </c>
      <c r="Z759" s="9">
        <f t="shared" si="285"/>
        <v>0</v>
      </c>
      <c r="AA759" s="10">
        <f t="shared" si="286"/>
        <v>0</v>
      </c>
    </row>
    <row r="760" spans="1:27" x14ac:dyDescent="0.3">
      <c r="A760" s="4" t="s">
        <v>1302</v>
      </c>
      <c r="B760" s="4">
        <f t="shared" si="264"/>
        <v>1</v>
      </c>
      <c r="C760" s="4">
        <f t="shared" si="265"/>
        <v>0</v>
      </c>
      <c r="D760" s="4">
        <f t="shared" si="266"/>
        <v>0</v>
      </c>
      <c r="E760" s="4">
        <f t="shared" si="267"/>
        <v>0</v>
      </c>
      <c r="F760" s="4">
        <f t="shared" si="268"/>
        <v>0</v>
      </c>
      <c r="G760" s="4">
        <f t="shared" si="269"/>
        <v>0</v>
      </c>
      <c r="I760" s="11" t="s">
        <v>988</v>
      </c>
      <c r="J760" s="9">
        <f t="shared" si="270"/>
        <v>0</v>
      </c>
      <c r="K760" s="9">
        <f t="shared" si="287"/>
        <v>0</v>
      </c>
      <c r="L760" s="9">
        <f t="shared" si="271"/>
        <v>1</v>
      </c>
      <c r="M760" s="9">
        <f t="shared" si="272"/>
        <v>0</v>
      </c>
      <c r="N760" s="9">
        <f t="shared" si="273"/>
        <v>0</v>
      </c>
      <c r="O760" s="9">
        <f t="shared" si="274"/>
        <v>0</v>
      </c>
      <c r="P760" s="9">
        <f t="shared" si="275"/>
        <v>0</v>
      </c>
      <c r="Q760" s="9">
        <f t="shared" si="276"/>
        <v>0</v>
      </c>
      <c r="R760" s="9">
        <f t="shared" si="277"/>
        <v>0</v>
      </c>
      <c r="S760" s="9">
        <f t="shared" si="278"/>
        <v>0</v>
      </c>
      <c r="T760" s="9">
        <f t="shared" si="279"/>
        <v>0</v>
      </c>
      <c r="U760" s="9">
        <f t="shared" si="280"/>
        <v>0</v>
      </c>
      <c r="V760" s="9">
        <f t="shared" si="281"/>
        <v>0</v>
      </c>
      <c r="W760" s="9">
        <f t="shared" si="282"/>
        <v>0</v>
      </c>
      <c r="X760" s="9">
        <f t="shared" si="283"/>
        <v>0</v>
      </c>
      <c r="Y760" s="9">
        <f t="shared" si="284"/>
        <v>0</v>
      </c>
      <c r="Z760" s="9">
        <f t="shared" si="285"/>
        <v>0</v>
      </c>
      <c r="AA760" s="10">
        <f t="shared" si="286"/>
        <v>0</v>
      </c>
    </row>
    <row r="761" spans="1:27" x14ac:dyDescent="0.3">
      <c r="A761" s="18" t="s">
        <v>1302</v>
      </c>
      <c r="B761" s="4">
        <f t="shared" si="264"/>
        <v>1</v>
      </c>
      <c r="C761" s="4">
        <f t="shared" si="265"/>
        <v>0</v>
      </c>
      <c r="D761" s="4">
        <f t="shared" si="266"/>
        <v>0</v>
      </c>
      <c r="E761" s="4">
        <f t="shared" si="267"/>
        <v>0</v>
      </c>
      <c r="F761" s="4">
        <f t="shared" si="268"/>
        <v>0</v>
      </c>
      <c r="G761" s="4">
        <f t="shared" si="269"/>
        <v>0</v>
      </c>
      <c r="I761" s="8" t="s">
        <v>988</v>
      </c>
      <c r="J761" s="9">
        <f t="shared" si="270"/>
        <v>0</v>
      </c>
      <c r="K761" s="9">
        <f t="shared" si="287"/>
        <v>0</v>
      </c>
      <c r="L761" s="9">
        <f t="shared" si="271"/>
        <v>1</v>
      </c>
      <c r="M761" s="9">
        <f t="shared" si="272"/>
        <v>0</v>
      </c>
      <c r="N761" s="9">
        <f t="shared" si="273"/>
        <v>0</v>
      </c>
      <c r="O761" s="9">
        <f t="shared" si="274"/>
        <v>0</v>
      </c>
      <c r="P761" s="9">
        <f t="shared" si="275"/>
        <v>0</v>
      </c>
      <c r="Q761" s="9">
        <f t="shared" si="276"/>
        <v>0</v>
      </c>
      <c r="R761" s="9">
        <f t="shared" si="277"/>
        <v>0</v>
      </c>
      <c r="S761" s="9">
        <f t="shared" si="278"/>
        <v>0</v>
      </c>
      <c r="T761" s="9">
        <f t="shared" si="279"/>
        <v>0</v>
      </c>
      <c r="U761" s="9">
        <f t="shared" si="280"/>
        <v>0</v>
      </c>
      <c r="V761" s="9">
        <f t="shared" si="281"/>
        <v>0</v>
      </c>
      <c r="W761" s="9">
        <f t="shared" si="282"/>
        <v>0</v>
      </c>
      <c r="X761" s="9">
        <f t="shared" si="283"/>
        <v>0</v>
      </c>
      <c r="Y761" s="9">
        <f t="shared" si="284"/>
        <v>0</v>
      </c>
      <c r="Z761" s="9">
        <f t="shared" si="285"/>
        <v>0</v>
      </c>
      <c r="AA761" s="10">
        <f t="shared" si="286"/>
        <v>0</v>
      </c>
    </row>
    <row r="762" spans="1:27" x14ac:dyDescent="0.3">
      <c r="A762" s="4" t="s">
        <v>1304</v>
      </c>
      <c r="B762" s="4">
        <f t="shared" si="264"/>
        <v>0</v>
      </c>
      <c r="C762" s="4">
        <f t="shared" si="265"/>
        <v>1</v>
      </c>
      <c r="D762" s="4">
        <f t="shared" si="266"/>
        <v>0</v>
      </c>
      <c r="E762" s="4">
        <f t="shared" si="267"/>
        <v>0</v>
      </c>
      <c r="F762" s="4">
        <f t="shared" si="268"/>
        <v>0</v>
      </c>
      <c r="G762" s="4">
        <f t="shared" si="269"/>
        <v>0</v>
      </c>
      <c r="I762" s="11" t="s">
        <v>1004</v>
      </c>
      <c r="J762" s="9">
        <f t="shared" si="270"/>
        <v>0</v>
      </c>
      <c r="K762" s="9">
        <f t="shared" si="287"/>
        <v>0</v>
      </c>
      <c r="L762" s="9">
        <f t="shared" si="271"/>
        <v>0</v>
      </c>
      <c r="M762" s="9">
        <f t="shared" si="272"/>
        <v>0</v>
      </c>
      <c r="N762" s="9">
        <f t="shared" si="273"/>
        <v>0</v>
      </c>
      <c r="O762" s="9">
        <f t="shared" si="274"/>
        <v>0</v>
      </c>
      <c r="P762" s="9">
        <f t="shared" si="275"/>
        <v>0</v>
      </c>
      <c r="Q762" s="9">
        <f t="shared" si="276"/>
        <v>0</v>
      </c>
      <c r="R762" s="9">
        <f t="shared" si="277"/>
        <v>1</v>
      </c>
      <c r="S762" s="9">
        <f t="shared" si="278"/>
        <v>0</v>
      </c>
      <c r="T762" s="9">
        <f t="shared" si="279"/>
        <v>0</v>
      </c>
      <c r="U762" s="9">
        <f t="shared" si="280"/>
        <v>0</v>
      </c>
      <c r="V762" s="9">
        <f t="shared" si="281"/>
        <v>0</v>
      </c>
      <c r="W762" s="9">
        <f t="shared" si="282"/>
        <v>0</v>
      </c>
      <c r="X762" s="9">
        <f t="shared" si="283"/>
        <v>0</v>
      </c>
      <c r="Y762" s="9">
        <f t="shared" si="284"/>
        <v>0</v>
      </c>
      <c r="Z762" s="9">
        <f t="shared" si="285"/>
        <v>0</v>
      </c>
      <c r="AA762" s="10">
        <f t="shared" si="286"/>
        <v>0</v>
      </c>
    </row>
    <row r="763" spans="1:27" x14ac:dyDescent="0.3">
      <c r="A763" s="18" t="s">
        <v>1114</v>
      </c>
      <c r="B763" s="4">
        <f t="shared" si="264"/>
        <v>0</v>
      </c>
      <c r="C763" s="4">
        <f t="shared" si="265"/>
        <v>0</v>
      </c>
      <c r="D763" s="4">
        <f t="shared" si="266"/>
        <v>0</v>
      </c>
      <c r="E763" s="4">
        <f t="shared" si="267"/>
        <v>1</v>
      </c>
      <c r="F763" s="4">
        <f t="shared" si="268"/>
        <v>0</v>
      </c>
      <c r="G763" s="4">
        <f t="shared" si="269"/>
        <v>0</v>
      </c>
      <c r="I763" s="8" t="s">
        <v>977</v>
      </c>
      <c r="J763" s="9">
        <f t="shared" si="270"/>
        <v>1</v>
      </c>
      <c r="K763" s="9">
        <f t="shared" si="287"/>
        <v>0</v>
      </c>
      <c r="L763" s="9">
        <f t="shared" si="271"/>
        <v>0</v>
      </c>
      <c r="M763" s="9">
        <f t="shared" si="272"/>
        <v>0</v>
      </c>
      <c r="N763" s="9">
        <f t="shared" si="273"/>
        <v>0</v>
      </c>
      <c r="O763" s="9">
        <f t="shared" si="274"/>
        <v>0</v>
      </c>
      <c r="P763" s="9">
        <f t="shared" si="275"/>
        <v>0</v>
      </c>
      <c r="Q763" s="9">
        <f t="shared" si="276"/>
        <v>0</v>
      </c>
      <c r="R763" s="9">
        <f t="shared" si="277"/>
        <v>0</v>
      </c>
      <c r="S763" s="9">
        <f t="shared" si="278"/>
        <v>0</v>
      </c>
      <c r="T763" s="9">
        <f t="shared" si="279"/>
        <v>0</v>
      </c>
      <c r="U763" s="9">
        <f t="shared" si="280"/>
        <v>0</v>
      </c>
      <c r="V763" s="9">
        <f t="shared" si="281"/>
        <v>0</v>
      </c>
      <c r="W763" s="9">
        <f t="shared" si="282"/>
        <v>0</v>
      </c>
      <c r="X763" s="9">
        <f t="shared" si="283"/>
        <v>0</v>
      </c>
      <c r="Y763" s="9">
        <f t="shared" si="284"/>
        <v>0</v>
      </c>
      <c r="Z763" s="9">
        <f t="shared" si="285"/>
        <v>0</v>
      </c>
      <c r="AA763" s="10">
        <f t="shared" si="286"/>
        <v>0</v>
      </c>
    </row>
    <row r="764" spans="1:27" x14ac:dyDescent="0.3">
      <c r="A764" s="4" t="s">
        <v>1302</v>
      </c>
      <c r="B764" s="4">
        <f t="shared" si="264"/>
        <v>1</v>
      </c>
      <c r="C764" s="4">
        <f t="shared" si="265"/>
        <v>0</v>
      </c>
      <c r="D764" s="4">
        <f t="shared" si="266"/>
        <v>0</v>
      </c>
      <c r="E764" s="4">
        <f t="shared" si="267"/>
        <v>0</v>
      </c>
      <c r="F764" s="4">
        <f t="shared" si="268"/>
        <v>0</v>
      </c>
      <c r="G764" s="4">
        <f t="shared" si="269"/>
        <v>0</v>
      </c>
      <c r="I764" s="11" t="s">
        <v>1139</v>
      </c>
      <c r="J764" s="9">
        <f t="shared" si="270"/>
        <v>0</v>
      </c>
      <c r="K764" s="9">
        <f t="shared" si="287"/>
        <v>0</v>
      </c>
      <c r="L764" s="9">
        <f t="shared" si="271"/>
        <v>0</v>
      </c>
      <c r="M764" s="9">
        <f t="shared" si="272"/>
        <v>0</v>
      </c>
      <c r="N764" s="9">
        <f t="shared" si="273"/>
        <v>0</v>
      </c>
      <c r="O764" s="9">
        <f t="shared" si="274"/>
        <v>0</v>
      </c>
      <c r="P764" s="9">
        <f t="shared" si="275"/>
        <v>0</v>
      </c>
      <c r="Q764" s="9">
        <f t="shared" si="276"/>
        <v>0</v>
      </c>
      <c r="R764" s="9">
        <f t="shared" si="277"/>
        <v>0</v>
      </c>
      <c r="S764" s="9">
        <f t="shared" si="278"/>
        <v>0</v>
      </c>
      <c r="T764" s="9">
        <f t="shared" si="279"/>
        <v>0</v>
      </c>
      <c r="U764" s="9">
        <f t="shared" si="280"/>
        <v>0</v>
      </c>
      <c r="V764" s="9">
        <f t="shared" si="281"/>
        <v>0</v>
      </c>
      <c r="W764" s="9">
        <f t="shared" si="282"/>
        <v>0</v>
      </c>
      <c r="X764" s="9">
        <f t="shared" si="283"/>
        <v>1</v>
      </c>
      <c r="Y764" s="9">
        <f t="shared" si="284"/>
        <v>0</v>
      </c>
      <c r="Z764" s="9">
        <f t="shared" si="285"/>
        <v>0</v>
      </c>
      <c r="AA764" s="10">
        <f t="shared" si="286"/>
        <v>0</v>
      </c>
    </row>
    <row r="765" spans="1:27" x14ac:dyDescent="0.3">
      <c r="A765" s="18" t="s">
        <v>1302</v>
      </c>
      <c r="B765" s="4">
        <f t="shared" si="264"/>
        <v>1</v>
      </c>
      <c r="C765" s="4">
        <f t="shared" si="265"/>
        <v>0</v>
      </c>
      <c r="D765" s="4">
        <f t="shared" si="266"/>
        <v>0</v>
      </c>
      <c r="E765" s="4">
        <f t="shared" si="267"/>
        <v>0</v>
      </c>
      <c r="F765" s="4">
        <f t="shared" si="268"/>
        <v>0</v>
      </c>
      <c r="G765" s="4">
        <f t="shared" si="269"/>
        <v>0</v>
      </c>
      <c r="I765" s="8" t="s">
        <v>994</v>
      </c>
      <c r="J765" s="9">
        <f t="shared" si="270"/>
        <v>0</v>
      </c>
      <c r="K765" s="9">
        <f t="shared" si="287"/>
        <v>0</v>
      </c>
      <c r="L765" s="9">
        <f t="shared" si="271"/>
        <v>0</v>
      </c>
      <c r="M765" s="9">
        <f t="shared" si="272"/>
        <v>0</v>
      </c>
      <c r="N765" s="9">
        <f t="shared" si="273"/>
        <v>0</v>
      </c>
      <c r="O765" s="9">
        <f t="shared" si="274"/>
        <v>0</v>
      </c>
      <c r="P765" s="9">
        <f t="shared" si="275"/>
        <v>1</v>
      </c>
      <c r="Q765" s="9">
        <f t="shared" si="276"/>
        <v>0</v>
      </c>
      <c r="R765" s="9">
        <f t="shared" si="277"/>
        <v>0</v>
      </c>
      <c r="S765" s="9">
        <f t="shared" si="278"/>
        <v>0</v>
      </c>
      <c r="T765" s="9">
        <f t="shared" si="279"/>
        <v>0</v>
      </c>
      <c r="U765" s="9">
        <f t="shared" si="280"/>
        <v>0</v>
      </c>
      <c r="V765" s="9">
        <f t="shared" si="281"/>
        <v>0</v>
      </c>
      <c r="W765" s="9">
        <f t="shared" si="282"/>
        <v>0</v>
      </c>
      <c r="X765" s="9">
        <f t="shared" si="283"/>
        <v>0</v>
      </c>
      <c r="Y765" s="9">
        <f t="shared" si="284"/>
        <v>0</v>
      </c>
      <c r="Z765" s="9">
        <f t="shared" si="285"/>
        <v>0</v>
      </c>
      <c r="AA765" s="10">
        <f t="shared" si="286"/>
        <v>0</v>
      </c>
    </row>
    <row r="766" spans="1:27" x14ac:dyDescent="0.3">
      <c r="A766" s="4" t="s">
        <v>1302</v>
      </c>
      <c r="B766" s="4">
        <f t="shared" si="264"/>
        <v>1</v>
      </c>
      <c r="C766" s="4">
        <f t="shared" si="265"/>
        <v>0</v>
      </c>
      <c r="D766" s="4">
        <f t="shared" si="266"/>
        <v>0</v>
      </c>
      <c r="E766" s="4">
        <f t="shared" si="267"/>
        <v>0</v>
      </c>
      <c r="F766" s="4">
        <f t="shared" si="268"/>
        <v>0</v>
      </c>
      <c r="G766" s="4">
        <f t="shared" si="269"/>
        <v>0</v>
      </c>
      <c r="I766" s="11" t="s">
        <v>988</v>
      </c>
      <c r="J766" s="9">
        <f t="shared" si="270"/>
        <v>0</v>
      </c>
      <c r="K766" s="9">
        <f t="shared" si="287"/>
        <v>0</v>
      </c>
      <c r="L766" s="9">
        <f t="shared" si="271"/>
        <v>1</v>
      </c>
      <c r="M766" s="9">
        <f t="shared" si="272"/>
        <v>0</v>
      </c>
      <c r="N766" s="9">
        <f t="shared" si="273"/>
        <v>0</v>
      </c>
      <c r="O766" s="9">
        <f t="shared" si="274"/>
        <v>0</v>
      </c>
      <c r="P766" s="9">
        <f t="shared" si="275"/>
        <v>0</v>
      </c>
      <c r="Q766" s="9">
        <f t="shared" si="276"/>
        <v>0</v>
      </c>
      <c r="R766" s="9">
        <f t="shared" si="277"/>
        <v>0</v>
      </c>
      <c r="S766" s="9">
        <f t="shared" si="278"/>
        <v>0</v>
      </c>
      <c r="T766" s="9">
        <f t="shared" si="279"/>
        <v>0</v>
      </c>
      <c r="U766" s="9">
        <f t="shared" si="280"/>
        <v>0</v>
      </c>
      <c r="V766" s="9">
        <f t="shared" si="281"/>
        <v>0</v>
      </c>
      <c r="W766" s="9">
        <f t="shared" si="282"/>
        <v>0</v>
      </c>
      <c r="X766" s="9">
        <f t="shared" si="283"/>
        <v>0</v>
      </c>
      <c r="Y766" s="9">
        <f t="shared" si="284"/>
        <v>0</v>
      </c>
      <c r="Z766" s="9">
        <f t="shared" si="285"/>
        <v>0</v>
      </c>
      <c r="AA766" s="10">
        <f t="shared" si="286"/>
        <v>0</v>
      </c>
    </row>
    <row r="767" spans="1:27" x14ac:dyDescent="0.3">
      <c r="A767" s="18" t="s">
        <v>1303</v>
      </c>
      <c r="B767" s="4">
        <f t="shared" si="264"/>
        <v>0</v>
      </c>
      <c r="C767" s="4">
        <f t="shared" si="265"/>
        <v>0</v>
      </c>
      <c r="D767" s="4">
        <f t="shared" si="266"/>
        <v>0</v>
      </c>
      <c r="E767" s="4">
        <f t="shared" si="267"/>
        <v>0</v>
      </c>
      <c r="F767" s="4">
        <f t="shared" si="268"/>
        <v>1</v>
      </c>
      <c r="G767" s="4">
        <f t="shared" si="269"/>
        <v>0</v>
      </c>
      <c r="I767" s="8" t="s">
        <v>994</v>
      </c>
      <c r="J767" s="9">
        <f t="shared" si="270"/>
        <v>0</v>
      </c>
      <c r="K767" s="9">
        <f t="shared" si="287"/>
        <v>0</v>
      </c>
      <c r="L767" s="9">
        <f t="shared" si="271"/>
        <v>0</v>
      </c>
      <c r="M767" s="9">
        <f t="shared" si="272"/>
        <v>0</v>
      </c>
      <c r="N767" s="9">
        <f t="shared" si="273"/>
        <v>0</v>
      </c>
      <c r="O767" s="9">
        <f t="shared" si="274"/>
        <v>0</v>
      </c>
      <c r="P767" s="9">
        <f t="shared" si="275"/>
        <v>1</v>
      </c>
      <c r="Q767" s="9">
        <f t="shared" si="276"/>
        <v>0</v>
      </c>
      <c r="R767" s="9">
        <f t="shared" si="277"/>
        <v>0</v>
      </c>
      <c r="S767" s="9">
        <f t="shared" si="278"/>
        <v>0</v>
      </c>
      <c r="T767" s="9">
        <f t="shared" si="279"/>
        <v>0</v>
      </c>
      <c r="U767" s="9">
        <f t="shared" si="280"/>
        <v>0</v>
      </c>
      <c r="V767" s="9">
        <f t="shared" si="281"/>
        <v>0</v>
      </c>
      <c r="W767" s="9">
        <f t="shared" si="282"/>
        <v>0</v>
      </c>
      <c r="X767" s="9">
        <f t="shared" si="283"/>
        <v>0</v>
      </c>
      <c r="Y767" s="9">
        <f t="shared" si="284"/>
        <v>0</v>
      </c>
      <c r="Z767" s="9">
        <f t="shared" si="285"/>
        <v>0</v>
      </c>
      <c r="AA767" s="10">
        <f t="shared" si="286"/>
        <v>0</v>
      </c>
    </row>
    <row r="768" spans="1:27" x14ac:dyDescent="0.3">
      <c r="A768" s="4" t="s">
        <v>1305</v>
      </c>
      <c r="B768" s="4">
        <f t="shared" si="264"/>
        <v>0</v>
      </c>
      <c r="C768" s="4">
        <f t="shared" si="265"/>
        <v>0</v>
      </c>
      <c r="D768" s="4">
        <f t="shared" si="266"/>
        <v>0</v>
      </c>
      <c r="E768" s="4">
        <f t="shared" si="267"/>
        <v>0</v>
      </c>
      <c r="F768" s="4">
        <f t="shared" si="268"/>
        <v>0</v>
      </c>
      <c r="G768" s="4">
        <f t="shared" si="269"/>
        <v>1</v>
      </c>
      <c r="I768" s="11" t="s">
        <v>988</v>
      </c>
      <c r="J768" s="9">
        <f t="shared" si="270"/>
        <v>0</v>
      </c>
      <c r="K768" s="9">
        <f t="shared" si="287"/>
        <v>0</v>
      </c>
      <c r="L768" s="9">
        <f t="shared" si="271"/>
        <v>1</v>
      </c>
      <c r="M768" s="9">
        <f t="shared" si="272"/>
        <v>0</v>
      </c>
      <c r="N768" s="9">
        <f t="shared" si="273"/>
        <v>0</v>
      </c>
      <c r="O768" s="9">
        <f t="shared" si="274"/>
        <v>0</v>
      </c>
      <c r="P768" s="9">
        <f t="shared" si="275"/>
        <v>0</v>
      </c>
      <c r="Q768" s="9">
        <f t="shared" si="276"/>
        <v>0</v>
      </c>
      <c r="R768" s="9">
        <f t="shared" si="277"/>
        <v>0</v>
      </c>
      <c r="S768" s="9">
        <f t="shared" si="278"/>
        <v>0</v>
      </c>
      <c r="T768" s="9">
        <f t="shared" si="279"/>
        <v>0</v>
      </c>
      <c r="U768" s="9">
        <f t="shared" si="280"/>
        <v>0</v>
      </c>
      <c r="V768" s="9">
        <f t="shared" si="281"/>
        <v>0</v>
      </c>
      <c r="W768" s="9">
        <f t="shared" si="282"/>
        <v>0</v>
      </c>
      <c r="X768" s="9">
        <f t="shared" si="283"/>
        <v>0</v>
      </c>
      <c r="Y768" s="9">
        <f t="shared" si="284"/>
        <v>0</v>
      </c>
      <c r="Z768" s="9">
        <f t="shared" si="285"/>
        <v>0</v>
      </c>
      <c r="AA768" s="10">
        <f t="shared" si="286"/>
        <v>0</v>
      </c>
    </row>
    <row r="769" spans="1:27" x14ac:dyDescent="0.3">
      <c r="A769" s="18" t="s">
        <v>1305</v>
      </c>
      <c r="B769" s="4">
        <f t="shared" si="264"/>
        <v>0</v>
      </c>
      <c r="C769" s="4">
        <f t="shared" si="265"/>
        <v>0</v>
      </c>
      <c r="D769" s="4">
        <f t="shared" si="266"/>
        <v>0</v>
      </c>
      <c r="E769" s="4">
        <f t="shared" si="267"/>
        <v>0</v>
      </c>
      <c r="F769" s="4">
        <f t="shared" si="268"/>
        <v>0</v>
      </c>
      <c r="G769" s="4">
        <f t="shared" si="269"/>
        <v>1</v>
      </c>
      <c r="I769" s="8" t="s">
        <v>996</v>
      </c>
      <c r="J769" s="9">
        <f t="shared" si="270"/>
        <v>0</v>
      </c>
      <c r="K769" s="9">
        <f t="shared" si="287"/>
        <v>0</v>
      </c>
      <c r="L769" s="9">
        <f t="shared" si="271"/>
        <v>0</v>
      </c>
      <c r="M769" s="9">
        <f t="shared" si="272"/>
        <v>0</v>
      </c>
      <c r="N769" s="9">
        <f t="shared" si="273"/>
        <v>0</v>
      </c>
      <c r="O769" s="9">
        <f t="shared" si="274"/>
        <v>0</v>
      </c>
      <c r="P769" s="9">
        <f t="shared" si="275"/>
        <v>0</v>
      </c>
      <c r="Q769" s="9">
        <f t="shared" si="276"/>
        <v>1</v>
      </c>
      <c r="R769" s="9">
        <f t="shared" si="277"/>
        <v>0</v>
      </c>
      <c r="S769" s="9">
        <f t="shared" si="278"/>
        <v>0</v>
      </c>
      <c r="T769" s="9">
        <f t="shared" si="279"/>
        <v>0</v>
      </c>
      <c r="U769" s="9">
        <f t="shared" si="280"/>
        <v>0</v>
      </c>
      <c r="V769" s="9">
        <f t="shared" si="281"/>
        <v>0</v>
      </c>
      <c r="W769" s="9">
        <f t="shared" si="282"/>
        <v>0</v>
      </c>
      <c r="X769" s="9">
        <f t="shared" si="283"/>
        <v>0</v>
      </c>
      <c r="Y769" s="9">
        <f t="shared" si="284"/>
        <v>0</v>
      </c>
      <c r="Z769" s="9">
        <f t="shared" si="285"/>
        <v>0</v>
      </c>
      <c r="AA769" s="10">
        <f t="shared" si="286"/>
        <v>0</v>
      </c>
    </row>
    <row r="770" spans="1:27" x14ac:dyDescent="0.3">
      <c r="A770" s="4" t="s">
        <v>1305</v>
      </c>
      <c r="B770" s="4">
        <f t="shared" si="264"/>
        <v>0</v>
      </c>
      <c r="C770" s="4">
        <f t="shared" si="265"/>
        <v>0</v>
      </c>
      <c r="D770" s="4">
        <f t="shared" si="266"/>
        <v>0</v>
      </c>
      <c r="E770" s="4">
        <f t="shared" si="267"/>
        <v>0</v>
      </c>
      <c r="F770" s="4">
        <f t="shared" si="268"/>
        <v>0</v>
      </c>
      <c r="G770" s="4">
        <f t="shared" si="269"/>
        <v>1</v>
      </c>
      <c r="I770" s="11" t="s">
        <v>994</v>
      </c>
      <c r="J770" s="9">
        <f t="shared" si="270"/>
        <v>0</v>
      </c>
      <c r="K770" s="9">
        <f t="shared" si="287"/>
        <v>0</v>
      </c>
      <c r="L770" s="9">
        <f t="shared" si="271"/>
        <v>0</v>
      </c>
      <c r="M770" s="9">
        <f t="shared" si="272"/>
        <v>0</v>
      </c>
      <c r="N770" s="9">
        <f t="shared" si="273"/>
        <v>0</v>
      </c>
      <c r="O770" s="9">
        <f t="shared" si="274"/>
        <v>0</v>
      </c>
      <c r="P770" s="9">
        <f t="shared" si="275"/>
        <v>1</v>
      </c>
      <c r="Q770" s="9">
        <f t="shared" si="276"/>
        <v>0</v>
      </c>
      <c r="R770" s="9">
        <f t="shared" si="277"/>
        <v>0</v>
      </c>
      <c r="S770" s="9">
        <f t="shared" si="278"/>
        <v>0</v>
      </c>
      <c r="T770" s="9">
        <f t="shared" si="279"/>
        <v>0</v>
      </c>
      <c r="U770" s="9">
        <f t="shared" si="280"/>
        <v>0</v>
      </c>
      <c r="V770" s="9">
        <f t="shared" si="281"/>
        <v>0</v>
      </c>
      <c r="W770" s="9">
        <f t="shared" si="282"/>
        <v>0</v>
      </c>
      <c r="X770" s="9">
        <f t="shared" si="283"/>
        <v>0</v>
      </c>
      <c r="Y770" s="9">
        <f t="shared" si="284"/>
        <v>0</v>
      </c>
      <c r="Z770" s="9">
        <f t="shared" si="285"/>
        <v>0</v>
      </c>
      <c r="AA770" s="10">
        <f t="shared" si="286"/>
        <v>0</v>
      </c>
    </row>
    <row r="771" spans="1:27" x14ac:dyDescent="0.3">
      <c r="A771" s="18" t="s">
        <v>1305</v>
      </c>
      <c r="B771" s="4">
        <f t="shared" si="264"/>
        <v>0</v>
      </c>
      <c r="C771" s="4">
        <f t="shared" si="265"/>
        <v>0</v>
      </c>
      <c r="D771" s="4">
        <f t="shared" si="266"/>
        <v>0</v>
      </c>
      <c r="E771" s="4">
        <f t="shared" si="267"/>
        <v>0</v>
      </c>
      <c r="F771" s="4">
        <f t="shared" si="268"/>
        <v>0</v>
      </c>
      <c r="G771" s="4">
        <f t="shared" si="269"/>
        <v>1</v>
      </c>
      <c r="I771" s="8" t="s">
        <v>977</v>
      </c>
      <c r="J771" s="9">
        <f t="shared" si="270"/>
        <v>1</v>
      </c>
      <c r="K771" s="9">
        <f t="shared" si="287"/>
        <v>0</v>
      </c>
      <c r="L771" s="9">
        <f t="shared" si="271"/>
        <v>0</v>
      </c>
      <c r="M771" s="9">
        <f t="shared" si="272"/>
        <v>0</v>
      </c>
      <c r="N771" s="9">
        <f t="shared" si="273"/>
        <v>0</v>
      </c>
      <c r="O771" s="9">
        <f t="shared" si="274"/>
        <v>0</v>
      </c>
      <c r="P771" s="9">
        <f t="shared" si="275"/>
        <v>0</v>
      </c>
      <c r="Q771" s="9">
        <f t="shared" si="276"/>
        <v>0</v>
      </c>
      <c r="R771" s="9">
        <f t="shared" si="277"/>
        <v>0</v>
      </c>
      <c r="S771" s="9">
        <f t="shared" si="278"/>
        <v>0</v>
      </c>
      <c r="T771" s="9">
        <f t="shared" si="279"/>
        <v>0</v>
      </c>
      <c r="U771" s="9">
        <f t="shared" si="280"/>
        <v>0</v>
      </c>
      <c r="V771" s="9">
        <f t="shared" si="281"/>
        <v>0</v>
      </c>
      <c r="W771" s="9">
        <f t="shared" si="282"/>
        <v>0</v>
      </c>
      <c r="X771" s="9">
        <f t="shared" si="283"/>
        <v>0</v>
      </c>
      <c r="Y771" s="9">
        <f t="shared" si="284"/>
        <v>0</v>
      </c>
      <c r="Z771" s="9">
        <f t="shared" si="285"/>
        <v>0</v>
      </c>
      <c r="AA771" s="10">
        <f t="shared" si="286"/>
        <v>0</v>
      </c>
    </row>
    <row r="772" spans="1:27" x14ac:dyDescent="0.3">
      <c r="A772" s="4" t="s">
        <v>1304</v>
      </c>
      <c r="B772" s="4">
        <f t="shared" ref="B772:B835" si="288">IF($A772="Asia",1,0)</f>
        <v>0</v>
      </c>
      <c r="C772" s="4">
        <f t="shared" ref="C772:C835" si="289">IF(A772="Europe",1,0)</f>
        <v>1</v>
      </c>
      <c r="D772" s="4">
        <f t="shared" ref="D772:D835" si="290">IF(A772="Africa",1,0)</f>
        <v>0</v>
      </c>
      <c r="E772" s="4">
        <f t="shared" ref="E772:E835" si="291">IF($A772="Australia",1,0)</f>
        <v>0</v>
      </c>
      <c r="F772" s="4">
        <f t="shared" ref="F772:F835" si="292">IF($A772="North America",1,0)</f>
        <v>0</v>
      </c>
      <c r="G772" s="4">
        <f t="shared" ref="G772:G835" si="293">IF($A772="South America",1,0)</f>
        <v>0</v>
      </c>
      <c r="I772" s="11" t="s">
        <v>977</v>
      </c>
      <c r="J772" s="9">
        <f t="shared" ref="J772:J835" si="294">IF(I772="Music",1,0)</f>
        <v>1</v>
      </c>
      <c r="K772" s="9">
        <f t="shared" si="287"/>
        <v>0</v>
      </c>
      <c r="L772" s="9">
        <f t="shared" ref="L772:L835" si="295">IF(I772="Entertainment",1,0)</f>
        <v>0</v>
      </c>
      <c r="M772" s="9">
        <f t="shared" ref="M772:M835" si="296">IF(I772="Nonprofits &amp; Activism",1,0)</f>
        <v>0</v>
      </c>
      <c r="N772" s="9">
        <f t="shared" ref="N772:N835" si="297">IF(I772="Education",1,0)</f>
        <v>0</v>
      </c>
      <c r="O772" s="9">
        <f t="shared" ref="O772:O835" si="298">IF(I772="Shows",1,0)</f>
        <v>0</v>
      </c>
      <c r="P772" s="9">
        <f t="shared" ref="P772:P835" si="299">IF(I772="People &amp; Blogs",1,0)</f>
        <v>0</v>
      </c>
      <c r="Q772" s="9">
        <f t="shared" ref="Q772:Q835" si="300">IF(I772="Gaming",1,0)</f>
        <v>0</v>
      </c>
      <c r="R772" s="9">
        <f t="shared" ref="R772:R835" si="301">IF(I772="Sports",1,0)</f>
        <v>0</v>
      </c>
      <c r="S772" s="9">
        <f t="shared" ref="S772:S835" si="302">IF(I772="Howto &amp; Style",1,0)</f>
        <v>0</v>
      </c>
      <c r="T772" s="9">
        <f t="shared" ref="T772:T835" si="303">IF(I772="News &amp; Politics",1,0)</f>
        <v>0</v>
      </c>
      <c r="U772" s="9">
        <f t="shared" ref="U772:U835" si="304">IF(I772="Comedy",1,0)</f>
        <v>0</v>
      </c>
      <c r="V772" s="9">
        <f t="shared" ref="V772:V835" si="305">IF(I772="Trailers",1,0)</f>
        <v>0</v>
      </c>
      <c r="W772" s="9">
        <f t="shared" ref="W772:W835" si="306">IF(I772="Movies",1,0)</f>
        <v>0</v>
      </c>
      <c r="X772" s="9">
        <f t="shared" ref="X772:X835" si="307">IF(I772="Autos &amp; Vehicles",1,0)</f>
        <v>0</v>
      </c>
      <c r="Y772" s="9">
        <f t="shared" ref="Y772:Y835" si="308">IF(I772="Pets &amp; Animals",1,0)</f>
        <v>0</v>
      </c>
      <c r="Z772" s="9">
        <f t="shared" ref="Z772:Z835" si="309">IF(I772="Science &amp; Technology",1,0)</f>
        <v>0</v>
      </c>
      <c r="AA772" s="10">
        <f t="shared" ref="AA772:AA835" si="310">IF(I772="Travel &amp; Events",1,0)</f>
        <v>0</v>
      </c>
    </row>
    <row r="773" spans="1:27" x14ac:dyDescent="0.3">
      <c r="A773" s="18" t="s">
        <v>1304</v>
      </c>
      <c r="B773" s="4">
        <f t="shared" si="288"/>
        <v>0</v>
      </c>
      <c r="C773" s="4">
        <f t="shared" si="289"/>
        <v>1</v>
      </c>
      <c r="D773" s="4">
        <f t="shared" si="290"/>
        <v>0</v>
      </c>
      <c r="E773" s="4">
        <f t="shared" si="291"/>
        <v>0</v>
      </c>
      <c r="F773" s="4">
        <f t="shared" si="292"/>
        <v>0</v>
      </c>
      <c r="G773" s="4">
        <f t="shared" si="293"/>
        <v>0</v>
      </c>
      <c r="I773" s="8" t="s">
        <v>1011</v>
      </c>
      <c r="J773" s="9">
        <f t="shared" si="294"/>
        <v>0</v>
      </c>
      <c r="K773" s="9">
        <f t="shared" ref="K773:K836" si="311">IF(I773="Film &amp; Animation",1,0)</f>
        <v>0</v>
      </c>
      <c r="L773" s="9">
        <f t="shared" si="295"/>
        <v>0</v>
      </c>
      <c r="M773" s="9">
        <f t="shared" si="296"/>
        <v>0</v>
      </c>
      <c r="N773" s="9">
        <f t="shared" si="297"/>
        <v>0</v>
      </c>
      <c r="O773" s="9">
        <f t="shared" si="298"/>
        <v>0</v>
      </c>
      <c r="P773" s="9">
        <f t="shared" si="299"/>
        <v>0</v>
      </c>
      <c r="Q773" s="9">
        <f t="shared" si="300"/>
        <v>0</v>
      </c>
      <c r="R773" s="9">
        <f t="shared" si="301"/>
        <v>0</v>
      </c>
      <c r="S773" s="9">
        <f t="shared" si="302"/>
        <v>1</v>
      </c>
      <c r="T773" s="9">
        <f t="shared" si="303"/>
        <v>0</v>
      </c>
      <c r="U773" s="9">
        <f t="shared" si="304"/>
        <v>0</v>
      </c>
      <c r="V773" s="9">
        <f t="shared" si="305"/>
        <v>0</v>
      </c>
      <c r="W773" s="9">
        <f t="shared" si="306"/>
        <v>0</v>
      </c>
      <c r="X773" s="9">
        <f t="shared" si="307"/>
        <v>0</v>
      </c>
      <c r="Y773" s="9">
        <f t="shared" si="308"/>
        <v>0</v>
      </c>
      <c r="Z773" s="9">
        <f t="shared" si="309"/>
        <v>0</v>
      </c>
      <c r="AA773" s="10">
        <f t="shared" si="310"/>
        <v>0</v>
      </c>
    </row>
    <row r="774" spans="1:27" x14ac:dyDescent="0.3">
      <c r="A774" s="4" t="s">
        <v>1294</v>
      </c>
      <c r="B774" s="4">
        <f t="shared" si="288"/>
        <v>0</v>
      </c>
      <c r="C774" s="4">
        <f t="shared" si="289"/>
        <v>0</v>
      </c>
      <c r="D774" s="4">
        <f t="shared" si="290"/>
        <v>0</v>
      </c>
      <c r="E774" s="4">
        <f t="shared" si="291"/>
        <v>0</v>
      </c>
      <c r="F774" s="4">
        <f t="shared" si="292"/>
        <v>0</v>
      </c>
      <c r="G774" s="4">
        <f t="shared" si="293"/>
        <v>0</v>
      </c>
      <c r="I774" s="11" t="s">
        <v>994</v>
      </c>
      <c r="J774" s="9">
        <f t="shared" si="294"/>
        <v>0</v>
      </c>
      <c r="K774" s="9">
        <f t="shared" si="311"/>
        <v>0</v>
      </c>
      <c r="L774" s="9">
        <f t="shared" si="295"/>
        <v>0</v>
      </c>
      <c r="M774" s="9">
        <f t="shared" si="296"/>
        <v>0</v>
      </c>
      <c r="N774" s="9">
        <f t="shared" si="297"/>
        <v>0</v>
      </c>
      <c r="O774" s="9">
        <f t="shared" si="298"/>
        <v>0</v>
      </c>
      <c r="P774" s="9">
        <f t="shared" si="299"/>
        <v>1</v>
      </c>
      <c r="Q774" s="9">
        <f t="shared" si="300"/>
        <v>0</v>
      </c>
      <c r="R774" s="9">
        <f t="shared" si="301"/>
        <v>0</v>
      </c>
      <c r="S774" s="9">
        <f t="shared" si="302"/>
        <v>0</v>
      </c>
      <c r="T774" s="9">
        <f t="shared" si="303"/>
        <v>0</v>
      </c>
      <c r="U774" s="9">
        <f t="shared" si="304"/>
        <v>0</v>
      </c>
      <c r="V774" s="9">
        <f t="shared" si="305"/>
        <v>0</v>
      </c>
      <c r="W774" s="9">
        <f t="shared" si="306"/>
        <v>0</v>
      </c>
      <c r="X774" s="9">
        <f t="shared" si="307"/>
        <v>0</v>
      </c>
      <c r="Y774" s="9">
        <f t="shared" si="308"/>
        <v>0</v>
      </c>
      <c r="Z774" s="9">
        <f t="shared" si="309"/>
        <v>0</v>
      </c>
      <c r="AA774" s="10">
        <f t="shared" si="310"/>
        <v>0</v>
      </c>
    </row>
    <row r="775" spans="1:27" x14ac:dyDescent="0.3">
      <c r="A775" s="18" t="s">
        <v>1294</v>
      </c>
      <c r="B775" s="4">
        <f t="shared" si="288"/>
        <v>0</v>
      </c>
      <c r="C775" s="4">
        <f t="shared" si="289"/>
        <v>0</v>
      </c>
      <c r="D775" s="4">
        <f t="shared" si="290"/>
        <v>0</v>
      </c>
      <c r="E775" s="4">
        <f t="shared" si="291"/>
        <v>0</v>
      </c>
      <c r="F775" s="4">
        <f t="shared" si="292"/>
        <v>0</v>
      </c>
      <c r="G775" s="4">
        <f t="shared" si="293"/>
        <v>0</v>
      </c>
      <c r="I775" s="8" t="s">
        <v>1011</v>
      </c>
      <c r="J775" s="9">
        <f t="shared" si="294"/>
        <v>0</v>
      </c>
      <c r="K775" s="9">
        <f t="shared" si="311"/>
        <v>0</v>
      </c>
      <c r="L775" s="9">
        <f t="shared" si="295"/>
        <v>0</v>
      </c>
      <c r="M775" s="9">
        <f t="shared" si="296"/>
        <v>0</v>
      </c>
      <c r="N775" s="9">
        <f t="shared" si="297"/>
        <v>0</v>
      </c>
      <c r="O775" s="9">
        <f t="shared" si="298"/>
        <v>0</v>
      </c>
      <c r="P775" s="9">
        <f t="shared" si="299"/>
        <v>0</v>
      </c>
      <c r="Q775" s="9">
        <f t="shared" si="300"/>
        <v>0</v>
      </c>
      <c r="R775" s="9">
        <f t="shared" si="301"/>
        <v>0</v>
      </c>
      <c r="S775" s="9">
        <f t="shared" si="302"/>
        <v>1</v>
      </c>
      <c r="T775" s="9">
        <f t="shared" si="303"/>
        <v>0</v>
      </c>
      <c r="U775" s="9">
        <f t="shared" si="304"/>
        <v>0</v>
      </c>
      <c r="V775" s="9">
        <f t="shared" si="305"/>
        <v>0</v>
      </c>
      <c r="W775" s="9">
        <f t="shared" si="306"/>
        <v>0</v>
      </c>
      <c r="X775" s="9">
        <f t="shared" si="307"/>
        <v>0</v>
      </c>
      <c r="Y775" s="9">
        <f t="shared" si="308"/>
        <v>0</v>
      </c>
      <c r="Z775" s="9">
        <f t="shared" si="309"/>
        <v>0</v>
      </c>
      <c r="AA775" s="10">
        <f t="shared" si="310"/>
        <v>0</v>
      </c>
    </row>
    <row r="776" spans="1:27" x14ac:dyDescent="0.3">
      <c r="A776" s="4" t="s">
        <v>1302</v>
      </c>
      <c r="B776" s="4">
        <f t="shared" si="288"/>
        <v>1</v>
      </c>
      <c r="C776" s="4">
        <f t="shared" si="289"/>
        <v>0</v>
      </c>
      <c r="D776" s="4">
        <f t="shared" si="290"/>
        <v>0</v>
      </c>
      <c r="E776" s="4">
        <f t="shared" si="291"/>
        <v>0</v>
      </c>
      <c r="F776" s="4">
        <f t="shared" si="292"/>
        <v>0</v>
      </c>
      <c r="G776" s="4">
        <f t="shared" si="293"/>
        <v>0</v>
      </c>
      <c r="I776" s="11" t="s">
        <v>988</v>
      </c>
      <c r="J776" s="9">
        <f t="shared" si="294"/>
        <v>0</v>
      </c>
      <c r="K776" s="9">
        <f t="shared" si="311"/>
        <v>0</v>
      </c>
      <c r="L776" s="9">
        <f t="shared" si="295"/>
        <v>1</v>
      </c>
      <c r="M776" s="9">
        <f t="shared" si="296"/>
        <v>0</v>
      </c>
      <c r="N776" s="9">
        <f t="shared" si="297"/>
        <v>0</v>
      </c>
      <c r="O776" s="9">
        <f t="shared" si="298"/>
        <v>0</v>
      </c>
      <c r="P776" s="9">
        <f t="shared" si="299"/>
        <v>0</v>
      </c>
      <c r="Q776" s="9">
        <f t="shared" si="300"/>
        <v>0</v>
      </c>
      <c r="R776" s="9">
        <f t="shared" si="301"/>
        <v>0</v>
      </c>
      <c r="S776" s="9">
        <f t="shared" si="302"/>
        <v>0</v>
      </c>
      <c r="T776" s="9">
        <f t="shared" si="303"/>
        <v>0</v>
      </c>
      <c r="U776" s="9">
        <f t="shared" si="304"/>
        <v>0</v>
      </c>
      <c r="V776" s="9">
        <f t="shared" si="305"/>
        <v>0</v>
      </c>
      <c r="W776" s="9">
        <f t="shared" si="306"/>
        <v>0</v>
      </c>
      <c r="X776" s="9">
        <f t="shared" si="307"/>
        <v>0</v>
      </c>
      <c r="Y776" s="9">
        <f t="shared" si="308"/>
        <v>0</v>
      </c>
      <c r="Z776" s="9">
        <f t="shared" si="309"/>
        <v>0</v>
      </c>
      <c r="AA776" s="10">
        <f t="shared" si="310"/>
        <v>0</v>
      </c>
    </row>
    <row r="777" spans="1:27" x14ac:dyDescent="0.3">
      <c r="A777" s="18" t="s">
        <v>1303</v>
      </c>
      <c r="B777" s="4">
        <f t="shared" si="288"/>
        <v>0</v>
      </c>
      <c r="C777" s="4">
        <f t="shared" si="289"/>
        <v>0</v>
      </c>
      <c r="D777" s="4">
        <f t="shared" si="290"/>
        <v>0</v>
      </c>
      <c r="E777" s="4">
        <f t="shared" si="291"/>
        <v>0</v>
      </c>
      <c r="F777" s="4">
        <f t="shared" si="292"/>
        <v>1</v>
      </c>
      <c r="G777" s="4">
        <f t="shared" si="293"/>
        <v>0</v>
      </c>
      <c r="I777" s="8" t="s">
        <v>988</v>
      </c>
      <c r="J777" s="9">
        <f t="shared" si="294"/>
        <v>0</v>
      </c>
      <c r="K777" s="9">
        <f t="shared" si="311"/>
        <v>0</v>
      </c>
      <c r="L777" s="9">
        <f t="shared" si="295"/>
        <v>1</v>
      </c>
      <c r="M777" s="9">
        <f t="shared" si="296"/>
        <v>0</v>
      </c>
      <c r="N777" s="9">
        <f t="shared" si="297"/>
        <v>0</v>
      </c>
      <c r="O777" s="9">
        <f t="shared" si="298"/>
        <v>0</v>
      </c>
      <c r="P777" s="9">
        <f t="shared" si="299"/>
        <v>0</v>
      </c>
      <c r="Q777" s="9">
        <f t="shared" si="300"/>
        <v>0</v>
      </c>
      <c r="R777" s="9">
        <f t="shared" si="301"/>
        <v>0</v>
      </c>
      <c r="S777" s="9">
        <f t="shared" si="302"/>
        <v>0</v>
      </c>
      <c r="T777" s="9">
        <f t="shared" si="303"/>
        <v>0</v>
      </c>
      <c r="U777" s="9">
        <f t="shared" si="304"/>
        <v>0</v>
      </c>
      <c r="V777" s="9">
        <f t="shared" si="305"/>
        <v>0</v>
      </c>
      <c r="W777" s="9">
        <f t="shared" si="306"/>
        <v>0</v>
      </c>
      <c r="X777" s="9">
        <f t="shared" si="307"/>
        <v>0</v>
      </c>
      <c r="Y777" s="9">
        <f t="shared" si="308"/>
        <v>0</v>
      </c>
      <c r="Z777" s="9">
        <f t="shared" si="309"/>
        <v>0</v>
      </c>
      <c r="AA777" s="10">
        <f t="shared" si="310"/>
        <v>0</v>
      </c>
    </row>
    <row r="778" spans="1:27" x14ac:dyDescent="0.3">
      <c r="A778" s="4" t="s">
        <v>1303</v>
      </c>
      <c r="B778" s="4">
        <f t="shared" si="288"/>
        <v>0</v>
      </c>
      <c r="C778" s="4">
        <f t="shared" si="289"/>
        <v>0</v>
      </c>
      <c r="D778" s="4">
        <f t="shared" si="290"/>
        <v>0</v>
      </c>
      <c r="E778" s="4">
        <f t="shared" si="291"/>
        <v>0</v>
      </c>
      <c r="F778" s="4">
        <f t="shared" si="292"/>
        <v>1</v>
      </c>
      <c r="G778" s="4">
        <f t="shared" si="293"/>
        <v>0</v>
      </c>
      <c r="I778" s="11" t="s">
        <v>990</v>
      </c>
      <c r="J778" s="9">
        <f t="shared" si="294"/>
        <v>0</v>
      </c>
      <c r="K778" s="9">
        <f t="shared" si="311"/>
        <v>0</v>
      </c>
      <c r="L778" s="9">
        <f t="shared" si="295"/>
        <v>0</v>
      </c>
      <c r="M778" s="9">
        <f t="shared" si="296"/>
        <v>0</v>
      </c>
      <c r="N778" s="9">
        <f t="shared" si="297"/>
        <v>1</v>
      </c>
      <c r="O778" s="9">
        <f t="shared" si="298"/>
        <v>0</v>
      </c>
      <c r="P778" s="9">
        <f t="shared" si="299"/>
        <v>0</v>
      </c>
      <c r="Q778" s="9">
        <f t="shared" si="300"/>
        <v>0</v>
      </c>
      <c r="R778" s="9">
        <f t="shared" si="301"/>
        <v>0</v>
      </c>
      <c r="S778" s="9">
        <f t="shared" si="302"/>
        <v>0</v>
      </c>
      <c r="T778" s="9">
        <f t="shared" si="303"/>
        <v>0</v>
      </c>
      <c r="U778" s="9">
        <f t="shared" si="304"/>
        <v>0</v>
      </c>
      <c r="V778" s="9">
        <f t="shared" si="305"/>
        <v>0</v>
      </c>
      <c r="W778" s="9">
        <f t="shared" si="306"/>
        <v>0</v>
      </c>
      <c r="X778" s="9">
        <f t="shared" si="307"/>
        <v>0</v>
      </c>
      <c r="Y778" s="9">
        <f t="shared" si="308"/>
        <v>0</v>
      </c>
      <c r="Z778" s="9">
        <f t="shared" si="309"/>
        <v>0</v>
      </c>
      <c r="AA778" s="10">
        <f t="shared" si="310"/>
        <v>0</v>
      </c>
    </row>
    <row r="779" spans="1:27" x14ac:dyDescent="0.3">
      <c r="A779" s="18" t="s">
        <v>1303</v>
      </c>
      <c r="B779" s="4">
        <f t="shared" si="288"/>
        <v>0</v>
      </c>
      <c r="C779" s="4">
        <f t="shared" si="289"/>
        <v>0</v>
      </c>
      <c r="D779" s="4">
        <f t="shared" si="290"/>
        <v>0</v>
      </c>
      <c r="E779" s="4">
        <f t="shared" si="291"/>
        <v>0</v>
      </c>
      <c r="F779" s="4">
        <f t="shared" si="292"/>
        <v>1</v>
      </c>
      <c r="G779" s="4">
        <f t="shared" si="293"/>
        <v>0</v>
      </c>
      <c r="I779" s="8" t="s">
        <v>982</v>
      </c>
      <c r="J779" s="9">
        <f t="shared" si="294"/>
        <v>0</v>
      </c>
      <c r="K779" s="9">
        <f t="shared" si="311"/>
        <v>1</v>
      </c>
      <c r="L779" s="9">
        <f t="shared" si="295"/>
        <v>0</v>
      </c>
      <c r="M779" s="9">
        <f t="shared" si="296"/>
        <v>0</v>
      </c>
      <c r="N779" s="9">
        <f t="shared" si="297"/>
        <v>0</v>
      </c>
      <c r="O779" s="9">
        <f t="shared" si="298"/>
        <v>0</v>
      </c>
      <c r="P779" s="9">
        <f t="shared" si="299"/>
        <v>0</v>
      </c>
      <c r="Q779" s="9">
        <f t="shared" si="300"/>
        <v>0</v>
      </c>
      <c r="R779" s="9">
        <f t="shared" si="301"/>
        <v>0</v>
      </c>
      <c r="S779" s="9">
        <f t="shared" si="302"/>
        <v>0</v>
      </c>
      <c r="T779" s="9">
        <f t="shared" si="303"/>
        <v>0</v>
      </c>
      <c r="U779" s="9">
        <f t="shared" si="304"/>
        <v>0</v>
      </c>
      <c r="V779" s="9">
        <f t="shared" si="305"/>
        <v>0</v>
      </c>
      <c r="W779" s="9">
        <f t="shared" si="306"/>
        <v>0</v>
      </c>
      <c r="X779" s="9">
        <f t="shared" si="307"/>
        <v>0</v>
      </c>
      <c r="Y779" s="9">
        <f t="shared" si="308"/>
        <v>0</v>
      </c>
      <c r="Z779" s="9">
        <f t="shared" si="309"/>
        <v>0</v>
      </c>
      <c r="AA779" s="10">
        <f t="shared" si="310"/>
        <v>0</v>
      </c>
    </row>
    <row r="780" spans="1:27" x14ac:dyDescent="0.3">
      <c r="A780" s="4" t="s">
        <v>1303</v>
      </c>
      <c r="B780" s="4">
        <f t="shared" si="288"/>
        <v>0</v>
      </c>
      <c r="C780" s="4">
        <f t="shared" si="289"/>
        <v>0</v>
      </c>
      <c r="D780" s="4">
        <f t="shared" si="290"/>
        <v>0</v>
      </c>
      <c r="E780" s="4">
        <f t="shared" si="291"/>
        <v>0</v>
      </c>
      <c r="F780" s="4">
        <f t="shared" si="292"/>
        <v>1</v>
      </c>
      <c r="G780" s="4">
        <f t="shared" si="293"/>
        <v>0</v>
      </c>
      <c r="I780" s="11" t="s">
        <v>977</v>
      </c>
      <c r="J780" s="9">
        <f t="shared" si="294"/>
        <v>1</v>
      </c>
      <c r="K780" s="9">
        <f t="shared" si="311"/>
        <v>0</v>
      </c>
      <c r="L780" s="9">
        <f t="shared" si="295"/>
        <v>0</v>
      </c>
      <c r="M780" s="9">
        <f t="shared" si="296"/>
        <v>0</v>
      </c>
      <c r="N780" s="9">
        <f t="shared" si="297"/>
        <v>0</v>
      </c>
      <c r="O780" s="9">
        <f t="shared" si="298"/>
        <v>0</v>
      </c>
      <c r="P780" s="9">
        <f t="shared" si="299"/>
        <v>0</v>
      </c>
      <c r="Q780" s="9">
        <f t="shared" si="300"/>
        <v>0</v>
      </c>
      <c r="R780" s="9">
        <f t="shared" si="301"/>
        <v>0</v>
      </c>
      <c r="S780" s="9">
        <f t="shared" si="302"/>
        <v>0</v>
      </c>
      <c r="T780" s="9">
        <f t="shared" si="303"/>
        <v>0</v>
      </c>
      <c r="U780" s="9">
        <f t="shared" si="304"/>
        <v>0</v>
      </c>
      <c r="V780" s="9">
        <f t="shared" si="305"/>
        <v>0</v>
      </c>
      <c r="W780" s="9">
        <f t="shared" si="306"/>
        <v>0</v>
      </c>
      <c r="X780" s="9">
        <f t="shared" si="307"/>
        <v>0</v>
      </c>
      <c r="Y780" s="9">
        <f t="shared" si="308"/>
        <v>0</v>
      </c>
      <c r="Z780" s="9">
        <f t="shared" si="309"/>
        <v>0</v>
      </c>
      <c r="AA780" s="10">
        <f t="shared" si="310"/>
        <v>0</v>
      </c>
    </row>
    <row r="781" spans="1:27" x14ac:dyDescent="0.3">
      <c r="A781" s="18" t="s">
        <v>1305</v>
      </c>
      <c r="B781" s="4">
        <f t="shared" si="288"/>
        <v>0</v>
      </c>
      <c r="C781" s="4">
        <f t="shared" si="289"/>
        <v>0</v>
      </c>
      <c r="D781" s="4">
        <f t="shared" si="290"/>
        <v>0</v>
      </c>
      <c r="E781" s="4">
        <f t="shared" si="291"/>
        <v>0</v>
      </c>
      <c r="F781" s="4">
        <f t="shared" si="292"/>
        <v>0</v>
      </c>
      <c r="G781" s="4">
        <f t="shared" si="293"/>
        <v>1</v>
      </c>
      <c r="I781" s="8" t="s">
        <v>996</v>
      </c>
      <c r="J781" s="9">
        <f t="shared" si="294"/>
        <v>0</v>
      </c>
      <c r="K781" s="9">
        <f t="shared" si="311"/>
        <v>0</v>
      </c>
      <c r="L781" s="9">
        <f t="shared" si="295"/>
        <v>0</v>
      </c>
      <c r="M781" s="9">
        <f t="shared" si="296"/>
        <v>0</v>
      </c>
      <c r="N781" s="9">
        <f t="shared" si="297"/>
        <v>0</v>
      </c>
      <c r="O781" s="9">
        <f t="shared" si="298"/>
        <v>0</v>
      </c>
      <c r="P781" s="9">
        <f t="shared" si="299"/>
        <v>0</v>
      </c>
      <c r="Q781" s="9">
        <f t="shared" si="300"/>
        <v>1</v>
      </c>
      <c r="R781" s="9">
        <f t="shared" si="301"/>
        <v>0</v>
      </c>
      <c r="S781" s="9">
        <f t="shared" si="302"/>
        <v>0</v>
      </c>
      <c r="T781" s="9">
        <f t="shared" si="303"/>
        <v>0</v>
      </c>
      <c r="U781" s="9">
        <f t="shared" si="304"/>
        <v>0</v>
      </c>
      <c r="V781" s="9">
        <f t="shared" si="305"/>
        <v>0</v>
      </c>
      <c r="W781" s="9">
        <f t="shared" si="306"/>
        <v>0</v>
      </c>
      <c r="X781" s="9">
        <f t="shared" si="307"/>
        <v>0</v>
      </c>
      <c r="Y781" s="9">
        <f t="shared" si="308"/>
        <v>0</v>
      </c>
      <c r="Z781" s="9">
        <f t="shared" si="309"/>
        <v>0</v>
      </c>
      <c r="AA781" s="10">
        <f t="shared" si="310"/>
        <v>0</v>
      </c>
    </row>
    <row r="782" spans="1:27" x14ac:dyDescent="0.3">
      <c r="A782" s="4" t="s">
        <v>1302</v>
      </c>
      <c r="B782" s="4">
        <f t="shared" si="288"/>
        <v>1</v>
      </c>
      <c r="C782" s="4">
        <f t="shared" si="289"/>
        <v>0</v>
      </c>
      <c r="D782" s="4">
        <f t="shared" si="290"/>
        <v>0</v>
      </c>
      <c r="E782" s="4">
        <f t="shared" si="291"/>
        <v>0</v>
      </c>
      <c r="F782" s="4">
        <f t="shared" si="292"/>
        <v>0</v>
      </c>
      <c r="G782" s="4">
        <f t="shared" si="293"/>
        <v>0</v>
      </c>
      <c r="I782" s="11" t="s">
        <v>1026</v>
      </c>
      <c r="J782" s="9">
        <f t="shared" si="294"/>
        <v>0</v>
      </c>
      <c r="K782" s="9">
        <f t="shared" si="311"/>
        <v>0</v>
      </c>
      <c r="L782" s="9">
        <f t="shared" si="295"/>
        <v>0</v>
      </c>
      <c r="M782" s="9">
        <f t="shared" si="296"/>
        <v>0</v>
      </c>
      <c r="N782" s="9">
        <f t="shared" si="297"/>
        <v>0</v>
      </c>
      <c r="O782" s="9">
        <f t="shared" si="298"/>
        <v>0</v>
      </c>
      <c r="P782" s="9">
        <f t="shared" si="299"/>
        <v>0</v>
      </c>
      <c r="Q782" s="9">
        <f t="shared" si="300"/>
        <v>0</v>
      </c>
      <c r="R782" s="9">
        <f t="shared" si="301"/>
        <v>0</v>
      </c>
      <c r="S782" s="9">
        <f t="shared" si="302"/>
        <v>0</v>
      </c>
      <c r="T782" s="9">
        <f t="shared" si="303"/>
        <v>1</v>
      </c>
      <c r="U782" s="9">
        <f t="shared" si="304"/>
        <v>0</v>
      </c>
      <c r="V782" s="9">
        <f t="shared" si="305"/>
        <v>0</v>
      </c>
      <c r="W782" s="9">
        <f t="shared" si="306"/>
        <v>0</v>
      </c>
      <c r="X782" s="9">
        <f t="shared" si="307"/>
        <v>0</v>
      </c>
      <c r="Y782" s="9">
        <f t="shared" si="308"/>
        <v>0</v>
      </c>
      <c r="Z782" s="9">
        <f t="shared" si="309"/>
        <v>0</v>
      </c>
      <c r="AA782" s="10">
        <f t="shared" si="310"/>
        <v>0</v>
      </c>
    </row>
    <row r="783" spans="1:27" x14ac:dyDescent="0.3">
      <c r="A783" s="18" t="s">
        <v>1302</v>
      </c>
      <c r="B783" s="4">
        <f t="shared" si="288"/>
        <v>1</v>
      </c>
      <c r="C783" s="4">
        <f t="shared" si="289"/>
        <v>0</v>
      </c>
      <c r="D783" s="4">
        <f t="shared" si="290"/>
        <v>0</v>
      </c>
      <c r="E783" s="4">
        <f t="shared" si="291"/>
        <v>0</v>
      </c>
      <c r="F783" s="4">
        <f t="shared" si="292"/>
        <v>0</v>
      </c>
      <c r="G783" s="4">
        <f t="shared" si="293"/>
        <v>0</v>
      </c>
      <c r="I783" s="8" t="s">
        <v>988</v>
      </c>
      <c r="J783" s="9">
        <f t="shared" si="294"/>
        <v>0</v>
      </c>
      <c r="K783" s="9">
        <f t="shared" si="311"/>
        <v>0</v>
      </c>
      <c r="L783" s="9">
        <f t="shared" si="295"/>
        <v>1</v>
      </c>
      <c r="M783" s="9">
        <f t="shared" si="296"/>
        <v>0</v>
      </c>
      <c r="N783" s="9">
        <f t="shared" si="297"/>
        <v>0</v>
      </c>
      <c r="O783" s="9">
        <f t="shared" si="298"/>
        <v>0</v>
      </c>
      <c r="P783" s="9">
        <f t="shared" si="299"/>
        <v>0</v>
      </c>
      <c r="Q783" s="9">
        <f t="shared" si="300"/>
        <v>0</v>
      </c>
      <c r="R783" s="9">
        <f t="shared" si="301"/>
        <v>0</v>
      </c>
      <c r="S783" s="9">
        <f t="shared" si="302"/>
        <v>0</v>
      </c>
      <c r="T783" s="9">
        <f t="shared" si="303"/>
        <v>0</v>
      </c>
      <c r="U783" s="9">
        <f t="shared" si="304"/>
        <v>0</v>
      </c>
      <c r="V783" s="9">
        <f t="shared" si="305"/>
        <v>0</v>
      </c>
      <c r="W783" s="9">
        <f t="shared" si="306"/>
        <v>0</v>
      </c>
      <c r="X783" s="9">
        <f t="shared" si="307"/>
        <v>0</v>
      </c>
      <c r="Y783" s="9">
        <f t="shared" si="308"/>
        <v>0</v>
      </c>
      <c r="Z783" s="9">
        <f t="shared" si="309"/>
        <v>0</v>
      </c>
      <c r="AA783" s="10">
        <f t="shared" si="310"/>
        <v>0</v>
      </c>
    </row>
    <row r="784" spans="1:27" x14ac:dyDescent="0.3">
      <c r="A784" s="4" t="s">
        <v>1294</v>
      </c>
      <c r="B784" s="4">
        <f t="shared" si="288"/>
        <v>0</v>
      </c>
      <c r="C784" s="4">
        <f t="shared" si="289"/>
        <v>0</v>
      </c>
      <c r="D784" s="4">
        <f t="shared" si="290"/>
        <v>0</v>
      </c>
      <c r="E784" s="4">
        <f t="shared" si="291"/>
        <v>0</v>
      </c>
      <c r="F784" s="4">
        <f t="shared" si="292"/>
        <v>0</v>
      </c>
      <c r="G784" s="4">
        <f t="shared" si="293"/>
        <v>0</v>
      </c>
      <c r="I784" s="11" t="s">
        <v>994</v>
      </c>
      <c r="J784" s="9">
        <f t="shared" si="294"/>
        <v>0</v>
      </c>
      <c r="K784" s="9">
        <f t="shared" si="311"/>
        <v>0</v>
      </c>
      <c r="L784" s="9">
        <f t="shared" si="295"/>
        <v>0</v>
      </c>
      <c r="M784" s="9">
        <f t="shared" si="296"/>
        <v>0</v>
      </c>
      <c r="N784" s="9">
        <f t="shared" si="297"/>
        <v>0</v>
      </c>
      <c r="O784" s="9">
        <f t="shared" si="298"/>
        <v>0</v>
      </c>
      <c r="P784" s="9">
        <f t="shared" si="299"/>
        <v>1</v>
      </c>
      <c r="Q784" s="9">
        <f t="shared" si="300"/>
        <v>0</v>
      </c>
      <c r="R784" s="9">
        <f t="shared" si="301"/>
        <v>0</v>
      </c>
      <c r="S784" s="9">
        <f t="shared" si="302"/>
        <v>0</v>
      </c>
      <c r="T784" s="9">
        <f t="shared" si="303"/>
        <v>0</v>
      </c>
      <c r="U784" s="9">
        <f t="shared" si="304"/>
        <v>0</v>
      </c>
      <c r="V784" s="9">
        <f t="shared" si="305"/>
        <v>0</v>
      </c>
      <c r="W784" s="9">
        <f t="shared" si="306"/>
        <v>0</v>
      </c>
      <c r="X784" s="9">
        <f t="shared" si="307"/>
        <v>0</v>
      </c>
      <c r="Y784" s="9">
        <f t="shared" si="308"/>
        <v>0</v>
      </c>
      <c r="Z784" s="9">
        <f t="shared" si="309"/>
        <v>0</v>
      </c>
      <c r="AA784" s="10">
        <f t="shared" si="310"/>
        <v>0</v>
      </c>
    </row>
    <row r="785" spans="1:27" x14ac:dyDescent="0.3">
      <c r="A785" s="18" t="s">
        <v>1302</v>
      </c>
      <c r="B785" s="4">
        <f t="shared" si="288"/>
        <v>1</v>
      </c>
      <c r="C785" s="4">
        <f t="shared" si="289"/>
        <v>0</v>
      </c>
      <c r="D785" s="4">
        <f t="shared" si="290"/>
        <v>0</v>
      </c>
      <c r="E785" s="4">
        <f t="shared" si="291"/>
        <v>0</v>
      </c>
      <c r="F785" s="4">
        <f t="shared" si="292"/>
        <v>0</v>
      </c>
      <c r="G785" s="4">
        <f t="shared" si="293"/>
        <v>0</v>
      </c>
      <c r="I785" s="8" t="s">
        <v>992</v>
      </c>
      <c r="J785" s="9">
        <f t="shared" si="294"/>
        <v>0</v>
      </c>
      <c r="K785" s="9">
        <f t="shared" si="311"/>
        <v>0</v>
      </c>
      <c r="L785" s="9">
        <f t="shared" si="295"/>
        <v>0</v>
      </c>
      <c r="M785" s="9">
        <f t="shared" si="296"/>
        <v>0</v>
      </c>
      <c r="N785" s="9">
        <f t="shared" si="297"/>
        <v>0</v>
      </c>
      <c r="O785" s="9">
        <f t="shared" si="298"/>
        <v>1</v>
      </c>
      <c r="P785" s="9">
        <f t="shared" si="299"/>
        <v>0</v>
      </c>
      <c r="Q785" s="9">
        <f t="shared" si="300"/>
        <v>0</v>
      </c>
      <c r="R785" s="9">
        <f t="shared" si="301"/>
        <v>0</v>
      </c>
      <c r="S785" s="9">
        <f t="shared" si="302"/>
        <v>0</v>
      </c>
      <c r="T785" s="9">
        <f t="shared" si="303"/>
        <v>0</v>
      </c>
      <c r="U785" s="9">
        <f t="shared" si="304"/>
        <v>0</v>
      </c>
      <c r="V785" s="9">
        <f t="shared" si="305"/>
        <v>0</v>
      </c>
      <c r="W785" s="9">
        <f t="shared" si="306"/>
        <v>0</v>
      </c>
      <c r="X785" s="9">
        <f t="shared" si="307"/>
        <v>0</v>
      </c>
      <c r="Y785" s="9">
        <f t="shared" si="308"/>
        <v>0</v>
      </c>
      <c r="Z785" s="9">
        <f t="shared" si="309"/>
        <v>0</v>
      </c>
      <c r="AA785" s="10">
        <f t="shared" si="310"/>
        <v>0</v>
      </c>
    </row>
    <row r="786" spans="1:27" x14ac:dyDescent="0.3">
      <c r="A786" s="4" t="s">
        <v>1302</v>
      </c>
      <c r="B786" s="4">
        <f t="shared" si="288"/>
        <v>1</v>
      </c>
      <c r="C786" s="4">
        <f t="shared" si="289"/>
        <v>0</v>
      </c>
      <c r="D786" s="4">
        <f t="shared" si="290"/>
        <v>0</v>
      </c>
      <c r="E786" s="4">
        <f t="shared" si="291"/>
        <v>0</v>
      </c>
      <c r="F786" s="4">
        <f t="shared" si="292"/>
        <v>0</v>
      </c>
      <c r="G786" s="4">
        <f t="shared" si="293"/>
        <v>0</v>
      </c>
      <c r="I786" s="11" t="s">
        <v>977</v>
      </c>
      <c r="J786" s="9">
        <f t="shared" si="294"/>
        <v>1</v>
      </c>
      <c r="K786" s="9">
        <f t="shared" si="311"/>
        <v>0</v>
      </c>
      <c r="L786" s="9">
        <f t="shared" si="295"/>
        <v>0</v>
      </c>
      <c r="M786" s="9">
        <f t="shared" si="296"/>
        <v>0</v>
      </c>
      <c r="N786" s="9">
        <f t="shared" si="297"/>
        <v>0</v>
      </c>
      <c r="O786" s="9">
        <f t="shared" si="298"/>
        <v>0</v>
      </c>
      <c r="P786" s="9">
        <f t="shared" si="299"/>
        <v>0</v>
      </c>
      <c r="Q786" s="9">
        <f t="shared" si="300"/>
        <v>0</v>
      </c>
      <c r="R786" s="9">
        <f t="shared" si="301"/>
        <v>0</v>
      </c>
      <c r="S786" s="9">
        <f t="shared" si="302"/>
        <v>0</v>
      </c>
      <c r="T786" s="9">
        <f t="shared" si="303"/>
        <v>0</v>
      </c>
      <c r="U786" s="9">
        <f t="shared" si="304"/>
        <v>0</v>
      </c>
      <c r="V786" s="9">
        <f t="shared" si="305"/>
        <v>0</v>
      </c>
      <c r="W786" s="9">
        <f t="shared" si="306"/>
        <v>0</v>
      </c>
      <c r="X786" s="9">
        <f t="shared" si="307"/>
        <v>0</v>
      </c>
      <c r="Y786" s="9">
        <f t="shared" si="308"/>
        <v>0</v>
      </c>
      <c r="Z786" s="9">
        <f t="shared" si="309"/>
        <v>0</v>
      </c>
      <c r="AA786" s="10">
        <f t="shared" si="310"/>
        <v>0</v>
      </c>
    </row>
    <row r="787" spans="1:27" x14ac:dyDescent="0.3">
      <c r="A787" s="18" t="s">
        <v>1303</v>
      </c>
      <c r="B787" s="4">
        <f t="shared" si="288"/>
        <v>0</v>
      </c>
      <c r="C787" s="4">
        <f t="shared" si="289"/>
        <v>0</v>
      </c>
      <c r="D787" s="4">
        <f t="shared" si="290"/>
        <v>0</v>
      </c>
      <c r="E787" s="4">
        <f t="shared" si="291"/>
        <v>0</v>
      </c>
      <c r="F787" s="4">
        <f t="shared" si="292"/>
        <v>1</v>
      </c>
      <c r="G787" s="4">
        <f t="shared" si="293"/>
        <v>0</v>
      </c>
      <c r="I787" s="8" t="s">
        <v>988</v>
      </c>
      <c r="J787" s="9">
        <f t="shared" si="294"/>
        <v>0</v>
      </c>
      <c r="K787" s="9">
        <f t="shared" si="311"/>
        <v>0</v>
      </c>
      <c r="L787" s="9">
        <f t="shared" si="295"/>
        <v>1</v>
      </c>
      <c r="M787" s="9">
        <f t="shared" si="296"/>
        <v>0</v>
      </c>
      <c r="N787" s="9">
        <f t="shared" si="297"/>
        <v>0</v>
      </c>
      <c r="O787" s="9">
        <f t="shared" si="298"/>
        <v>0</v>
      </c>
      <c r="P787" s="9">
        <f t="shared" si="299"/>
        <v>0</v>
      </c>
      <c r="Q787" s="9">
        <f t="shared" si="300"/>
        <v>0</v>
      </c>
      <c r="R787" s="9">
        <f t="shared" si="301"/>
        <v>0</v>
      </c>
      <c r="S787" s="9">
        <f t="shared" si="302"/>
        <v>0</v>
      </c>
      <c r="T787" s="9">
        <f t="shared" si="303"/>
        <v>0</v>
      </c>
      <c r="U787" s="9">
        <f t="shared" si="304"/>
        <v>0</v>
      </c>
      <c r="V787" s="9">
        <f t="shared" si="305"/>
        <v>0</v>
      </c>
      <c r="W787" s="9">
        <f t="shared" si="306"/>
        <v>0</v>
      </c>
      <c r="X787" s="9">
        <f t="shared" si="307"/>
        <v>0</v>
      </c>
      <c r="Y787" s="9">
        <f t="shared" si="308"/>
        <v>0</v>
      </c>
      <c r="Z787" s="9">
        <f t="shared" si="309"/>
        <v>0</v>
      </c>
      <c r="AA787" s="10">
        <f t="shared" si="310"/>
        <v>0</v>
      </c>
    </row>
    <row r="788" spans="1:27" x14ac:dyDescent="0.3">
      <c r="A788" s="4" t="s">
        <v>1302</v>
      </c>
      <c r="B788" s="4">
        <f t="shared" si="288"/>
        <v>1</v>
      </c>
      <c r="C788" s="4">
        <f t="shared" si="289"/>
        <v>0</v>
      </c>
      <c r="D788" s="4">
        <f t="shared" si="290"/>
        <v>0</v>
      </c>
      <c r="E788" s="4">
        <f t="shared" si="291"/>
        <v>0</v>
      </c>
      <c r="F788" s="4">
        <f t="shared" si="292"/>
        <v>0</v>
      </c>
      <c r="G788" s="4">
        <f t="shared" si="293"/>
        <v>0</v>
      </c>
      <c r="I788" s="11" t="s">
        <v>1026</v>
      </c>
      <c r="J788" s="9">
        <f t="shared" si="294"/>
        <v>0</v>
      </c>
      <c r="K788" s="9">
        <f t="shared" si="311"/>
        <v>0</v>
      </c>
      <c r="L788" s="9">
        <f t="shared" si="295"/>
        <v>0</v>
      </c>
      <c r="M788" s="9">
        <f t="shared" si="296"/>
        <v>0</v>
      </c>
      <c r="N788" s="9">
        <f t="shared" si="297"/>
        <v>0</v>
      </c>
      <c r="O788" s="9">
        <f t="shared" si="298"/>
        <v>0</v>
      </c>
      <c r="P788" s="9">
        <f t="shared" si="299"/>
        <v>0</v>
      </c>
      <c r="Q788" s="9">
        <f t="shared" si="300"/>
        <v>0</v>
      </c>
      <c r="R788" s="9">
        <f t="shared" si="301"/>
        <v>0</v>
      </c>
      <c r="S788" s="9">
        <f t="shared" si="302"/>
        <v>0</v>
      </c>
      <c r="T788" s="9">
        <f t="shared" si="303"/>
        <v>1</v>
      </c>
      <c r="U788" s="9">
        <f t="shared" si="304"/>
        <v>0</v>
      </c>
      <c r="V788" s="9">
        <f t="shared" si="305"/>
        <v>0</v>
      </c>
      <c r="W788" s="9">
        <f t="shared" si="306"/>
        <v>0</v>
      </c>
      <c r="X788" s="9">
        <f t="shared" si="307"/>
        <v>0</v>
      </c>
      <c r="Y788" s="9">
        <f t="shared" si="308"/>
        <v>0</v>
      </c>
      <c r="Z788" s="9">
        <f t="shared" si="309"/>
        <v>0</v>
      </c>
      <c r="AA788" s="10">
        <f t="shared" si="310"/>
        <v>0</v>
      </c>
    </row>
    <row r="789" spans="1:27" x14ac:dyDescent="0.3">
      <c r="A789" s="18" t="s">
        <v>1305</v>
      </c>
      <c r="B789" s="4">
        <f t="shared" si="288"/>
        <v>0</v>
      </c>
      <c r="C789" s="4">
        <f t="shared" si="289"/>
        <v>0</v>
      </c>
      <c r="D789" s="4">
        <f t="shared" si="290"/>
        <v>0</v>
      </c>
      <c r="E789" s="4">
        <f t="shared" si="291"/>
        <v>0</v>
      </c>
      <c r="F789" s="4">
        <f t="shared" si="292"/>
        <v>0</v>
      </c>
      <c r="G789" s="4">
        <f t="shared" si="293"/>
        <v>1</v>
      </c>
      <c r="I789" s="8" t="s">
        <v>994</v>
      </c>
      <c r="J789" s="9">
        <f t="shared" si="294"/>
        <v>0</v>
      </c>
      <c r="K789" s="9">
        <f t="shared" si="311"/>
        <v>0</v>
      </c>
      <c r="L789" s="9">
        <f t="shared" si="295"/>
        <v>0</v>
      </c>
      <c r="M789" s="9">
        <f t="shared" si="296"/>
        <v>0</v>
      </c>
      <c r="N789" s="9">
        <f t="shared" si="297"/>
        <v>0</v>
      </c>
      <c r="O789" s="9">
        <f t="shared" si="298"/>
        <v>0</v>
      </c>
      <c r="P789" s="9">
        <f t="shared" si="299"/>
        <v>1</v>
      </c>
      <c r="Q789" s="9">
        <f t="shared" si="300"/>
        <v>0</v>
      </c>
      <c r="R789" s="9">
        <f t="shared" si="301"/>
        <v>0</v>
      </c>
      <c r="S789" s="9">
        <f t="shared" si="302"/>
        <v>0</v>
      </c>
      <c r="T789" s="9">
        <f t="shared" si="303"/>
        <v>0</v>
      </c>
      <c r="U789" s="9">
        <f t="shared" si="304"/>
        <v>0</v>
      </c>
      <c r="V789" s="9">
        <f t="shared" si="305"/>
        <v>0</v>
      </c>
      <c r="W789" s="9">
        <f t="shared" si="306"/>
        <v>0</v>
      </c>
      <c r="X789" s="9">
        <f t="shared" si="307"/>
        <v>0</v>
      </c>
      <c r="Y789" s="9">
        <f t="shared" si="308"/>
        <v>0</v>
      </c>
      <c r="Z789" s="9">
        <f t="shared" si="309"/>
        <v>0</v>
      </c>
      <c r="AA789" s="10">
        <f t="shared" si="310"/>
        <v>0</v>
      </c>
    </row>
    <row r="790" spans="1:27" x14ac:dyDescent="0.3">
      <c r="A790" s="4" t="s">
        <v>1303</v>
      </c>
      <c r="B790" s="4">
        <f t="shared" si="288"/>
        <v>0</v>
      </c>
      <c r="C790" s="4">
        <f t="shared" si="289"/>
        <v>0</v>
      </c>
      <c r="D790" s="4">
        <f t="shared" si="290"/>
        <v>0</v>
      </c>
      <c r="E790" s="4">
        <f t="shared" si="291"/>
        <v>0</v>
      </c>
      <c r="F790" s="4">
        <f t="shared" si="292"/>
        <v>1</v>
      </c>
      <c r="G790" s="4">
        <f t="shared" si="293"/>
        <v>0</v>
      </c>
      <c r="I790" s="11" t="s">
        <v>1088</v>
      </c>
      <c r="J790" s="9">
        <f t="shared" si="294"/>
        <v>0</v>
      </c>
      <c r="K790" s="9">
        <f t="shared" si="311"/>
        <v>0</v>
      </c>
      <c r="L790" s="9">
        <f t="shared" si="295"/>
        <v>0</v>
      </c>
      <c r="M790" s="9">
        <f t="shared" si="296"/>
        <v>0</v>
      </c>
      <c r="N790" s="9">
        <f t="shared" si="297"/>
        <v>0</v>
      </c>
      <c r="O790" s="9">
        <f t="shared" si="298"/>
        <v>0</v>
      </c>
      <c r="P790" s="9">
        <f t="shared" si="299"/>
        <v>0</v>
      </c>
      <c r="Q790" s="9">
        <f t="shared" si="300"/>
        <v>0</v>
      </c>
      <c r="R790" s="9">
        <f t="shared" si="301"/>
        <v>0</v>
      </c>
      <c r="S790" s="9">
        <f t="shared" si="302"/>
        <v>0</v>
      </c>
      <c r="T790" s="9">
        <f t="shared" si="303"/>
        <v>0</v>
      </c>
      <c r="U790" s="9">
        <f t="shared" si="304"/>
        <v>0</v>
      </c>
      <c r="V790" s="9">
        <f t="shared" si="305"/>
        <v>0</v>
      </c>
      <c r="W790" s="9">
        <f t="shared" si="306"/>
        <v>0</v>
      </c>
      <c r="X790" s="9">
        <f t="shared" si="307"/>
        <v>0</v>
      </c>
      <c r="Y790" s="9">
        <f t="shared" si="308"/>
        <v>0</v>
      </c>
      <c r="Z790" s="9">
        <f t="shared" si="309"/>
        <v>1</v>
      </c>
      <c r="AA790" s="10">
        <f t="shared" si="310"/>
        <v>0</v>
      </c>
    </row>
    <row r="791" spans="1:27" x14ac:dyDescent="0.3">
      <c r="A791" s="18" t="s">
        <v>1294</v>
      </c>
      <c r="B791" s="4">
        <f t="shared" si="288"/>
        <v>0</v>
      </c>
      <c r="C791" s="4">
        <f t="shared" si="289"/>
        <v>0</v>
      </c>
      <c r="D791" s="4">
        <f t="shared" si="290"/>
        <v>0</v>
      </c>
      <c r="E791" s="4">
        <f t="shared" si="291"/>
        <v>0</v>
      </c>
      <c r="F791" s="4">
        <f t="shared" si="292"/>
        <v>0</v>
      </c>
      <c r="G791" s="4">
        <f t="shared" si="293"/>
        <v>0</v>
      </c>
      <c r="I791" s="8" t="s">
        <v>996</v>
      </c>
      <c r="J791" s="9">
        <f t="shared" si="294"/>
        <v>0</v>
      </c>
      <c r="K791" s="9">
        <f t="shared" si="311"/>
        <v>0</v>
      </c>
      <c r="L791" s="9">
        <f t="shared" si="295"/>
        <v>0</v>
      </c>
      <c r="M791" s="9">
        <f t="shared" si="296"/>
        <v>0</v>
      </c>
      <c r="N791" s="9">
        <f t="shared" si="297"/>
        <v>0</v>
      </c>
      <c r="O791" s="9">
        <f t="shared" si="298"/>
        <v>0</v>
      </c>
      <c r="P791" s="9">
        <f t="shared" si="299"/>
        <v>0</v>
      </c>
      <c r="Q791" s="9">
        <f t="shared" si="300"/>
        <v>1</v>
      </c>
      <c r="R791" s="9">
        <f t="shared" si="301"/>
        <v>0</v>
      </c>
      <c r="S791" s="9">
        <f t="shared" si="302"/>
        <v>0</v>
      </c>
      <c r="T791" s="9">
        <f t="shared" si="303"/>
        <v>0</v>
      </c>
      <c r="U791" s="9">
        <f t="shared" si="304"/>
        <v>0</v>
      </c>
      <c r="V791" s="9">
        <f t="shared" si="305"/>
        <v>0</v>
      </c>
      <c r="W791" s="9">
        <f t="shared" si="306"/>
        <v>0</v>
      </c>
      <c r="X791" s="9">
        <f t="shared" si="307"/>
        <v>0</v>
      </c>
      <c r="Y791" s="9">
        <f t="shared" si="308"/>
        <v>0</v>
      </c>
      <c r="Z791" s="9">
        <f t="shared" si="309"/>
        <v>0</v>
      </c>
      <c r="AA791" s="10">
        <f t="shared" si="310"/>
        <v>0</v>
      </c>
    </row>
    <row r="792" spans="1:27" x14ac:dyDescent="0.3">
      <c r="A792" s="4" t="s">
        <v>1302</v>
      </c>
      <c r="B792" s="4">
        <f t="shared" si="288"/>
        <v>1</v>
      </c>
      <c r="C792" s="4">
        <f t="shared" si="289"/>
        <v>0</v>
      </c>
      <c r="D792" s="4">
        <f t="shared" si="290"/>
        <v>0</v>
      </c>
      <c r="E792" s="4">
        <f t="shared" si="291"/>
        <v>0</v>
      </c>
      <c r="F792" s="4">
        <f t="shared" si="292"/>
        <v>0</v>
      </c>
      <c r="G792" s="4">
        <f t="shared" si="293"/>
        <v>0</v>
      </c>
      <c r="I792" s="11" t="s">
        <v>1044</v>
      </c>
      <c r="J792" s="9">
        <f t="shared" si="294"/>
        <v>0</v>
      </c>
      <c r="K792" s="9">
        <f t="shared" si="311"/>
        <v>0</v>
      </c>
      <c r="L792" s="9">
        <f t="shared" si="295"/>
        <v>0</v>
      </c>
      <c r="M792" s="9">
        <f t="shared" si="296"/>
        <v>0</v>
      </c>
      <c r="N792" s="9">
        <f t="shared" si="297"/>
        <v>0</v>
      </c>
      <c r="O792" s="9">
        <f t="shared" si="298"/>
        <v>0</v>
      </c>
      <c r="P792" s="9">
        <f t="shared" si="299"/>
        <v>0</v>
      </c>
      <c r="Q792" s="9">
        <f t="shared" si="300"/>
        <v>0</v>
      </c>
      <c r="R792" s="9">
        <f t="shared" si="301"/>
        <v>0</v>
      </c>
      <c r="S792" s="9">
        <f t="shared" si="302"/>
        <v>0</v>
      </c>
      <c r="T792" s="9">
        <f t="shared" si="303"/>
        <v>0</v>
      </c>
      <c r="U792" s="9">
        <f t="shared" si="304"/>
        <v>1</v>
      </c>
      <c r="V792" s="9">
        <f t="shared" si="305"/>
        <v>0</v>
      </c>
      <c r="W792" s="9">
        <f t="shared" si="306"/>
        <v>0</v>
      </c>
      <c r="X792" s="9">
        <f t="shared" si="307"/>
        <v>0</v>
      </c>
      <c r="Y792" s="9">
        <f t="shared" si="308"/>
        <v>0</v>
      </c>
      <c r="Z792" s="9">
        <f t="shared" si="309"/>
        <v>0</v>
      </c>
      <c r="AA792" s="10">
        <f t="shared" si="310"/>
        <v>0</v>
      </c>
    </row>
    <row r="793" spans="1:27" x14ac:dyDescent="0.3">
      <c r="A793" s="18" t="s">
        <v>1302</v>
      </c>
      <c r="B793" s="4">
        <f t="shared" si="288"/>
        <v>1</v>
      </c>
      <c r="C793" s="4">
        <f t="shared" si="289"/>
        <v>0</v>
      </c>
      <c r="D793" s="4">
        <f t="shared" si="290"/>
        <v>0</v>
      </c>
      <c r="E793" s="4">
        <f t="shared" si="291"/>
        <v>0</v>
      </c>
      <c r="F793" s="4">
        <f t="shared" si="292"/>
        <v>0</v>
      </c>
      <c r="G793" s="4">
        <f t="shared" si="293"/>
        <v>0</v>
      </c>
      <c r="I793" s="8" t="s">
        <v>994</v>
      </c>
      <c r="J793" s="9">
        <f t="shared" si="294"/>
        <v>0</v>
      </c>
      <c r="K793" s="9">
        <f t="shared" si="311"/>
        <v>0</v>
      </c>
      <c r="L793" s="9">
        <f t="shared" si="295"/>
        <v>0</v>
      </c>
      <c r="M793" s="9">
        <f t="shared" si="296"/>
        <v>0</v>
      </c>
      <c r="N793" s="9">
        <f t="shared" si="297"/>
        <v>0</v>
      </c>
      <c r="O793" s="9">
        <f t="shared" si="298"/>
        <v>0</v>
      </c>
      <c r="P793" s="9">
        <f t="shared" si="299"/>
        <v>1</v>
      </c>
      <c r="Q793" s="9">
        <f t="shared" si="300"/>
        <v>0</v>
      </c>
      <c r="R793" s="9">
        <f t="shared" si="301"/>
        <v>0</v>
      </c>
      <c r="S793" s="9">
        <f t="shared" si="302"/>
        <v>0</v>
      </c>
      <c r="T793" s="9">
        <f t="shared" si="303"/>
        <v>0</v>
      </c>
      <c r="U793" s="9">
        <f t="shared" si="304"/>
        <v>0</v>
      </c>
      <c r="V793" s="9">
        <f t="shared" si="305"/>
        <v>0</v>
      </c>
      <c r="W793" s="9">
        <f t="shared" si="306"/>
        <v>0</v>
      </c>
      <c r="X793" s="9">
        <f t="shared" si="307"/>
        <v>0</v>
      </c>
      <c r="Y793" s="9">
        <f t="shared" si="308"/>
        <v>0</v>
      </c>
      <c r="Z793" s="9">
        <f t="shared" si="309"/>
        <v>0</v>
      </c>
      <c r="AA793" s="10">
        <f t="shared" si="310"/>
        <v>0</v>
      </c>
    </row>
    <row r="794" spans="1:27" x14ac:dyDescent="0.3">
      <c r="A794" s="4" t="s">
        <v>1302</v>
      </c>
      <c r="B794" s="4">
        <f t="shared" si="288"/>
        <v>1</v>
      </c>
      <c r="C794" s="4">
        <f t="shared" si="289"/>
        <v>0</v>
      </c>
      <c r="D794" s="4">
        <f t="shared" si="290"/>
        <v>0</v>
      </c>
      <c r="E794" s="4">
        <f t="shared" si="291"/>
        <v>0</v>
      </c>
      <c r="F794" s="4">
        <f t="shared" si="292"/>
        <v>0</v>
      </c>
      <c r="G794" s="4">
        <f t="shared" si="293"/>
        <v>0</v>
      </c>
      <c r="I794" s="11" t="s">
        <v>988</v>
      </c>
      <c r="J794" s="9">
        <f t="shared" si="294"/>
        <v>0</v>
      </c>
      <c r="K794" s="9">
        <f t="shared" si="311"/>
        <v>0</v>
      </c>
      <c r="L794" s="9">
        <f t="shared" si="295"/>
        <v>1</v>
      </c>
      <c r="M794" s="9">
        <f t="shared" si="296"/>
        <v>0</v>
      </c>
      <c r="N794" s="9">
        <f t="shared" si="297"/>
        <v>0</v>
      </c>
      <c r="O794" s="9">
        <f t="shared" si="298"/>
        <v>0</v>
      </c>
      <c r="P794" s="9">
        <f t="shared" si="299"/>
        <v>0</v>
      </c>
      <c r="Q794" s="9">
        <f t="shared" si="300"/>
        <v>0</v>
      </c>
      <c r="R794" s="9">
        <f t="shared" si="301"/>
        <v>0</v>
      </c>
      <c r="S794" s="9">
        <f t="shared" si="302"/>
        <v>0</v>
      </c>
      <c r="T794" s="9">
        <f t="shared" si="303"/>
        <v>0</v>
      </c>
      <c r="U794" s="9">
        <f t="shared" si="304"/>
        <v>0</v>
      </c>
      <c r="V794" s="9">
        <f t="shared" si="305"/>
        <v>0</v>
      </c>
      <c r="W794" s="9">
        <f t="shared" si="306"/>
        <v>0</v>
      </c>
      <c r="X794" s="9">
        <f t="shared" si="307"/>
        <v>0</v>
      </c>
      <c r="Y794" s="9">
        <f t="shared" si="308"/>
        <v>0</v>
      </c>
      <c r="Z794" s="9">
        <f t="shared" si="309"/>
        <v>0</v>
      </c>
      <c r="AA794" s="10">
        <f t="shared" si="310"/>
        <v>0</v>
      </c>
    </row>
    <row r="795" spans="1:27" x14ac:dyDescent="0.3">
      <c r="A795" s="18" t="s">
        <v>1302</v>
      </c>
      <c r="B795" s="4">
        <f t="shared" si="288"/>
        <v>1</v>
      </c>
      <c r="C795" s="4">
        <f t="shared" si="289"/>
        <v>0</v>
      </c>
      <c r="D795" s="4">
        <f t="shared" si="290"/>
        <v>0</v>
      </c>
      <c r="E795" s="4">
        <f t="shared" si="291"/>
        <v>0</v>
      </c>
      <c r="F795" s="4">
        <f t="shared" si="292"/>
        <v>0</v>
      </c>
      <c r="G795" s="4">
        <f t="shared" si="293"/>
        <v>0</v>
      </c>
      <c r="I795" s="8" t="s">
        <v>990</v>
      </c>
      <c r="J795" s="9">
        <f t="shared" si="294"/>
        <v>0</v>
      </c>
      <c r="K795" s="9">
        <f t="shared" si="311"/>
        <v>0</v>
      </c>
      <c r="L795" s="9">
        <f t="shared" si="295"/>
        <v>0</v>
      </c>
      <c r="M795" s="9">
        <f t="shared" si="296"/>
        <v>0</v>
      </c>
      <c r="N795" s="9">
        <f t="shared" si="297"/>
        <v>1</v>
      </c>
      <c r="O795" s="9">
        <f t="shared" si="298"/>
        <v>0</v>
      </c>
      <c r="P795" s="9">
        <f t="shared" si="299"/>
        <v>0</v>
      </c>
      <c r="Q795" s="9">
        <f t="shared" si="300"/>
        <v>0</v>
      </c>
      <c r="R795" s="9">
        <f t="shared" si="301"/>
        <v>0</v>
      </c>
      <c r="S795" s="9">
        <f t="shared" si="302"/>
        <v>0</v>
      </c>
      <c r="T795" s="9">
        <f t="shared" si="303"/>
        <v>0</v>
      </c>
      <c r="U795" s="9">
        <f t="shared" si="304"/>
        <v>0</v>
      </c>
      <c r="V795" s="9">
        <f t="shared" si="305"/>
        <v>0</v>
      </c>
      <c r="W795" s="9">
        <f t="shared" si="306"/>
        <v>0</v>
      </c>
      <c r="X795" s="9">
        <f t="shared" si="307"/>
        <v>0</v>
      </c>
      <c r="Y795" s="9">
        <f t="shared" si="308"/>
        <v>0</v>
      </c>
      <c r="Z795" s="9">
        <f t="shared" si="309"/>
        <v>0</v>
      </c>
      <c r="AA795" s="10">
        <f t="shared" si="310"/>
        <v>0</v>
      </c>
    </row>
    <row r="796" spans="1:27" x14ac:dyDescent="0.3">
      <c r="A796" s="4" t="s">
        <v>1302</v>
      </c>
      <c r="B796" s="4">
        <f t="shared" si="288"/>
        <v>1</v>
      </c>
      <c r="C796" s="4">
        <f t="shared" si="289"/>
        <v>0</v>
      </c>
      <c r="D796" s="4">
        <f t="shared" si="290"/>
        <v>0</v>
      </c>
      <c r="E796" s="4">
        <f t="shared" si="291"/>
        <v>0</v>
      </c>
      <c r="F796" s="4">
        <f t="shared" si="292"/>
        <v>0</v>
      </c>
      <c r="G796" s="4">
        <f t="shared" si="293"/>
        <v>0</v>
      </c>
      <c r="I796" s="11" t="s">
        <v>1011</v>
      </c>
      <c r="J796" s="9">
        <f t="shared" si="294"/>
        <v>0</v>
      </c>
      <c r="K796" s="9">
        <f t="shared" si="311"/>
        <v>0</v>
      </c>
      <c r="L796" s="9">
        <f t="shared" si="295"/>
        <v>0</v>
      </c>
      <c r="M796" s="9">
        <f t="shared" si="296"/>
        <v>0</v>
      </c>
      <c r="N796" s="9">
        <f t="shared" si="297"/>
        <v>0</v>
      </c>
      <c r="O796" s="9">
        <f t="shared" si="298"/>
        <v>0</v>
      </c>
      <c r="P796" s="9">
        <f t="shared" si="299"/>
        <v>0</v>
      </c>
      <c r="Q796" s="9">
        <f t="shared" si="300"/>
        <v>0</v>
      </c>
      <c r="R796" s="9">
        <f t="shared" si="301"/>
        <v>0</v>
      </c>
      <c r="S796" s="9">
        <f t="shared" si="302"/>
        <v>1</v>
      </c>
      <c r="T796" s="9">
        <f t="shared" si="303"/>
        <v>0</v>
      </c>
      <c r="U796" s="9">
        <f t="shared" si="304"/>
        <v>0</v>
      </c>
      <c r="V796" s="9">
        <f t="shared" si="305"/>
        <v>0</v>
      </c>
      <c r="W796" s="9">
        <f t="shared" si="306"/>
        <v>0</v>
      </c>
      <c r="X796" s="9">
        <f t="shared" si="307"/>
        <v>0</v>
      </c>
      <c r="Y796" s="9">
        <f t="shared" si="308"/>
        <v>0</v>
      </c>
      <c r="Z796" s="9">
        <f t="shared" si="309"/>
        <v>0</v>
      </c>
      <c r="AA796" s="10">
        <f t="shared" si="310"/>
        <v>0</v>
      </c>
    </row>
    <row r="797" spans="1:27" x14ac:dyDescent="0.3">
      <c r="A797" s="18" t="s">
        <v>1305</v>
      </c>
      <c r="B797" s="4">
        <f t="shared" si="288"/>
        <v>0</v>
      </c>
      <c r="C797" s="4">
        <f t="shared" si="289"/>
        <v>0</v>
      </c>
      <c r="D797" s="4">
        <f t="shared" si="290"/>
        <v>0</v>
      </c>
      <c r="E797" s="4">
        <f t="shared" si="291"/>
        <v>0</v>
      </c>
      <c r="F797" s="4">
        <f t="shared" si="292"/>
        <v>0</v>
      </c>
      <c r="G797" s="4">
        <f t="shared" si="293"/>
        <v>1</v>
      </c>
      <c r="I797" s="8" t="s">
        <v>1044</v>
      </c>
      <c r="J797" s="9">
        <f t="shared" si="294"/>
        <v>0</v>
      </c>
      <c r="K797" s="9">
        <f t="shared" si="311"/>
        <v>0</v>
      </c>
      <c r="L797" s="9">
        <f t="shared" si="295"/>
        <v>0</v>
      </c>
      <c r="M797" s="9">
        <f t="shared" si="296"/>
        <v>0</v>
      </c>
      <c r="N797" s="9">
        <f t="shared" si="297"/>
        <v>0</v>
      </c>
      <c r="O797" s="9">
        <f t="shared" si="298"/>
        <v>0</v>
      </c>
      <c r="P797" s="9">
        <f t="shared" si="299"/>
        <v>0</v>
      </c>
      <c r="Q797" s="9">
        <f t="shared" si="300"/>
        <v>0</v>
      </c>
      <c r="R797" s="9">
        <f t="shared" si="301"/>
        <v>0</v>
      </c>
      <c r="S797" s="9">
        <f t="shared" si="302"/>
        <v>0</v>
      </c>
      <c r="T797" s="9">
        <f t="shared" si="303"/>
        <v>0</v>
      </c>
      <c r="U797" s="9">
        <f t="shared" si="304"/>
        <v>1</v>
      </c>
      <c r="V797" s="9">
        <f t="shared" si="305"/>
        <v>0</v>
      </c>
      <c r="W797" s="9">
        <f t="shared" si="306"/>
        <v>0</v>
      </c>
      <c r="X797" s="9">
        <f t="shared" si="307"/>
        <v>0</v>
      </c>
      <c r="Y797" s="9">
        <f t="shared" si="308"/>
        <v>0</v>
      </c>
      <c r="Z797" s="9">
        <f t="shared" si="309"/>
        <v>0</v>
      </c>
      <c r="AA797" s="10">
        <f t="shared" si="310"/>
        <v>0</v>
      </c>
    </row>
    <row r="798" spans="1:27" x14ac:dyDescent="0.3">
      <c r="A798" s="4" t="s">
        <v>1305</v>
      </c>
      <c r="B798" s="4">
        <f t="shared" si="288"/>
        <v>0</v>
      </c>
      <c r="C798" s="4">
        <f t="shared" si="289"/>
        <v>0</v>
      </c>
      <c r="D798" s="4">
        <f t="shared" si="290"/>
        <v>0</v>
      </c>
      <c r="E798" s="4">
        <f t="shared" si="291"/>
        <v>0</v>
      </c>
      <c r="F798" s="4">
        <f t="shared" si="292"/>
        <v>0</v>
      </c>
      <c r="G798" s="4">
        <f t="shared" si="293"/>
        <v>1</v>
      </c>
      <c r="I798" s="11" t="s">
        <v>977</v>
      </c>
      <c r="J798" s="9">
        <f t="shared" si="294"/>
        <v>1</v>
      </c>
      <c r="K798" s="9">
        <f t="shared" si="311"/>
        <v>0</v>
      </c>
      <c r="L798" s="9">
        <f t="shared" si="295"/>
        <v>0</v>
      </c>
      <c r="M798" s="9">
        <f t="shared" si="296"/>
        <v>0</v>
      </c>
      <c r="N798" s="9">
        <f t="shared" si="297"/>
        <v>0</v>
      </c>
      <c r="O798" s="9">
        <f t="shared" si="298"/>
        <v>0</v>
      </c>
      <c r="P798" s="9">
        <f t="shared" si="299"/>
        <v>0</v>
      </c>
      <c r="Q798" s="9">
        <f t="shared" si="300"/>
        <v>0</v>
      </c>
      <c r="R798" s="9">
        <f t="shared" si="301"/>
        <v>0</v>
      </c>
      <c r="S798" s="9">
        <f t="shared" si="302"/>
        <v>0</v>
      </c>
      <c r="T798" s="9">
        <f t="shared" si="303"/>
        <v>0</v>
      </c>
      <c r="U798" s="9">
        <f t="shared" si="304"/>
        <v>0</v>
      </c>
      <c r="V798" s="9">
        <f t="shared" si="305"/>
        <v>0</v>
      </c>
      <c r="W798" s="9">
        <f t="shared" si="306"/>
        <v>0</v>
      </c>
      <c r="X798" s="9">
        <f t="shared" si="307"/>
        <v>0</v>
      </c>
      <c r="Y798" s="9">
        <f t="shared" si="308"/>
        <v>0</v>
      </c>
      <c r="Z798" s="9">
        <f t="shared" si="309"/>
        <v>0</v>
      </c>
      <c r="AA798" s="10">
        <f t="shared" si="310"/>
        <v>0</v>
      </c>
    </row>
    <row r="799" spans="1:27" x14ac:dyDescent="0.3">
      <c r="A799" s="18" t="s">
        <v>1305</v>
      </c>
      <c r="B799" s="4">
        <f t="shared" si="288"/>
        <v>0</v>
      </c>
      <c r="C799" s="4">
        <f t="shared" si="289"/>
        <v>0</v>
      </c>
      <c r="D799" s="4">
        <f t="shared" si="290"/>
        <v>0</v>
      </c>
      <c r="E799" s="4">
        <f t="shared" si="291"/>
        <v>0</v>
      </c>
      <c r="F799" s="4">
        <f t="shared" si="292"/>
        <v>0</v>
      </c>
      <c r="G799" s="4">
        <f t="shared" si="293"/>
        <v>1</v>
      </c>
      <c r="I799" s="8" t="s">
        <v>988</v>
      </c>
      <c r="J799" s="9">
        <f t="shared" si="294"/>
        <v>0</v>
      </c>
      <c r="K799" s="9">
        <f t="shared" si="311"/>
        <v>0</v>
      </c>
      <c r="L799" s="9">
        <f t="shared" si="295"/>
        <v>1</v>
      </c>
      <c r="M799" s="9">
        <f t="shared" si="296"/>
        <v>0</v>
      </c>
      <c r="N799" s="9">
        <f t="shared" si="297"/>
        <v>0</v>
      </c>
      <c r="O799" s="9">
        <f t="shared" si="298"/>
        <v>0</v>
      </c>
      <c r="P799" s="9">
        <f t="shared" si="299"/>
        <v>0</v>
      </c>
      <c r="Q799" s="9">
        <f t="shared" si="300"/>
        <v>0</v>
      </c>
      <c r="R799" s="9">
        <f t="shared" si="301"/>
        <v>0</v>
      </c>
      <c r="S799" s="9">
        <f t="shared" si="302"/>
        <v>0</v>
      </c>
      <c r="T799" s="9">
        <f t="shared" si="303"/>
        <v>0</v>
      </c>
      <c r="U799" s="9">
        <f t="shared" si="304"/>
        <v>0</v>
      </c>
      <c r="V799" s="9">
        <f t="shared" si="305"/>
        <v>0</v>
      </c>
      <c r="W799" s="9">
        <f t="shared" si="306"/>
        <v>0</v>
      </c>
      <c r="X799" s="9">
        <f t="shared" si="307"/>
        <v>0</v>
      </c>
      <c r="Y799" s="9">
        <f t="shared" si="308"/>
        <v>0</v>
      </c>
      <c r="Z799" s="9">
        <f t="shared" si="309"/>
        <v>0</v>
      </c>
      <c r="AA799" s="10">
        <f t="shared" si="310"/>
        <v>0</v>
      </c>
    </row>
    <row r="800" spans="1:27" x14ac:dyDescent="0.3">
      <c r="A800" s="4" t="s">
        <v>1302</v>
      </c>
      <c r="B800" s="4">
        <f t="shared" si="288"/>
        <v>1</v>
      </c>
      <c r="C800" s="4">
        <f t="shared" si="289"/>
        <v>0</v>
      </c>
      <c r="D800" s="4">
        <f t="shared" si="290"/>
        <v>0</v>
      </c>
      <c r="E800" s="4">
        <f t="shared" si="291"/>
        <v>0</v>
      </c>
      <c r="F800" s="4">
        <f t="shared" si="292"/>
        <v>0</v>
      </c>
      <c r="G800" s="4">
        <f t="shared" si="293"/>
        <v>0</v>
      </c>
      <c r="I800" s="11" t="s">
        <v>1044</v>
      </c>
      <c r="J800" s="9">
        <f t="shared" si="294"/>
        <v>0</v>
      </c>
      <c r="K800" s="9">
        <f t="shared" si="311"/>
        <v>0</v>
      </c>
      <c r="L800" s="9">
        <f t="shared" si="295"/>
        <v>0</v>
      </c>
      <c r="M800" s="9">
        <f t="shared" si="296"/>
        <v>0</v>
      </c>
      <c r="N800" s="9">
        <f t="shared" si="297"/>
        <v>0</v>
      </c>
      <c r="O800" s="9">
        <f t="shared" si="298"/>
        <v>0</v>
      </c>
      <c r="P800" s="9">
        <f t="shared" si="299"/>
        <v>0</v>
      </c>
      <c r="Q800" s="9">
        <f t="shared" si="300"/>
        <v>0</v>
      </c>
      <c r="R800" s="9">
        <f t="shared" si="301"/>
        <v>0</v>
      </c>
      <c r="S800" s="9">
        <f t="shared" si="302"/>
        <v>0</v>
      </c>
      <c r="T800" s="9">
        <f t="shared" si="303"/>
        <v>0</v>
      </c>
      <c r="U800" s="9">
        <f t="shared" si="304"/>
        <v>1</v>
      </c>
      <c r="V800" s="9">
        <f t="shared" si="305"/>
        <v>0</v>
      </c>
      <c r="W800" s="9">
        <f t="shared" si="306"/>
        <v>0</v>
      </c>
      <c r="X800" s="9">
        <f t="shared" si="307"/>
        <v>0</v>
      </c>
      <c r="Y800" s="9">
        <f t="shared" si="308"/>
        <v>0</v>
      </c>
      <c r="Z800" s="9">
        <f t="shared" si="309"/>
        <v>0</v>
      </c>
      <c r="AA800" s="10">
        <f t="shared" si="310"/>
        <v>0</v>
      </c>
    </row>
    <row r="801" spans="1:27" x14ac:dyDescent="0.3">
      <c r="A801" s="18" t="s">
        <v>1302</v>
      </c>
      <c r="B801" s="4">
        <f t="shared" si="288"/>
        <v>1</v>
      </c>
      <c r="C801" s="4">
        <f t="shared" si="289"/>
        <v>0</v>
      </c>
      <c r="D801" s="4">
        <f t="shared" si="290"/>
        <v>0</v>
      </c>
      <c r="E801" s="4">
        <f t="shared" si="291"/>
        <v>0</v>
      </c>
      <c r="F801" s="4">
        <f t="shared" si="292"/>
        <v>0</v>
      </c>
      <c r="G801" s="4">
        <f t="shared" si="293"/>
        <v>0</v>
      </c>
      <c r="I801" s="8" t="s">
        <v>990</v>
      </c>
      <c r="J801" s="9">
        <f t="shared" si="294"/>
        <v>0</v>
      </c>
      <c r="K801" s="9">
        <f t="shared" si="311"/>
        <v>0</v>
      </c>
      <c r="L801" s="9">
        <f t="shared" si="295"/>
        <v>0</v>
      </c>
      <c r="M801" s="9">
        <f t="shared" si="296"/>
        <v>0</v>
      </c>
      <c r="N801" s="9">
        <f t="shared" si="297"/>
        <v>1</v>
      </c>
      <c r="O801" s="9">
        <f t="shared" si="298"/>
        <v>0</v>
      </c>
      <c r="P801" s="9">
        <f t="shared" si="299"/>
        <v>0</v>
      </c>
      <c r="Q801" s="9">
        <f t="shared" si="300"/>
        <v>0</v>
      </c>
      <c r="R801" s="9">
        <f t="shared" si="301"/>
        <v>0</v>
      </c>
      <c r="S801" s="9">
        <f t="shared" si="302"/>
        <v>0</v>
      </c>
      <c r="T801" s="9">
        <f t="shared" si="303"/>
        <v>0</v>
      </c>
      <c r="U801" s="9">
        <f t="shared" si="304"/>
        <v>0</v>
      </c>
      <c r="V801" s="9">
        <f t="shared" si="305"/>
        <v>0</v>
      </c>
      <c r="W801" s="9">
        <f t="shared" si="306"/>
        <v>0</v>
      </c>
      <c r="X801" s="9">
        <f t="shared" si="307"/>
        <v>0</v>
      </c>
      <c r="Y801" s="9">
        <f t="shared" si="308"/>
        <v>0</v>
      </c>
      <c r="Z801" s="9">
        <f t="shared" si="309"/>
        <v>0</v>
      </c>
      <c r="AA801" s="10">
        <f t="shared" si="310"/>
        <v>0</v>
      </c>
    </row>
    <row r="802" spans="1:27" x14ac:dyDescent="0.3">
      <c r="A802" s="4" t="s">
        <v>1303</v>
      </c>
      <c r="B802" s="4">
        <f t="shared" si="288"/>
        <v>0</v>
      </c>
      <c r="C802" s="4">
        <f t="shared" si="289"/>
        <v>0</v>
      </c>
      <c r="D802" s="4">
        <f t="shared" si="290"/>
        <v>0</v>
      </c>
      <c r="E802" s="4">
        <f t="shared" si="291"/>
        <v>0</v>
      </c>
      <c r="F802" s="4">
        <f t="shared" si="292"/>
        <v>1</v>
      </c>
      <c r="G802" s="4">
        <f t="shared" si="293"/>
        <v>0</v>
      </c>
      <c r="I802" s="11" t="s">
        <v>988</v>
      </c>
      <c r="J802" s="9">
        <f t="shared" si="294"/>
        <v>0</v>
      </c>
      <c r="K802" s="9">
        <f t="shared" si="311"/>
        <v>0</v>
      </c>
      <c r="L802" s="9">
        <f t="shared" si="295"/>
        <v>1</v>
      </c>
      <c r="M802" s="9">
        <f t="shared" si="296"/>
        <v>0</v>
      </c>
      <c r="N802" s="9">
        <f t="shared" si="297"/>
        <v>0</v>
      </c>
      <c r="O802" s="9">
        <f t="shared" si="298"/>
        <v>0</v>
      </c>
      <c r="P802" s="9">
        <f t="shared" si="299"/>
        <v>0</v>
      </c>
      <c r="Q802" s="9">
        <f t="shared" si="300"/>
        <v>0</v>
      </c>
      <c r="R802" s="9">
        <f t="shared" si="301"/>
        <v>0</v>
      </c>
      <c r="S802" s="9">
        <f t="shared" si="302"/>
        <v>0</v>
      </c>
      <c r="T802" s="9">
        <f t="shared" si="303"/>
        <v>0</v>
      </c>
      <c r="U802" s="9">
        <f t="shared" si="304"/>
        <v>0</v>
      </c>
      <c r="V802" s="9">
        <f t="shared" si="305"/>
        <v>0</v>
      </c>
      <c r="W802" s="9">
        <f t="shared" si="306"/>
        <v>0</v>
      </c>
      <c r="X802" s="9">
        <f t="shared" si="307"/>
        <v>0</v>
      </c>
      <c r="Y802" s="9">
        <f t="shared" si="308"/>
        <v>0</v>
      </c>
      <c r="Z802" s="9">
        <f t="shared" si="309"/>
        <v>0</v>
      </c>
      <c r="AA802" s="10">
        <f t="shared" si="310"/>
        <v>0</v>
      </c>
    </row>
    <row r="803" spans="1:27" x14ac:dyDescent="0.3">
      <c r="A803" s="18" t="s">
        <v>1303</v>
      </c>
      <c r="B803" s="4">
        <f t="shared" si="288"/>
        <v>0</v>
      </c>
      <c r="C803" s="4">
        <f t="shared" si="289"/>
        <v>0</v>
      </c>
      <c r="D803" s="4">
        <f t="shared" si="290"/>
        <v>0</v>
      </c>
      <c r="E803" s="4">
        <f t="shared" si="291"/>
        <v>0</v>
      </c>
      <c r="F803" s="4">
        <f t="shared" si="292"/>
        <v>1</v>
      </c>
      <c r="G803" s="4">
        <f t="shared" si="293"/>
        <v>0</v>
      </c>
      <c r="I803" s="8" t="s">
        <v>1004</v>
      </c>
      <c r="J803" s="9">
        <f t="shared" si="294"/>
        <v>0</v>
      </c>
      <c r="K803" s="9">
        <f t="shared" si="311"/>
        <v>0</v>
      </c>
      <c r="L803" s="9">
        <f t="shared" si="295"/>
        <v>0</v>
      </c>
      <c r="M803" s="9">
        <f t="shared" si="296"/>
        <v>0</v>
      </c>
      <c r="N803" s="9">
        <f t="shared" si="297"/>
        <v>0</v>
      </c>
      <c r="O803" s="9">
        <f t="shared" si="298"/>
        <v>0</v>
      </c>
      <c r="P803" s="9">
        <f t="shared" si="299"/>
        <v>0</v>
      </c>
      <c r="Q803" s="9">
        <f t="shared" si="300"/>
        <v>0</v>
      </c>
      <c r="R803" s="9">
        <f t="shared" si="301"/>
        <v>1</v>
      </c>
      <c r="S803" s="9">
        <f t="shared" si="302"/>
        <v>0</v>
      </c>
      <c r="T803" s="9">
        <f t="shared" si="303"/>
        <v>0</v>
      </c>
      <c r="U803" s="9">
        <f t="shared" si="304"/>
        <v>0</v>
      </c>
      <c r="V803" s="9">
        <f t="shared" si="305"/>
        <v>0</v>
      </c>
      <c r="W803" s="9">
        <f t="shared" si="306"/>
        <v>0</v>
      </c>
      <c r="X803" s="9">
        <f t="shared" si="307"/>
        <v>0</v>
      </c>
      <c r="Y803" s="9">
        <f t="shared" si="308"/>
        <v>0</v>
      </c>
      <c r="Z803" s="9">
        <f t="shared" si="309"/>
        <v>0</v>
      </c>
      <c r="AA803" s="10">
        <f t="shared" si="310"/>
        <v>0</v>
      </c>
    </row>
    <row r="804" spans="1:27" x14ac:dyDescent="0.3">
      <c r="A804" s="4" t="s">
        <v>1303</v>
      </c>
      <c r="B804" s="4">
        <f t="shared" si="288"/>
        <v>0</v>
      </c>
      <c r="C804" s="4">
        <f t="shared" si="289"/>
        <v>0</v>
      </c>
      <c r="D804" s="4">
        <f t="shared" si="290"/>
        <v>0</v>
      </c>
      <c r="E804" s="4">
        <f t="shared" si="291"/>
        <v>0</v>
      </c>
      <c r="F804" s="4">
        <f t="shared" si="292"/>
        <v>1</v>
      </c>
      <c r="G804" s="4">
        <f t="shared" si="293"/>
        <v>0</v>
      </c>
      <c r="I804" s="11" t="s">
        <v>977</v>
      </c>
      <c r="J804" s="9">
        <f t="shared" si="294"/>
        <v>1</v>
      </c>
      <c r="K804" s="9">
        <f t="shared" si="311"/>
        <v>0</v>
      </c>
      <c r="L804" s="9">
        <f t="shared" si="295"/>
        <v>0</v>
      </c>
      <c r="M804" s="9">
        <f t="shared" si="296"/>
        <v>0</v>
      </c>
      <c r="N804" s="9">
        <f t="shared" si="297"/>
        <v>0</v>
      </c>
      <c r="O804" s="9">
        <f t="shared" si="298"/>
        <v>0</v>
      </c>
      <c r="P804" s="9">
        <f t="shared" si="299"/>
        <v>0</v>
      </c>
      <c r="Q804" s="9">
        <f t="shared" si="300"/>
        <v>0</v>
      </c>
      <c r="R804" s="9">
        <f t="shared" si="301"/>
        <v>0</v>
      </c>
      <c r="S804" s="9">
        <f t="shared" si="302"/>
        <v>0</v>
      </c>
      <c r="T804" s="9">
        <f t="shared" si="303"/>
        <v>0</v>
      </c>
      <c r="U804" s="9">
        <f t="shared" si="304"/>
        <v>0</v>
      </c>
      <c r="V804" s="9">
        <f t="shared" si="305"/>
        <v>0</v>
      </c>
      <c r="W804" s="9">
        <f t="shared" si="306"/>
        <v>0</v>
      </c>
      <c r="X804" s="9">
        <f t="shared" si="307"/>
        <v>0</v>
      </c>
      <c r="Y804" s="9">
        <f t="shared" si="308"/>
        <v>0</v>
      </c>
      <c r="Z804" s="9">
        <f t="shared" si="309"/>
        <v>0</v>
      </c>
      <c r="AA804" s="10">
        <f t="shared" si="310"/>
        <v>0</v>
      </c>
    </row>
    <row r="805" spans="1:27" x14ac:dyDescent="0.3">
      <c r="A805" s="18" t="s">
        <v>1302</v>
      </c>
      <c r="B805" s="4">
        <f t="shared" si="288"/>
        <v>1</v>
      </c>
      <c r="C805" s="4">
        <f t="shared" si="289"/>
        <v>0</v>
      </c>
      <c r="D805" s="4">
        <f t="shared" si="290"/>
        <v>0</v>
      </c>
      <c r="E805" s="4">
        <f t="shared" si="291"/>
        <v>0</v>
      </c>
      <c r="F805" s="4">
        <f t="shared" si="292"/>
        <v>0</v>
      </c>
      <c r="G805" s="4">
        <f t="shared" si="293"/>
        <v>0</v>
      </c>
      <c r="I805" s="8" t="s">
        <v>1294</v>
      </c>
      <c r="J805" s="9">
        <f t="shared" si="294"/>
        <v>0</v>
      </c>
      <c r="K805" s="9">
        <f t="shared" si="311"/>
        <v>0</v>
      </c>
      <c r="L805" s="9">
        <f t="shared" si="295"/>
        <v>0</v>
      </c>
      <c r="M805" s="9">
        <f t="shared" si="296"/>
        <v>0</v>
      </c>
      <c r="N805" s="9">
        <f t="shared" si="297"/>
        <v>0</v>
      </c>
      <c r="O805" s="9">
        <f t="shared" si="298"/>
        <v>0</v>
      </c>
      <c r="P805" s="9">
        <f t="shared" si="299"/>
        <v>0</v>
      </c>
      <c r="Q805" s="9">
        <f t="shared" si="300"/>
        <v>0</v>
      </c>
      <c r="R805" s="9">
        <f t="shared" si="301"/>
        <v>0</v>
      </c>
      <c r="S805" s="9">
        <f t="shared" si="302"/>
        <v>0</v>
      </c>
      <c r="T805" s="9">
        <f t="shared" si="303"/>
        <v>0</v>
      </c>
      <c r="U805" s="9">
        <f t="shared" si="304"/>
        <v>0</v>
      </c>
      <c r="V805" s="9">
        <f t="shared" si="305"/>
        <v>0</v>
      </c>
      <c r="W805" s="9">
        <f t="shared" si="306"/>
        <v>0</v>
      </c>
      <c r="X805" s="9">
        <f t="shared" si="307"/>
        <v>0</v>
      </c>
      <c r="Y805" s="9">
        <f t="shared" si="308"/>
        <v>0</v>
      </c>
      <c r="Z805" s="9">
        <f t="shared" si="309"/>
        <v>0</v>
      </c>
      <c r="AA805" s="10">
        <f t="shared" si="310"/>
        <v>0</v>
      </c>
    </row>
    <row r="806" spans="1:27" x14ac:dyDescent="0.3">
      <c r="A806" s="4" t="s">
        <v>1304</v>
      </c>
      <c r="B806" s="4">
        <f t="shared" si="288"/>
        <v>0</v>
      </c>
      <c r="C806" s="4">
        <f t="shared" si="289"/>
        <v>1</v>
      </c>
      <c r="D806" s="4">
        <f t="shared" si="290"/>
        <v>0</v>
      </c>
      <c r="E806" s="4">
        <f t="shared" si="291"/>
        <v>0</v>
      </c>
      <c r="F806" s="4">
        <f t="shared" si="292"/>
        <v>0</v>
      </c>
      <c r="G806" s="4">
        <f t="shared" si="293"/>
        <v>0</v>
      </c>
      <c r="I806" s="11" t="s">
        <v>1128</v>
      </c>
      <c r="J806" s="9">
        <f t="shared" si="294"/>
        <v>0</v>
      </c>
      <c r="K806" s="9">
        <f t="shared" si="311"/>
        <v>0</v>
      </c>
      <c r="L806" s="9">
        <f t="shared" si="295"/>
        <v>0</v>
      </c>
      <c r="M806" s="9">
        <f t="shared" si="296"/>
        <v>0</v>
      </c>
      <c r="N806" s="9">
        <f t="shared" si="297"/>
        <v>0</v>
      </c>
      <c r="O806" s="9">
        <f t="shared" si="298"/>
        <v>0</v>
      </c>
      <c r="P806" s="9">
        <f t="shared" si="299"/>
        <v>0</v>
      </c>
      <c r="Q806" s="9">
        <f t="shared" si="300"/>
        <v>0</v>
      </c>
      <c r="R806" s="9">
        <f t="shared" si="301"/>
        <v>0</v>
      </c>
      <c r="S806" s="9">
        <f t="shared" si="302"/>
        <v>0</v>
      </c>
      <c r="T806" s="9">
        <f t="shared" si="303"/>
        <v>0</v>
      </c>
      <c r="U806" s="9">
        <f t="shared" si="304"/>
        <v>0</v>
      </c>
      <c r="V806" s="9">
        <f t="shared" si="305"/>
        <v>0</v>
      </c>
      <c r="W806" s="9">
        <f t="shared" si="306"/>
        <v>0</v>
      </c>
      <c r="X806" s="9">
        <f t="shared" si="307"/>
        <v>0</v>
      </c>
      <c r="Y806" s="9">
        <f t="shared" si="308"/>
        <v>1</v>
      </c>
      <c r="Z806" s="9">
        <f t="shared" si="309"/>
        <v>0</v>
      </c>
      <c r="AA806" s="10">
        <f t="shared" si="310"/>
        <v>0</v>
      </c>
    </row>
    <row r="807" spans="1:27" x14ac:dyDescent="0.3">
      <c r="A807" s="18" t="s">
        <v>1304</v>
      </c>
      <c r="B807" s="4">
        <f t="shared" si="288"/>
        <v>0</v>
      </c>
      <c r="C807" s="4">
        <f t="shared" si="289"/>
        <v>1</v>
      </c>
      <c r="D807" s="4">
        <f t="shared" si="290"/>
        <v>0</v>
      </c>
      <c r="E807" s="4">
        <f t="shared" si="291"/>
        <v>0</v>
      </c>
      <c r="F807" s="4">
        <f t="shared" si="292"/>
        <v>0</v>
      </c>
      <c r="G807" s="4">
        <f t="shared" si="293"/>
        <v>0</v>
      </c>
      <c r="I807" s="8" t="s">
        <v>996</v>
      </c>
      <c r="J807" s="9">
        <f t="shared" si="294"/>
        <v>0</v>
      </c>
      <c r="K807" s="9">
        <f t="shared" si="311"/>
        <v>0</v>
      </c>
      <c r="L807" s="9">
        <f t="shared" si="295"/>
        <v>0</v>
      </c>
      <c r="M807" s="9">
        <f t="shared" si="296"/>
        <v>0</v>
      </c>
      <c r="N807" s="9">
        <f t="shared" si="297"/>
        <v>0</v>
      </c>
      <c r="O807" s="9">
        <f t="shared" si="298"/>
        <v>0</v>
      </c>
      <c r="P807" s="9">
        <f t="shared" si="299"/>
        <v>0</v>
      </c>
      <c r="Q807" s="9">
        <f t="shared" si="300"/>
        <v>1</v>
      </c>
      <c r="R807" s="9">
        <f t="shared" si="301"/>
        <v>0</v>
      </c>
      <c r="S807" s="9">
        <f t="shared" si="302"/>
        <v>0</v>
      </c>
      <c r="T807" s="9">
        <f t="shared" si="303"/>
        <v>0</v>
      </c>
      <c r="U807" s="9">
        <f t="shared" si="304"/>
        <v>0</v>
      </c>
      <c r="V807" s="9">
        <f t="shared" si="305"/>
        <v>0</v>
      </c>
      <c r="W807" s="9">
        <f t="shared" si="306"/>
        <v>0</v>
      </c>
      <c r="X807" s="9">
        <f t="shared" si="307"/>
        <v>0</v>
      </c>
      <c r="Y807" s="9">
        <f t="shared" si="308"/>
        <v>0</v>
      </c>
      <c r="Z807" s="9">
        <f t="shared" si="309"/>
        <v>0</v>
      </c>
      <c r="AA807" s="10">
        <f t="shared" si="310"/>
        <v>0</v>
      </c>
    </row>
    <row r="808" spans="1:27" x14ac:dyDescent="0.3">
      <c r="A808" s="4" t="s">
        <v>1302</v>
      </c>
      <c r="B808" s="4">
        <f t="shared" si="288"/>
        <v>1</v>
      </c>
      <c r="C808" s="4">
        <f t="shared" si="289"/>
        <v>0</v>
      </c>
      <c r="D808" s="4">
        <f t="shared" si="290"/>
        <v>0</v>
      </c>
      <c r="E808" s="4">
        <f t="shared" si="291"/>
        <v>0</v>
      </c>
      <c r="F808" s="4">
        <f t="shared" si="292"/>
        <v>0</v>
      </c>
      <c r="G808" s="4">
        <f t="shared" si="293"/>
        <v>0</v>
      </c>
      <c r="I808" s="11" t="s">
        <v>988</v>
      </c>
      <c r="J808" s="9">
        <f t="shared" si="294"/>
        <v>0</v>
      </c>
      <c r="K808" s="9">
        <f t="shared" si="311"/>
        <v>0</v>
      </c>
      <c r="L808" s="9">
        <f t="shared" si="295"/>
        <v>1</v>
      </c>
      <c r="M808" s="9">
        <f t="shared" si="296"/>
        <v>0</v>
      </c>
      <c r="N808" s="9">
        <f t="shared" si="297"/>
        <v>0</v>
      </c>
      <c r="O808" s="9">
        <f t="shared" si="298"/>
        <v>0</v>
      </c>
      <c r="P808" s="9">
        <f t="shared" si="299"/>
        <v>0</v>
      </c>
      <c r="Q808" s="9">
        <f t="shared" si="300"/>
        <v>0</v>
      </c>
      <c r="R808" s="9">
        <f t="shared" si="301"/>
        <v>0</v>
      </c>
      <c r="S808" s="9">
        <f t="shared" si="302"/>
        <v>0</v>
      </c>
      <c r="T808" s="9">
        <f t="shared" si="303"/>
        <v>0</v>
      </c>
      <c r="U808" s="9">
        <f t="shared" si="304"/>
        <v>0</v>
      </c>
      <c r="V808" s="9">
        <f t="shared" si="305"/>
        <v>0</v>
      </c>
      <c r="W808" s="9">
        <f t="shared" si="306"/>
        <v>0</v>
      </c>
      <c r="X808" s="9">
        <f t="shared" si="307"/>
        <v>0</v>
      </c>
      <c r="Y808" s="9">
        <f t="shared" si="308"/>
        <v>0</v>
      </c>
      <c r="Z808" s="9">
        <f t="shared" si="309"/>
        <v>0</v>
      </c>
      <c r="AA808" s="10">
        <f t="shared" si="310"/>
        <v>0</v>
      </c>
    </row>
    <row r="809" spans="1:27" x14ac:dyDescent="0.3">
      <c r="A809" s="18" t="s">
        <v>1302</v>
      </c>
      <c r="B809" s="4">
        <f t="shared" si="288"/>
        <v>1</v>
      </c>
      <c r="C809" s="4">
        <f t="shared" si="289"/>
        <v>0</v>
      </c>
      <c r="D809" s="4">
        <f t="shared" si="290"/>
        <v>0</v>
      </c>
      <c r="E809" s="4">
        <f t="shared" si="291"/>
        <v>0</v>
      </c>
      <c r="F809" s="4">
        <f t="shared" si="292"/>
        <v>0</v>
      </c>
      <c r="G809" s="4">
        <f t="shared" si="293"/>
        <v>0</v>
      </c>
      <c r="I809" s="8" t="s">
        <v>988</v>
      </c>
      <c r="J809" s="9">
        <f t="shared" si="294"/>
        <v>0</v>
      </c>
      <c r="K809" s="9">
        <f t="shared" si="311"/>
        <v>0</v>
      </c>
      <c r="L809" s="9">
        <f t="shared" si="295"/>
        <v>1</v>
      </c>
      <c r="M809" s="9">
        <f t="shared" si="296"/>
        <v>0</v>
      </c>
      <c r="N809" s="9">
        <f t="shared" si="297"/>
        <v>0</v>
      </c>
      <c r="O809" s="9">
        <f t="shared" si="298"/>
        <v>0</v>
      </c>
      <c r="P809" s="9">
        <f t="shared" si="299"/>
        <v>0</v>
      </c>
      <c r="Q809" s="9">
        <f t="shared" si="300"/>
        <v>0</v>
      </c>
      <c r="R809" s="9">
        <f t="shared" si="301"/>
        <v>0</v>
      </c>
      <c r="S809" s="9">
        <f t="shared" si="302"/>
        <v>0</v>
      </c>
      <c r="T809" s="9">
        <f t="shared" si="303"/>
        <v>0</v>
      </c>
      <c r="U809" s="9">
        <f t="shared" si="304"/>
        <v>0</v>
      </c>
      <c r="V809" s="9">
        <f t="shared" si="305"/>
        <v>0</v>
      </c>
      <c r="W809" s="9">
        <f t="shared" si="306"/>
        <v>0</v>
      </c>
      <c r="X809" s="9">
        <f t="shared" si="307"/>
        <v>0</v>
      </c>
      <c r="Y809" s="9">
        <f t="shared" si="308"/>
        <v>0</v>
      </c>
      <c r="Z809" s="9">
        <f t="shared" si="309"/>
        <v>0</v>
      </c>
      <c r="AA809" s="10">
        <f t="shared" si="310"/>
        <v>0</v>
      </c>
    </row>
    <row r="810" spans="1:27" x14ac:dyDescent="0.3">
      <c r="A810" s="4" t="s">
        <v>1302</v>
      </c>
      <c r="B810" s="4">
        <f t="shared" si="288"/>
        <v>1</v>
      </c>
      <c r="C810" s="4">
        <f t="shared" si="289"/>
        <v>0</v>
      </c>
      <c r="D810" s="4">
        <f t="shared" si="290"/>
        <v>0</v>
      </c>
      <c r="E810" s="4">
        <f t="shared" si="291"/>
        <v>0</v>
      </c>
      <c r="F810" s="4">
        <f t="shared" si="292"/>
        <v>0</v>
      </c>
      <c r="G810" s="4">
        <f t="shared" si="293"/>
        <v>0</v>
      </c>
      <c r="I810" s="11" t="s">
        <v>1011</v>
      </c>
      <c r="J810" s="9">
        <f t="shared" si="294"/>
        <v>0</v>
      </c>
      <c r="K810" s="9">
        <f t="shared" si="311"/>
        <v>0</v>
      </c>
      <c r="L810" s="9">
        <f t="shared" si="295"/>
        <v>0</v>
      </c>
      <c r="M810" s="9">
        <f t="shared" si="296"/>
        <v>0</v>
      </c>
      <c r="N810" s="9">
        <f t="shared" si="297"/>
        <v>0</v>
      </c>
      <c r="O810" s="9">
        <f t="shared" si="298"/>
        <v>0</v>
      </c>
      <c r="P810" s="9">
        <f t="shared" si="299"/>
        <v>0</v>
      </c>
      <c r="Q810" s="9">
        <f t="shared" si="300"/>
        <v>0</v>
      </c>
      <c r="R810" s="9">
        <f t="shared" si="301"/>
        <v>0</v>
      </c>
      <c r="S810" s="9">
        <f t="shared" si="302"/>
        <v>1</v>
      </c>
      <c r="T810" s="9">
        <f t="shared" si="303"/>
        <v>0</v>
      </c>
      <c r="U810" s="9">
        <f t="shared" si="304"/>
        <v>0</v>
      </c>
      <c r="V810" s="9">
        <f t="shared" si="305"/>
        <v>0</v>
      </c>
      <c r="W810" s="9">
        <f t="shared" si="306"/>
        <v>0</v>
      </c>
      <c r="X810" s="9">
        <f t="shared" si="307"/>
        <v>0</v>
      </c>
      <c r="Y810" s="9">
        <f t="shared" si="308"/>
        <v>0</v>
      </c>
      <c r="Z810" s="9">
        <f t="shared" si="309"/>
        <v>0</v>
      </c>
      <c r="AA810" s="10">
        <f t="shared" si="310"/>
        <v>0</v>
      </c>
    </row>
    <row r="811" spans="1:27" x14ac:dyDescent="0.3">
      <c r="A811" s="18" t="s">
        <v>1303</v>
      </c>
      <c r="B811" s="4">
        <f t="shared" si="288"/>
        <v>0</v>
      </c>
      <c r="C811" s="4">
        <f t="shared" si="289"/>
        <v>0</v>
      </c>
      <c r="D811" s="4">
        <f t="shared" si="290"/>
        <v>0</v>
      </c>
      <c r="E811" s="4">
        <f t="shared" si="291"/>
        <v>0</v>
      </c>
      <c r="F811" s="4">
        <f t="shared" si="292"/>
        <v>1</v>
      </c>
      <c r="G811" s="4">
        <f t="shared" si="293"/>
        <v>0</v>
      </c>
      <c r="I811" s="8" t="s">
        <v>1011</v>
      </c>
      <c r="J811" s="9">
        <f t="shared" si="294"/>
        <v>0</v>
      </c>
      <c r="K811" s="9">
        <f t="shared" si="311"/>
        <v>0</v>
      </c>
      <c r="L811" s="9">
        <f t="shared" si="295"/>
        <v>0</v>
      </c>
      <c r="M811" s="9">
        <f t="shared" si="296"/>
        <v>0</v>
      </c>
      <c r="N811" s="9">
        <f t="shared" si="297"/>
        <v>0</v>
      </c>
      <c r="O811" s="9">
        <f t="shared" si="298"/>
        <v>0</v>
      </c>
      <c r="P811" s="9">
        <f t="shared" si="299"/>
        <v>0</v>
      </c>
      <c r="Q811" s="9">
        <f t="shared" si="300"/>
        <v>0</v>
      </c>
      <c r="R811" s="9">
        <f t="shared" si="301"/>
        <v>0</v>
      </c>
      <c r="S811" s="9">
        <f t="shared" si="302"/>
        <v>1</v>
      </c>
      <c r="T811" s="9">
        <f t="shared" si="303"/>
        <v>0</v>
      </c>
      <c r="U811" s="9">
        <f t="shared" si="304"/>
        <v>0</v>
      </c>
      <c r="V811" s="9">
        <f t="shared" si="305"/>
        <v>0</v>
      </c>
      <c r="W811" s="9">
        <f t="shared" si="306"/>
        <v>0</v>
      </c>
      <c r="X811" s="9">
        <f t="shared" si="307"/>
        <v>0</v>
      </c>
      <c r="Y811" s="9">
        <f t="shared" si="308"/>
        <v>0</v>
      </c>
      <c r="Z811" s="9">
        <f t="shared" si="309"/>
        <v>0</v>
      </c>
      <c r="AA811" s="10">
        <f t="shared" si="310"/>
        <v>0</v>
      </c>
    </row>
    <row r="812" spans="1:27" x14ac:dyDescent="0.3">
      <c r="A812" s="4" t="s">
        <v>1303</v>
      </c>
      <c r="B812" s="4">
        <f t="shared" si="288"/>
        <v>0</v>
      </c>
      <c r="C812" s="4">
        <f t="shared" si="289"/>
        <v>0</v>
      </c>
      <c r="D812" s="4">
        <f t="shared" si="290"/>
        <v>0</v>
      </c>
      <c r="E812" s="4">
        <f t="shared" si="291"/>
        <v>0</v>
      </c>
      <c r="F812" s="4">
        <f t="shared" si="292"/>
        <v>1</v>
      </c>
      <c r="G812" s="4">
        <f t="shared" si="293"/>
        <v>0</v>
      </c>
      <c r="I812" s="11" t="s">
        <v>977</v>
      </c>
      <c r="J812" s="9">
        <f t="shared" si="294"/>
        <v>1</v>
      </c>
      <c r="K812" s="9">
        <f t="shared" si="311"/>
        <v>0</v>
      </c>
      <c r="L812" s="9">
        <f t="shared" si="295"/>
        <v>0</v>
      </c>
      <c r="M812" s="9">
        <f t="shared" si="296"/>
        <v>0</v>
      </c>
      <c r="N812" s="9">
        <f t="shared" si="297"/>
        <v>0</v>
      </c>
      <c r="O812" s="9">
        <f t="shared" si="298"/>
        <v>0</v>
      </c>
      <c r="P812" s="9">
        <f t="shared" si="299"/>
        <v>0</v>
      </c>
      <c r="Q812" s="9">
        <f t="shared" si="300"/>
        <v>0</v>
      </c>
      <c r="R812" s="9">
        <f t="shared" si="301"/>
        <v>0</v>
      </c>
      <c r="S812" s="9">
        <f t="shared" si="302"/>
        <v>0</v>
      </c>
      <c r="T812" s="9">
        <f t="shared" si="303"/>
        <v>0</v>
      </c>
      <c r="U812" s="9">
        <f t="shared" si="304"/>
        <v>0</v>
      </c>
      <c r="V812" s="9">
        <f t="shared" si="305"/>
        <v>0</v>
      </c>
      <c r="W812" s="9">
        <f t="shared" si="306"/>
        <v>0</v>
      </c>
      <c r="X812" s="9">
        <f t="shared" si="307"/>
        <v>0</v>
      </c>
      <c r="Y812" s="9">
        <f t="shared" si="308"/>
        <v>0</v>
      </c>
      <c r="Z812" s="9">
        <f t="shared" si="309"/>
        <v>0</v>
      </c>
      <c r="AA812" s="10">
        <f t="shared" si="310"/>
        <v>0</v>
      </c>
    </row>
    <row r="813" spans="1:27" x14ac:dyDescent="0.3">
      <c r="A813" s="18" t="s">
        <v>1302</v>
      </c>
      <c r="B813" s="4">
        <f t="shared" si="288"/>
        <v>1</v>
      </c>
      <c r="C813" s="4">
        <f t="shared" si="289"/>
        <v>0</v>
      </c>
      <c r="D813" s="4">
        <f t="shared" si="290"/>
        <v>0</v>
      </c>
      <c r="E813" s="4">
        <f t="shared" si="291"/>
        <v>0</v>
      </c>
      <c r="F813" s="4">
        <f t="shared" si="292"/>
        <v>0</v>
      </c>
      <c r="G813" s="4">
        <f t="shared" si="293"/>
        <v>0</v>
      </c>
      <c r="I813" s="8" t="s">
        <v>996</v>
      </c>
      <c r="J813" s="9">
        <f t="shared" si="294"/>
        <v>0</v>
      </c>
      <c r="K813" s="9">
        <f t="shared" si="311"/>
        <v>0</v>
      </c>
      <c r="L813" s="9">
        <f t="shared" si="295"/>
        <v>0</v>
      </c>
      <c r="M813" s="9">
        <f t="shared" si="296"/>
        <v>0</v>
      </c>
      <c r="N813" s="9">
        <f t="shared" si="297"/>
        <v>0</v>
      </c>
      <c r="O813" s="9">
        <f t="shared" si="298"/>
        <v>0</v>
      </c>
      <c r="P813" s="9">
        <f t="shared" si="299"/>
        <v>0</v>
      </c>
      <c r="Q813" s="9">
        <f t="shared" si="300"/>
        <v>1</v>
      </c>
      <c r="R813" s="9">
        <f t="shared" si="301"/>
        <v>0</v>
      </c>
      <c r="S813" s="9">
        <f t="shared" si="302"/>
        <v>0</v>
      </c>
      <c r="T813" s="9">
        <f t="shared" si="303"/>
        <v>0</v>
      </c>
      <c r="U813" s="9">
        <f t="shared" si="304"/>
        <v>0</v>
      </c>
      <c r="V813" s="9">
        <f t="shared" si="305"/>
        <v>0</v>
      </c>
      <c r="W813" s="9">
        <f t="shared" si="306"/>
        <v>0</v>
      </c>
      <c r="X813" s="9">
        <f t="shared" si="307"/>
        <v>0</v>
      </c>
      <c r="Y813" s="9">
        <f t="shared" si="308"/>
        <v>0</v>
      </c>
      <c r="Z813" s="9">
        <f t="shared" si="309"/>
        <v>0</v>
      </c>
      <c r="AA813" s="10">
        <f t="shared" si="310"/>
        <v>0</v>
      </c>
    </row>
    <row r="814" spans="1:27" x14ac:dyDescent="0.3">
      <c r="A814" s="4" t="s">
        <v>1304</v>
      </c>
      <c r="B814" s="4">
        <f t="shared" si="288"/>
        <v>0</v>
      </c>
      <c r="C814" s="4">
        <f t="shared" si="289"/>
        <v>1</v>
      </c>
      <c r="D814" s="4">
        <f t="shared" si="290"/>
        <v>0</v>
      </c>
      <c r="E814" s="4">
        <f t="shared" si="291"/>
        <v>0</v>
      </c>
      <c r="F814" s="4">
        <f t="shared" si="292"/>
        <v>0</v>
      </c>
      <c r="G814" s="4">
        <f t="shared" si="293"/>
        <v>0</v>
      </c>
      <c r="I814" s="11" t="s">
        <v>988</v>
      </c>
      <c r="J814" s="9">
        <f t="shared" si="294"/>
        <v>0</v>
      </c>
      <c r="K814" s="9">
        <f t="shared" si="311"/>
        <v>0</v>
      </c>
      <c r="L814" s="9">
        <f t="shared" si="295"/>
        <v>1</v>
      </c>
      <c r="M814" s="9">
        <f t="shared" si="296"/>
        <v>0</v>
      </c>
      <c r="N814" s="9">
        <f t="shared" si="297"/>
        <v>0</v>
      </c>
      <c r="O814" s="9">
        <f t="shared" si="298"/>
        <v>0</v>
      </c>
      <c r="P814" s="9">
        <f t="shared" si="299"/>
        <v>0</v>
      </c>
      <c r="Q814" s="9">
        <f t="shared" si="300"/>
        <v>0</v>
      </c>
      <c r="R814" s="9">
        <f t="shared" si="301"/>
        <v>0</v>
      </c>
      <c r="S814" s="9">
        <f t="shared" si="302"/>
        <v>0</v>
      </c>
      <c r="T814" s="9">
        <f t="shared" si="303"/>
        <v>0</v>
      </c>
      <c r="U814" s="9">
        <f t="shared" si="304"/>
        <v>0</v>
      </c>
      <c r="V814" s="9">
        <f t="shared" si="305"/>
        <v>0</v>
      </c>
      <c r="W814" s="9">
        <f t="shared" si="306"/>
        <v>0</v>
      </c>
      <c r="X814" s="9">
        <f t="shared" si="307"/>
        <v>0</v>
      </c>
      <c r="Y814" s="9">
        <f t="shared" si="308"/>
        <v>0</v>
      </c>
      <c r="Z814" s="9">
        <f t="shared" si="309"/>
        <v>0</v>
      </c>
      <c r="AA814" s="10">
        <f t="shared" si="310"/>
        <v>0</v>
      </c>
    </row>
    <row r="815" spans="1:27" x14ac:dyDescent="0.3">
      <c r="A815" s="18" t="s">
        <v>1304</v>
      </c>
      <c r="B815" s="4">
        <f t="shared" si="288"/>
        <v>0</v>
      </c>
      <c r="C815" s="4">
        <f t="shared" si="289"/>
        <v>1</v>
      </c>
      <c r="D815" s="4">
        <f t="shared" si="290"/>
        <v>0</v>
      </c>
      <c r="E815" s="4">
        <f t="shared" si="291"/>
        <v>0</v>
      </c>
      <c r="F815" s="4">
        <f t="shared" si="292"/>
        <v>0</v>
      </c>
      <c r="G815" s="4">
        <f t="shared" si="293"/>
        <v>0</v>
      </c>
      <c r="I815" s="8" t="s">
        <v>1044</v>
      </c>
      <c r="J815" s="9">
        <f t="shared" si="294"/>
        <v>0</v>
      </c>
      <c r="K815" s="9">
        <f t="shared" si="311"/>
        <v>0</v>
      </c>
      <c r="L815" s="9">
        <f t="shared" si="295"/>
        <v>0</v>
      </c>
      <c r="M815" s="9">
        <f t="shared" si="296"/>
        <v>0</v>
      </c>
      <c r="N815" s="9">
        <f t="shared" si="297"/>
        <v>0</v>
      </c>
      <c r="O815" s="9">
        <f t="shared" si="298"/>
        <v>0</v>
      </c>
      <c r="P815" s="9">
        <f t="shared" si="299"/>
        <v>0</v>
      </c>
      <c r="Q815" s="9">
        <f t="shared" si="300"/>
        <v>0</v>
      </c>
      <c r="R815" s="9">
        <f t="shared" si="301"/>
        <v>0</v>
      </c>
      <c r="S815" s="9">
        <f t="shared" si="302"/>
        <v>0</v>
      </c>
      <c r="T815" s="9">
        <f t="shared" si="303"/>
        <v>0</v>
      </c>
      <c r="U815" s="9">
        <f t="shared" si="304"/>
        <v>1</v>
      </c>
      <c r="V815" s="9">
        <f t="shared" si="305"/>
        <v>0</v>
      </c>
      <c r="W815" s="9">
        <f t="shared" si="306"/>
        <v>0</v>
      </c>
      <c r="X815" s="9">
        <f t="shared" si="307"/>
        <v>0</v>
      </c>
      <c r="Y815" s="9">
        <f t="shared" si="308"/>
        <v>0</v>
      </c>
      <c r="Z815" s="9">
        <f t="shared" si="309"/>
        <v>0</v>
      </c>
      <c r="AA815" s="10">
        <f t="shared" si="310"/>
        <v>0</v>
      </c>
    </row>
    <row r="816" spans="1:27" x14ac:dyDescent="0.3">
      <c r="A816" s="4" t="s">
        <v>1304</v>
      </c>
      <c r="B816" s="4">
        <f t="shared" si="288"/>
        <v>0</v>
      </c>
      <c r="C816" s="4">
        <f t="shared" si="289"/>
        <v>1</v>
      </c>
      <c r="D816" s="4">
        <f t="shared" si="290"/>
        <v>0</v>
      </c>
      <c r="E816" s="4">
        <f t="shared" si="291"/>
        <v>0</v>
      </c>
      <c r="F816" s="4">
        <f t="shared" si="292"/>
        <v>0</v>
      </c>
      <c r="G816" s="4">
        <f t="shared" si="293"/>
        <v>0</v>
      </c>
      <c r="I816" s="11" t="s">
        <v>977</v>
      </c>
      <c r="J816" s="9">
        <f t="shared" si="294"/>
        <v>1</v>
      </c>
      <c r="K816" s="9">
        <f t="shared" si="311"/>
        <v>0</v>
      </c>
      <c r="L816" s="9">
        <f t="shared" si="295"/>
        <v>0</v>
      </c>
      <c r="M816" s="9">
        <f t="shared" si="296"/>
        <v>0</v>
      </c>
      <c r="N816" s="9">
        <f t="shared" si="297"/>
        <v>0</v>
      </c>
      <c r="O816" s="9">
        <f t="shared" si="298"/>
        <v>0</v>
      </c>
      <c r="P816" s="9">
        <f t="shared" si="299"/>
        <v>0</v>
      </c>
      <c r="Q816" s="9">
        <f t="shared" si="300"/>
        <v>0</v>
      </c>
      <c r="R816" s="9">
        <f t="shared" si="301"/>
        <v>0</v>
      </c>
      <c r="S816" s="9">
        <f t="shared" si="302"/>
        <v>0</v>
      </c>
      <c r="T816" s="9">
        <f t="shared" si="303"/>
        <v>0</v>
      </c>
      <c r="U816" s="9">
        <f t="shared" si="304"/>
        <v>0</v>
      </c>
      <c r="V816" s="9">
        <f t="shared" si="305"/>
        <v>0</v>
      </c>
      <c r="W816" s="9">
        <f t="shared" si="306"/>
        <v>0</v>
      </c>
      <c r="X816" s="9">
        <f t="shared" si="307"/>
        <v>0</v>
      </c>
      <c r="Y816" s="9">
        <f t="shared" si="308"/>
        <v>0</v>
      </c>
      <c r="Z816" s="9">
        <f t="shared" si="309"/>
        <v>0</v>
      </c>
      <c r="AA816" s="10">
        <f t="shared" si="310"/>
        <v>0</v>
      </c>
    </row>
    <row r="817" spans="1:27" x14ac:dyDescent="0.3">
      <c r="A817" s="18" t="s">
        <v>1304</v>
      </c>
      <c r="B817" s="4">
        <f t="shared" si="288"/>
        <v>0</v>
      </c>
      <c r="C817" s="4">
        <f t="shared" si="289"/>
        <v>1</v>
      </c>
      <c r="D817" s="4">
        <f t="shared" si="290"/>
        <v>0</v>
      </c>
      <c r="E817" s="4">
        <f t="shared" si="291"/>
        <v>0</v>
      </c>
      <c r="F817" s="4">
        <f t="shared" si="292"/>
        <v>0</v>
      </c>
      <c r="G817" s="4">
        <f t="shared" si="293"/>
        <v>0</v>
      </c>
      <c r="I817" s="8" t="s">
        <v>988</v>
      </c>
      <c r="J817" s="9">
        <f t="shared" si="294"/>
        <v>0</v>
      </c>
      <c r="K817" s="9">
        <f t="shared" si="311"/>
        <v>0</v>
      </c>
      <c r="L817" s="9">
        <f t="shared" si="295"/>
        <v>1</v>
      </c>
      <c r="M817" s="9">
        <f t="shared" si="296"/>
        <v>0</v>
      </c>
      <c r="N817" s="9">
        <f t="shared" si="297"/>
        <v>0</v>
      </c>
      <c r="O817" s="9">
        <f t="shared" si="298"/>
        <v>0</v>
      </c>
      <c r="P817" s="9">
        <f t="shared" si="299"/>
        <v>0</v>
      </c>
      <c r="Q817" s="9">
        <f t="shared" si="300"/>
        <v>0</v>
      </c>
      <c r="R817" s="9">
        <f t="shared" si="301"/>
        <v>0</v>
      </c>
      <c r="S817" s="9">
        <f t="shared" si="302"/>
        <v>0</v>
      </c>
      <c r="T817" s="9">
        <f t="shared" si="303"/>
        <v>0</v>
      </c>
      <c r="U817" s="9">
        <f t="shared" si="304"/>
        <v>0</v>
      </c>
      <c r="V817" s="9">
        <f t="shared" si="305"/>
        <v>0</v>
      </c>
      <c r="W817" s="9">
        <f t="shared" si="306"/>
        <v>0</v>
      </c>
      <c r="X817" s="9">
        <f t="shared" si="307"/>
        <v>0</v>
      </c>
      <c r="Y817" s="9">
        <f t="shared" si="308"/>
        <v>0</v>
      </c>
      <c r="Z817" s="9">
        <f t="shared" si="309"/>
        <v>0</v>
      </c>
      <c r="AA817" s="10">
        <f t="shared" si="310"/>
        <v>0</v>
      </c>
    </row>
    <row r="818" spans="1:27" x14ac:dyDescent="0.3">
      <c r="A818" s="4" t="s">
        <v>1303</v>
      </c>
      <c r="B818" s="4">
        <f t="shared" si="288"/>
        <v>0</v>
      </c>
      <c r="C818" s="4">
        <f t="shared" si="289"/>
        <v>0</v>
      </c>
      <c r="D818" s="4">
        <f t="shared" si="290"/>
        <v>0</v>
      </c>
      <c r="E818" s="4">
        <f t="shared" si="291"/>
        <v>0</v>
      </c>
      <c r="F818" s="4">
        <f t="shared" si="292"/>
        <v>1</v>
      </c>
      <c r="G818" s="4">
        <f t="shared" si="293"/>
        <v>0</v>
      </c>
      <c r="I818" s="11" t="s">
        <v>996</v>
      </c>
      <c r="J818" s="9">
        <f t="shared" si="294"/>
        <v>0</v>
      </c>
      <c r="K818" s="9">
        <f t="shared" si="311"/>
        <v>0</v>
      </c>
      <c r="L818" s="9">
        <f t="shared" si="295"/>
        <v>0</v>
      </c>
      <c r="M818" s="9">
        <f t="shared" si="296"/>
        <v>0</v>
      </c>
      <c r="N818" s="9">
        <f t="shared" si="297"/>
        <v>0</v>
      </c>
      <c r="O818" s="9">
        <f t="shared" si="298"/>
        <v>0</v>
      </c>
      <c r="P818" s="9">
        <f t="shared" si="299"/>
        <v>0</v>
      </c>
      <c r="Q818" s="9">
        <f t="shared" si="300"/>
        <v>1</v>
      </c>
      <c r="R818" s="9">
        <f t="shared" si="301"/>
        <v>0</v>
      </c>
      <c r="S818" s="9">
        <f t="shared" si="302"/>
        <v>0</v>
      </c>
      <c r="T818" s="9">
        <f t="shared" si="303"/>
        <v>0</v>
      </c>
      <c r="U818" s="9">
        <f t="shared" si="304"/>
        <v>0</v>
      </c>
      <c r="V818" s="9">
        <f t="shared" si="305"/>
        <v>0</v>
      </c>
      <c r="W818" s="9">
        <f t="shared" si="306"/>
        <v>0</v>
      </c>
      <c r="X818" s="9">
        <f t="shared" si="307"/>
        <v>0</v>
      </c>
      <c r="Y818" s="9">
        <f t="shared" si="308"/>
        <v>0</v>
      </c>
      <c r="Z818" s="9">
        <f t="shared" si="309"/>
        <v>0</v>
      </c>
      <c r="AA818" s="10">
        <f t="shared" si="310"/>
        <v>0</v>
      </c>
    </row>
    <row r="819" spans="1:27" x14ac:dyDescent="0.3">
      <c r="A819" s="18" t="s">
        <v>1302</v>
      </c>
      <c r="B819" s="4">
        <f t="shared" si="288"/>
        <v>1</v>
      </c>
      <c r="C819" s="4">
        <f t="shared" si="289"/>
        <v>0</v>
      </c>
      <c r="D819" s="4">
        <f t="shared" si="290"/>
        <v>0</v>
      </c>
      <c r="E819" s="4">
        <f t="shared" si="291"/>
        <v>0</v>
      </c>
      <c r="F819" s="4">
        <f t="shared" si="292"/>
        <v>0</v>
      </c>
      <c r="G819" s="4">
        <f t="shared" si="293"/>
        <v>0</v>
      </c>
      <c r="I819" s="8" t="s">
        <v>1294</v>
      </c>
      <c r="J819" s="9">
        <f t="shared" si="294"/>
        <v>0</v>
      </c>
      <c r="K819" s="9">
        <f t="shared" si="311"/>
        <v>0</v>
      </c>
      <c r="L819" s="9">
        <f t="shared" si="295"/>
        <v>0</v>
      </c>
      <c r="M819" s="9">
        <f t="shared" si="296"/>
        <v>0</v>
      </c>
      <c r="N819" s="9">
        <f t="shared" si="297"/>
        <v>0</v>
      </c>
      <c r="O819" s="9">
        <f t="shared" si="298"/>
        <v>0</v>
      </c>
      <c r="P819" s="9">
        <f t="shared" si="299"/>
        <v>0</v>
      </c>
      <c r="Q819" s="9">
        <f t="shared" si="300"/>
        <v>0</v>
      </c>
      <c r="R819" s="9">
        <f t="shared" si="301"/>
        <v>0</v>
      </c>
      <c r="S819" s="9">
        <f t="shared" si="302"/>
        <v>0</v>
      </c>
      <c r="T819" s="9">
        <f t="shared" si="303"/>
        <v>0</v>
      </c>
      <c r="U819" s="9">
        <f t="shared" si="304"/>
        <v>0</v>
      </c>
      <c r="V819" s="9">
        <f t="shared" si="305"/>
        <v>0</v>
      </c>
      <c r="W819" s="9">
        <f t="shared" si="306"/>
        <v>0</v>
      </c>
      <c r="X819" s="9">
        <f t="shared" si="307"/>
        <v>0</v>
      </c>
      <c r="Y819" s="9">
        <f t="shared" si="308"/>
        <v>0</v>
      </c>
      <c r="Z819" s="9">
        <f t="shared" si="309"/>
        <v>0</v>
      </c>
      <c r="AA819" s="10">
        <f t="shared" si="310"/>
        <v>0</v>
      </c>
    </row>
    <row r="820" spans="1:27" x14ac:dyDescent="0.3">
      <c r="A820" s="4" t="s">
        <v>1302</v>
      </c>
      <c r="B820" s="4">
        <f t="shared" si="288"/>
        <v>1</v>
      </c>
      <c r="C820" s="4">
        <f t="shared" si="289"/>
        <v>0</v>
      </c>
      <c r="D820" s="4">
        <f t="shared" si="290"/>
        <v>0</v>
      </c>
      <c r="E820" s="4">
        <f t="shared" si="291"/>
        <v>0</v>
      </c>
      <c r="F820" s="4">
        <f t="shared" si="292"/>
        <v>0</v>
      </c>
      <c r="G820" s="4">
        <f t="shared" si="293"/>
        <v>0</v>
      </c>
      <c r="I820" s="11" t="s">
        <v>988</v>
      </c>
      <c r="J820" s="9">
        <f t="shared" si="294"/>
        <v>0</v>
      </c>
      <c r="K820" s="9">
        <f t="shared" si="311"/>
        <v>0</v>
      </c>
      <c r="L820" s="9">
        <f t="shared" si="295"/>
        <v>1</v>
      </c>
      <c r="M820" s="9">
        <f t="shared" si="296"/>
        <v>0</v>
      </c>
      <c r="N820" s="9">
        <f t="shared" si="297"/>
        <v>0</v>
      </c>
      <c r="O820" s="9">
        <f t="shared" si="298"/>
        <v>0</v>
      </c>
      <c r="P820" s="9">
        <f t="shared" si="299"/>
        <v>0</v>
      </c>
      <c r="Q820" s="9">
        <f t="shared" si="300"/>
        <v>0</v>
      </c>
      <c r="R820" s="9">
        <f t="shared" si="301"/>
        <v>0</v>
      </c>
      <c r="S820" s="9">
        <f t="shared" si="302"/>
        <v>0</v>
      </c>
      <c r="T820" s="9">
        <f t="shared" si="303"/>
        <v>0</v>
      </c>
      <c r="U820" s="9">
        <f t="shared" si="304"/>
        <v>0</v>
      </c>
      <c r="V820" s="9">
        <f t="shared" si="305"/>
        <v>0</v>
      </c>
      <c r="W820" s="9">
        <f t="shared" si="306"/>
        <v>0</v>
      </c>
      <c r="X820" s="9">
        <f t="shared" si="307"/>
        <v>0</v>
      </c>
      <c r="Y820" s="9">
        <f t="shared" si="308"/>
        <v>0</v>
      </c>
      <c r="Z820" s="9">
        <f t="shared" si="309"/>
        <v>0</v>
      </c>
      <c r="AA820" s="10">
        <f t="shared" si="310"/>
        <v>0</v>
      </c>
    </row>
    <row r="821" spans="1:27" x14ac:dyDescent="0.3">
      <c r="A821" s="18" t="s">
        <v>1302</v>
      </c>
      <c r="B821" s="4">
        <f t="shared" si="288"/>
        <v>1</v>
      </c>
      <c r="C821" s="4">
        <f t="shared" si="289"/>
        <v>0</v>
      </c>
      <c r="D821" s="4">
        <f t="shared" si="290"/>
        <v>0</v>
      </c>
      <c r="E821" s="4">
        <f t="shared" si="291"/>
        <v>0</v>
      </c>
      <c r="F821" s="4">
        <f t="shared" si="292"/>
        <v>0</v>
      </c>
      <c r="G821" s="4">
        <f t="shared" si="293"/>
        <v>0</v>
      </c>
      <c r="I821" s="8" t="s">
        <v>994</v>
      </c>
      <c r="J821" s="9">
        <f t="shared" si="294"/>
        <v>0</v>
      </c>
      <c r="K821" s="9">
        <f t="shared" si="311"/>
        <v>0</v>
      </c>
      <c r="L821" s="9">
        <f t="shared" si="295"/>
        <v>0</v>
      </c>
      <c r="M821" s="9">
        <f t="shared" si="296"/>
        <v>0</v>
      </c>
      <c r="N821" s="9">
        <f t="shared" si="297"/>
        <v>0</v>
      </c>
      <c r="O821" s="9">
        <f t="shared" si="298"/>
        <v>0</v>
      </c>
      <c r="P821" s="9">
        <f t="shared" si="299"/>
        <v>1</v>
      </c>
      <c r="Q821" s="9">
        <f t="shared" si="300"/>
        <v>0</v>
      </c>
      <c r="R821" s="9">
        <f t="shared" si="301"/>
        <v>0</v>
      </c>
      <c r="S821" s="9">
        <f t="shared" si="302"/>
        <v>0</v>
      </c>
      <c r="T821" s="9">
        <f t="shared" si="303"/>
        <v>0</v>
      </c>
      <c r="U821" s="9">
        <f t="shared" si="304"/>
        <v>0</v>
      </c>
      <c r="V821" s="9">
        <f t="shared" si="305"/>
        <v>0</v>
      </c>
      <c r="W821" s="9">
        <f t="shared" si="306"/>
        <v>0</v>
      </c>
      <c r="X821" s="9">
        <f t="shared" si="307"/>
        <v>0</v>
      </c>
      <c r="Y821" s="9">
        <f t="shared" si="308"/>
        <v>0</v>
      </c>
      <c r="Z821" s="9">
        <f t="shared" si="309"/>
        <v>0</v>
      </c>
      <c r="AA821" s="10">
        <f t="shared" si="310"/>
        <v>0</v>
      </c>
    </row>
    <row r="822" spans="1:27" x14ac:dyDescent="0.3">
      <c r="A822" s="4" t="s">
        <v>1303</v>
      </c>
      <c r="B822" s="4">
        <f t="shared" si="288"/>
        <v>0</v>
      </c>
      <c r="C822" s="4">
        <f t="shared" si="289"/>
        <v>0</v>
      </c>
      <c r="D822" s="4">
        <f t="shared" si="290"/>
        <v>0</v>
      </c>
      <c r="E822" s="4">
        <f t="shared" si="291"/>
        <v>0</v>
      </c>
      <c r="F822" s="4">
        <f t="shared" si="292"/>
        <v>1</v>
      </c>
      <c r="G822" s="4">
        <f t="shared" si="293"/>
        <v>0</v>
      </c>
      <c r="I822" s="11" t="s">
        <v>1294</v>
      </c>
      <c r="J822" s="9">
        <f t="shared" si="294"/>
        <v>0</v>
      </c>
      <c r="K822" s="9">
        <f t="shared" si="311"/>
        <v>0</v>
      </c>
      <c r="L822" s="9">
        <f t="shared" si="295"/>
        <v>0</v>
      </c>
      <c r="M822" s="9">
        <f t="shared" si="296"/>
        <v>0</v>
      </c>
      <c r="N822" s="9">
        <f t="shared" si="297"/>
        <v>0</v>
      </c>
      <c r="O822" s="9">
        <f t="shared" si="298"/>
        <v>0</v>
      </c>
      <c r="P822" s="9">
        <f t="shared" si="299"/>
        <v>0</v>
      </c>
      <c r="Q822" s="9">
        <f t="shared" si="300"/>
        <v>0</v>
      </c>
      <c r="R822" s="9">
        <f t="shared" si="301"/>
        <v>0</v>
      </c>
      <c r="S822" s="9">
        <f t="shared" si="302"/>
        <v>0</v>
      </c>
      <c r="T822" s="9">
        <f t="shared" si="303"/>
        <v>0</v>
      </c>
      <c r="U822" s="9">
        <f t="shared" si="304"/>
        <v>0</v>
      </c>
      <c r="V822" s="9">
        <f t="shared" si="305"/>
        <v>0</v>
      </c>
      <c r="W822" s="9">
        <f t="shared" si="306"/>
        <v>0</v>
      </c>
      <c r="X822" s="9">
        <f t="shared" si="307"/>
        <v>0</v>
      </c>
      <c r="Y822" s="9">
        <f t="shared" si="308"/>
        <v>0</v>
      </c>
      <c r="Z822" s="9">
        <f t="shared" si="309"/>
        <v>0</v>
      </c>
      <c r="AA822" s="10">
        <f t="shared" si="310"/>
        <v>0</v>
      </c>
    </row>
    <row r="823" spans="1:27" x14ac:dyDescent="0.3">
      <c r="A823" s="18" t="s">
        <v>1303</v>
      </c>
      <c r="B823" s="4">
        <f t="shared" si="288"/>
        <v>0</v>
      </c>
      <c r="C823" s="4">
        <f t="shared" si="289"/>
        <v>0</v>
      </c>
      <c r="D823" s="4">
        <f t="shared" si="290"/>
        <v>0</v>
      </c>
      <c r="E823" s="4">
        <f t="shared" si="291"/>
        <v>0</v>
      </c>
      <c r="F823" s="4">
        <f t="shared" si="292"/>
        <v>1</v>
      </c>
      <c r="G823" s="4">
        <f t="shared" si="293"/>
        <v>0</v>
      </c>
      <c r="I823" s="8" t="s">
        <v>994</v>
      </c>
      <c r="J823" s="9">
        <f t="shared" si="294"/>
        <v>0</v>
      </c>
      <c r="K823" s="9">
        <f t="shared" si="311"/>
        <v>0</v>
      </c>
      <c r="L823" s="9">
        <f t="shared" si="295"/>
        <v>0</v>
      </c>
      <c r="M823" s="9">
        <f t="shared" si="296"/>
        <v>0</v>
      </c>
      <c r="N823" s="9">
        <f t="shared" si="297"/>
        <v>0</v>
      </c>
      <c r="O823" s="9">
        <f t="shared" si="298"/>
        <v>0</v>
      </c>
      <c r="P823" s="9">
        <f t="shared" si="299"/>
        <v>1</v>
      </c>
      <c r="Q823" s="9">
        <f t="shared" si="300"/>
        <v>0</v>
      </c>
      <c r="R823" s="9">
        <f t="shared" si="301"/>
        <v>0</v>
      </c>
      <c r="S823" s="9">
        <f t="shared" si="302"/>
        <v>0</v>
      </c>
      <c r="T823" s="9">
        <f t="shared" si="303"/>
        <v>0</v>
      </c>
      <c r="U823" s="9">
        <f t="shared" si="304"/>
        <v>0</v>
      </c>
      <c r="V823" s="9">
        <f t="shared" si="305"/>
        <v>0</v>
      </c>
      <c r="W823" s="9">
        <f t="shared" si="306"/>
        <v>0</v>
      </c>
      <c r="X823" s="9">
        <f t="shared" si="307"/>
        <v>0</v>
      </c>
      <c r="Y823" s="9">
        <f t="shared" si="308"/>
        <v>0</v>
      </c>
      <c r="Z823" s="9">
        <f t="shared" si="309"/>
        <v>0</v>
      </c>
      <c r="AA823" s="10">
        <f t="shared" si="310"/>
        <v>0</v>
      </c>
    </row>
    <row r="824" spans="1:27" x14ac:dyDescent="0.3">
      <c r="A824" s="4" t="s">
        <v>1303</v>
      </c>
      <c r="B824" s="4">
        <f t="shared" si="288"/>
        <v>0</v>
      </c>
      <c r="C824" s="4">
        <f t="shared" si="289"/>
        <v>0</v>
      </c>
      <c r="D824" s="4">
        <f t="shared" si="290"/>
        <v>0</v>
      </c>
      <c r="E824" s="4">
        <f t="shared" si="291"/>
        <v>0</v>
      </c>
      <c r="F824" s="4">
        <f t="shared" si="292"/>
        <v>1</v>
      </c>
      <c r="G824" s="4">
        <f t="shared" si="293"/>
        <v>0</v>
      </c>
      <c r="I824" s="11" t="s">
        <v>996</v>
      </c>
      <c r="J824" s="9">
        <f t="shared" si="294"/>
        <v>0</v>
      </c>
      <c r="K824" s="9">
        <f t="shared" si="311"/>
        <v>0</v>
      </c>
      <c r="L824" s="9">
        <f t="shared" si="295"/>
        <v>0</v>
      </c>
      <c r="M824" s="9">
        <f t="shared" si="296"/>
        <v>0</v>
      </c>
      <c r="N824" s="9">
        <f t="shared" si="297"/>
        <v>0</v>
      </c>
      <c r="O824" s="9">
        <f t="shared" si="298"/>
        <v>0</v>
      </c>
      <c r="P824" s="9">
        <f t="shared" si="299"/>
        <v>0</v>
      </c>
      <c r="Q824" s="9">
        <f t="shared" si="300"/>
        <v>1</v>
      </c>
      <c r="R824" s="9">
        <f t="shared" si="301"/>
        <v>0</v>
      </c>
      <c r="S824" s="9">
        <f t="shared" si="302"/>
        <v>0</v>
      </c>
      <c r="T824" s="9">
        <f t="shared" si="303"/>
        <v>0</v>
      </c>
      <c r="U824" s="9">
        <f t="shared" si="304"/>
        <v>0</v>
      </c>
      <c r="V824" s="9">
        <f t="shared" si="305"/>
        <v>0</v>
      </c>
      <c r="W824" s="9">
        <f t="shared" si="306"/>
        <v>0</v>
      </c>
      <c r="X824" s="9">
        <f t="shared" si="307"/>
        <v>0</v>
      </c>
      <c r="Y824" s="9">
        <f t="shared" si="308"/>
        <v>0</v>
      </c>
      <c r="Z824" s="9">
        <f t="shared" si="309"/>
        <v>0</v>
      </c>
      <c r="AA824" s="10">
        <f t="shared" si="310"/>
        <v>0</v>
      </c>
    </row>
    <row r="825" spans="1:27" x14ac:dyDescent="0.3">
      <c r="A825" s="18" t="s">
        <v>1303</v>
      </c>
      <c r="B825" s="4">
        <f t="shared" si="288"/>
        <v>0</v>
      </c>
      <c r="C825" s="4">
        <f t="shared" si="289"/>
        <v>0</v>
      </c>
      <c r="D825" s="4">
        <f t="shared" si="290"/>
        <v>0</v>
      </c>
      <c r="E825" s="4">
        <f t="shared" si="291"/>
        <v>0</v>
      </c>
      <c r="F825" s="4">
        <f t="shared" si="292"/>
        <v>1</v>
      </c>
      <c r="G825" s="4">
        <f t="shared" si="293"/>
        <v>0</v>
      </c>
      <c r="I825" s="8" t="s">
        <v>1011</v>
      </c>
      <c r="J825" s="9">
        <f t="shared" si="294"/>
        <v>0</v>
      </c>
      <c r="K825" s="9">
        <f t="shared" si="311"/>
        <v>0</v>
      </c>
      <c r="L825" s="9">
        <f t="shared" si="295"/>
        <v>0</v>
      </c>
      <c r="M825" s="9">
        <f t="shared" si="296"/>
        <v>0</v>
      </c>
      <c r="N825" s="9">
        <f t="shared" si="297"/>
        <v>0</v>
      </c>
      <c r="O825" s="9">
        <f t="shared" si="298"/>
        <v>0</v>
      </c>
      <c r="P825" s="9">
        <f t="shared" si="299"/>
        <v>0</v>
      </c>
      <c r="Q825" s="9">
        <f t="shared" si="300"/>
        <v>0</v>
      </c>
      <c r="R825" s="9">
        <f t="shared" si="301"/>
        <v>0</v>
      </c>
      <c r="S825" s="9">
        <f t="shared" si="302"/>
        <v>1</v>
      </c>
      <c r="T825" s="9">
        <f t="shared" si="303"/>
        <v>0</v>
      </c>
      <c r="U825" s="9">
        <f t="shared" si="304"/>
        <v>0</v>
      </c>
      <c r="V825" s="9">
        <f t="shared" si="305"/>
        <v>0</v>
      </c>
      <c r="W825" s="9">
        <f t="shared" si="306"/>
        <v>0</v>
      </c>
      <c r="X825" s="9">
        <f t="shared" si="307"/>
        <v>0</v>
      </c>
      <c r="Y825" s="9">
        <f t="shared" si="308"/>
        <v>0</v>
      </c>
      <c r="Z825" s="9">
        <f t="shared" si="309"/>
        <v>0</v>
      </c>
      <c r="AA825" s="10">
        <f t="shared" si="310"/>
        <v>0</v>
      </c>
    </row>
    <row r="826" spans="1:27" x14ac:dyDescent="0.3">
      <c r="A826" s="4" t="s">
        <v>1303</v>
      </c>
      <c r="B826" s="4">
        <f t="shared" si="288"/>
        <v>0</v>
      </c>
      <c r="C826" s="4">
        <f t="shared" si="289"/>
        <v>0</v>
      </c>
      <c r="D826" s="4">
        <f t="shared" si="290"/>
        <v>0</v>
      </c>
      <c r="E826" s="4">
        <f t="shared" si="291"/>
        <v>0</v>
      </c>
      <c r="F826" s="4">
        <f t="shared" si="292"/>
        <v>1</v>
      </c>
      <c r="G826" s="4">
        <f t="shared" si="293"/>
        <v>0</v>
      </c>
      <c r="I826" s="11" t="s">
        <v>994</v>
      </c>
      <c r="J826" s="9">
        <f t="shared" si="294"/>
        <v>0</v>
      </c>
      <c r="K826" s="9">
        <f t="shared" si="311"/>
        <v>0</v>
      </c>
      <c r="L826" s="9">
        <f t="shared" si="295"/>
        <v>0</v>
      </c>
      <c r="M826" s="9">
        <f t="shared" si="296"/>
        <v>0</v>
      </c>
      <c r="N826" s="9">
        <f t="shared" si="297"/>
        <v>0</v>
      </c>
      <c r="O826" s="9">
        <f t="shared" si="298"/>
        <v>0</v>
      </c>
      <c r="P826" s="9">
        <f t="shared" si="299"/>
        <v>1</v>
      </c>
      <c r="Q826" s="9">
        <f t="shared" si="300"/>
        <v>0</v>
      </c>
      <c r="R826" s="9">
        <f t="shared" si="301"/>
        <v>0</v>
      </c>
      <c r="S826" s="9">
        <f t="shared" si="302"/>
        <v>0</v>
      </c>
      <c r="T826" s="9">
        <f t="shared" si="303"/>
        <v>0</v>
      </c>
      <c r="U826" s="9">
        <f t="shared" si="304"/>
        <v>0</v>
      </c>
      <c r="V826" s="9">
        <f t="shared" si="305"/>
        <v>0</v>
      </c>
      <c r="W826" s="9">
        <f t="shared" si="306"/>
        <v>0</v>
      </c>
      <c r="X826" s="9">
        <f t="shared" si="307"/>
        <v>0</v>
      </c>
      <c r="Y826" s="9">
        <f t="shared" si="308"/>
        <v>0</v>
      </c>
      <c r="Z826" s="9">
        <f t="shared" si="309"/>
        <v>0</v>
      </c>
      <c r="AA826" s="10">
        <f t="shared" si="310"/>
        <v>0</v>
      </c>
    </row>
    <row r="827" spans="1:27" x14ac:dyDescent="0.3">
      <c r="A827" s="18" t="s">
        <v>1302</v>
      </c>
      <c r="B827" s="4">
        <f t="shared" si="288"/>
        <v>1</v>
      </c>
      <c r="C827" s="4">
        <f t="shared" si="289"/>
        <v>0</v>
      </c>
      <c r="D827" s="4">
        <f t="shared" si="290"/>
        <v>0</v>
      </c>
      <c r="E827" s="4">
        <f t="shared" si="291"/>
        <v>0</v>
      </c>
      <c r="F827" s="4">
        <f t="shared" si="292"/>
        <v>0</v>
      </c>
      <c r="G827" s="4">
        <f t="shared" si="293"/>
        <v>0</v>
      </c>
      <c r="I827" s="8" t="s">
        <v>1026</v>
      </c>
      <c r="J827" s="9">
        <f t="shared" si="294"/>
        <v>0</v>
      </c>
      <c r="K827" s="9">
        <f t="shared" si="311"/>
        <v>0</v>
      </c>
      <c r="L827" s="9">
        <f t="shared" si="295"/>
        <v>0</v>
      </c>
      <c r="M827" s="9">
        <f t="shared" si="296"/>
        <v>0</v>
      </c>
      <c r="N827" s="9">
        <f t="shared" si="297"/>
        <v>0</v>
      </c>
      <c r="O827" s="9">
        <f t="shared" si="298"/>
        <v>0</v>
      </c>
      <c r="P827" s="9">
        <f t="shared" si="299"/>
        <v>0</v>
      </c>
      <c r="Q827" s="9">
        <f t="shared" si="300"/>
        <v>0</v>
      </c>
      <c r="R827" s="9">
        <f t="shared" si="301"/>
        <v>0</v>
      </c>
      <c r="S827" s="9">
        <f t="shared" si="302"/>
        <v>0</v>
      </c>
      <c r="T827" s="9">
        <f t="shared" si="303"/>
        <v>1</v>
      </c>
      <c r="U827" s="9">
        <f t="shared" si="304"/>
        <v>0</v>
      </c>
      <c r="V827" s="9">
        <f t="shared" si="305"/>
        <v>0</v>
      </c>
      <c r="W827" s="9">
        <f t="shared" si="306"/>
        <v>0</v>
      </c>
      <c r="X827" s="9">
        <f t="shared" si="307"/>
        <v>0</v>
      </c>
      <c r="Y827" s="9">
        <f t="shared" si="308"/>
        <v>0</v>
      </c>
      <c r="Z827" s="9">
        <f t="shared" si="309"/>
        <v>0</v>
      </c>
      <c r="AA827" s="10">
        <f t="shared" si="310"/>
        <v>0</v>
      </c>
    </row>
    <row r="828" spans="1:27" x14ac:dyDescent="0.3">
      <c r="A828" s="4" t="s">
        <v>1302</v>
      </c>
      <c r="B828" s="4">
        <f t="shared" si="288"/>
        <v>1</v>
      </c>
      <c r="C828" s="4">
        <f t="shared" si="289"/>
        <v>0</v>
      </c>
      <c r="D828" s="4">
        <f t="shared" si="290"/>
        <v>0</v>
      </c>
      <c r="E828" s="4">
        <f t="shared" si="291"/>
        <v>0</v>
      </c>
      <c r="F828" s="4">
        <f t="shared" si="292"/>
        <v>0</v>
      </c>
      <c r="G828" s="4">
        <f t="shared" si="293"/>
        <v>0</v>
      </c>
      <c r="I828" s="11" t="s">
        <v>1044</v>
      </c>
      <c r="J828" s="9">
        <f t="shared" si="294"/>
        <v>0</v>
      </c>
      <c r="K828" s="9">
        <f t="shared" si="311"/>
        <v>0</v>
      </c>
      <c r="L828" s="9">
        <f t="shared" si="295"/>
        <v>0</v>
      </c>
      <c r="M828" s="9">
        <f t="shared" si="296"/>
        <v>0</v>
      </c>
      <c r="N828" s="9">
        <f t="shared" si="297"/>
        <v>0</v>
      </c>
      <c r="O828" s="9">
        <f t="shared" si="298"/>
        <v>0</v>
      </c>
      <c r="P828" s="9">
        <f t="shared" si="299"/>
        <v>0</v>
      </c>
      <c r="Q828" s="9">
        <f t="shared" si="300"/>
        <v>0</v>
      </c>
      <c r="R828" s="9">
        <f t="shared" si="301"/>
        <v>0</v>
      </c>
      <c r="S828" s="9">
        <f t="shared" si="302"/>
        <v>0</v>
      </c>
      <c r="T828" s="9">
        <f t="shared" si="303"/>
        <v>0</v>
      </c>
      <c r="U828" s="9">
        <f t="shared" si="304"/>
        <v>1</v>
      </c>
      <c r="V828" s="9">
        <f t="shared" si="305"/>
        <v>0</v>
      </c>
      <c r="W828" s="9">
        <f t="shared" si="306"/>
        <v>0</v>
      </c>
      <c r="X828" s="9">
        <f t="shared" si="307"/>
        <v>0</v>
      </c>
      <c r="Y828" s="9">
        <f t="shared" si="308"/>
        <v>0</v>
      </c>
      <c r="Z828" s="9">
        <f t="shared" si="309"/>
        <v>0</v>
      </c>
      <c r="AA828" s="10">
        <f t="shared" si="310"/>
        <v>0</v>
      </c>
    </row>
    <row r="829" spans="1:27" x14ac:dyDescent="0.3">
      <c r="A829" s="18" t="s">
        <v>1305</v>
      </c>
      <c r="B829" s="4">
        <f t="shared" si="288"/>
        <v>0</v>
      </c>
      <c r="C829" s="4">
        <f t="shared" si="289"/>
        <v>0</v>
      </c>
      <c r="D829" s="4">
        <f t="shared" si="290"/>
        <v>0</v>
      </c>
      <c r="E829" s="4">
        <f t="shared" si="291"/>
        <v>0</v>
      </c>
      <c r="F829" s="4">
        <f t="shared" si="292"/>
        <v>0</v>
      </c>
      <c r="G829" s="4">
        <f t="shared" si="293"/>
        <v>1</v>
      </c>
      <c r="I829" s="8" t="s">
        <v>977</v>
      </c>
      <c r="J829" s="9">
        <f t="shared" si="294"/>
        <v>1</v>
      </c>
      <c r="K829" s="9">
        <f t="shared" si="311"/>
        <v>0</v>
      </c>
      <c r="L829" s="9">
        <f t="shared" si="295"/>
        <v>0</v>
      </c>
      <c r="M829" s="9">
        <f t="shared" si="296"/>
        <v>0</v>
      </c>
      <c r="N829" s="9">
        <f t="shared" si="297"/>
        <v>0</v>
      </c>
      <c r="O829" s="9">
        <f t="shared" si="298"/>
        <v>0</v>
      </c>
      <c r="P829" s="9">
        <f t="shared" si="299"/>
        <v>0</v>
      </c>
      <c r="Q829" s="9">
        <f t="shared" si="300"/>
        <v>0</v>
      </c>
      <c r="R829" s="9">
        <f t="shared" si="301"/>
        <v>0</v>
      </c>
      <c r="S829" s="9">
        <f t="shared" si="302"/>
        <v>0</v>
      </c>
      <c r="T829" s="9">
        <f t="shared" si="303"/>
        <v>0</v>
      </c>
      <c r="U829" s="9">
        <f t="shared" si="304"/>
        <v>0</v>
      </c>
      <c r="V829" s="9">
        <f t="shared" si="305"/>
        <v>0</v>
      </c>
      <c r="W829" s="9">
        <f t="shared" si="306"/>
        <v>0</v>
      </c>
      <c r="X829" s="9">
        <f t="shared" si="307"/>
        <v>0</v>
      </c>
      <c r="Y829" s="9">
        <f t="shared" si="308"/>
        <v>0</v>
      </c>
      <c r="Z829" s="9">
        <f t="shared" si="309"/>
        <v>0</v>
      </c>
      <c r="AA829" s="10">
        <f t="shared" si="310"/>
        <v>0</v>
      </c>
    </row>
    <row r="830" spans="1:27" x14ac:dyDescent="0.3">
      <c r="A830" s="4" t="s">
        <v>1294</v>
      </c>
      <c r="B830" s="4">
        <f t="shared" si="288"/>
        <v>0</v>
      </c>
      <c r="C830" s="4">
        <f t="shared" si="289"/>
        <v>0</v>
      </c>
      <c r="D830" s="4">
        <f t="shared" si="290"/>
        <v>0</v>
      </c>
      <c r="E830" s="4">
        <f t="shared" si="291"/>
        <v>0</v>
      </c>
      <c r="F830" s="4">
        <f t="shared" si="292"/>
        <v>0</v>
      </c>
      <c r="G830" s="4">
        <f t="shared" si="293"/>
        <v>0</v>
      </c>
      <c r="I830" s="11" t="s">
        <v>994</v>
      </c>
      <c r="J830" s="9">
        <f t="shared" si="294"/>
        <v>0</v>
      </c>
      <c r="K830" s="9">
        <f t="shared" si="311"/>
        <v>0</v>
      </c>
      <c r="L830" s="9">
        <f t="shared" si="295"/>
        <v>0</v>
      </c>
      <c r="M830" s="9">
        <f t="shared" si="296"/>
        <v>0</v>
      </c>
      <c r="N830" s="9">
        <f t="shared" si="297"/>
        <v>0</v>
      </c>
      <c r="O830" s="9">
        <f t="shared" si="298"/>
        <v>0</v>
      </c>
      <c r="P830" s="9">
        <f t="shared" si="299"/>
        <v>1</v>
      </c>
      <c r="Q830" s="9">
        <f t="shared" si="300"/>
        <v>0</v>
      </c>
      <c r="R830" s="9">
        <f t="shared" si="301"/>
        <v>0</v>
      </c>
      <c r="S830" s="9">
        <f t="shared" si="302"/>
        <v>0</v>
      </c>
      <c r="T830" s="9">
        <f t="shared" si="303"/>
        <v>0</v>
      </c>
      <c r="U830" s="9">
        <f t="shared" si="304"/>
        <v>0</v>
      </c>
      <c r="V830" s="9">
        <f t="shared" si="305"/>
        <v>0</v>
      </c>
      <c r="W830" s="9">
        <f t="shared" si="306"/>
        <v>0</v>
      </c>
      <c r="X830" s="9">
        <f t="shared" si="307"/>
        <v>0</v>
      </c>
      <c r="Y830" s="9">
        <f t="shared" si="308"/>
        <v>0</v>
      </c>
      <c r="Z830" s="9">
        <f t="shared" si="309"/>
        <v>0</v>
      </c>
      <c r="AA830" s="10">
        <f t="shared" si="310"/>
        <v>0</v>
      </c>
    </row>
    <row r="831" spans="1:27" x14ac:dyDescent="0.3">
      <c r="A831" s="18" t="s">
        <v>1302</v>
      </c>
      <c r="B831" s="4">
        <f t="shared" si="288"/>
        <v>1</v>
      </c>
      <c r="C831" s="4">
        <f t="shared" si="289"/>
        <v>0</v>
      </c>
      <c r="D831" s="4">
        <f t="shared" si="290"/>
        <v>0</v>
      </c>
      <c r="E831" s="4">
        <f t="shared" si="291"/>
        <v>0</v>
      </c>
      <c r="F831" s="4">
        <f t="shared" si="292"/>
        <v>0</v>
      </c>
      <c r="G831" s="4">
        <f t="shared" si="293"/>
        <v>0</v>
      </c>
      <c r="I831" s="8" t="s">
        <v>1011</v>
      </c>
      <c r="J831" s="9">
        <f t="shared" si="294"/>
        <v>0</v>
      </c>
      <c r="K831" s="9">
        <f t="shared" si="311"/>
        <v>0</v>
      </c>
      <c r="L831" s="9">
        <f t="shared" si="295"/>
        <v>0</v>
      </c>
      <c r="M831" s="9">
        <f t="shared" si="296"/>
        <v>0</v>
      </c>
      <c r="N831" s="9">
        <f t="shared" si="297"/>
        <v>0</v>
      </c>
      <c r="O831" s="9">
        <f t="shared" si="298"/>
        <v>0</v>
      </c>
      <c r="P831" s="9">
        <f t="shared" si="299"/>
        <v>0</v>
      </c>
      <c r="Q831" s="9">
        <f t="shared" si="300"/>
        <v>0</v>
      </c>
      <c r="R831" s="9">
        <f t="shared" si="301"/>
        <v>0</v>
      </c>
      <c r="S831" s="9">
        <f t="shared" si="302"/>
        <v>1</v>
      </c>
      <c r="T831" s="9">
        <f t="shared" si="303"/>
        <v>0</v>
      </c>
      <c r="U831" s="9">
        <f t="shared" si="304"/>
        <v>0</v>
      </c>
      <c r="V831" s="9">
        <f t="shared" si="305"/>
        <v>0</v>
      </c>
      <c r="W831" s="9">
        <f t="shared" si="306"/>
        <v>0</v>
      </c>
      <c r="X831" s="9">
        <f t="shared" si="307"/>
        <v>0</v>
      </c>
      <c r="Y831" s="9">
        <f t="shared" si="308"/>
        <v>0</v>
      </c>
      <c r="Z831" s="9">
        <f t="shared" si="309"/>
        <v>0</v>
      </c>
      <c r="AA831" s="10">
        <f t="shared" si="310"/>
        <v>0</v>
      </c>
    </row>
    <row r="832" spans="1:27" x14ac:dyDescent="0.3">
      <c r="A832" s="4" t="s">
        <v>1302</v>
      </c>
      <c r="B832" s="4">
        <f t="shared" si="288"/>
        <v>1</v>
      </c>
      <c r="C832" s="4">
        <f t="shared" si="289"/>
        <v>0</v>
      </c>
      <c r="D832" s="4">
        <f t="shared" si="290"/>
        <v>0</v>
      </c>
      <c r="E832" s="4">
        <f t="shared" si="291"/>
        <v>0</v>
      </c>
      <c r="F832" s="4">
        <f t="shared" si="292"/>
        <v>0</v>
      </c>
      <c r="G832" s="4">
        <f t="shared" si="293"/>
        <v>0</v>
      </c>
      <c r="I832" s="11" t="s">
        <v>1088</v>
      </c>
      <c r="J832" s="9">
        <f t="shared" si="294"/>
        <v>0</v>
      </c>
      <c r="K832" s="9">
        <f t="shared" si="311"/>
        <v>0</v>
      </c>
      <c r="L832" s="9">
        <f t="shared" si="295"/>
        <v>0</v>
      </c>
      <c r="M832" s="9">
        <f t="shared" si="296"/>
        <v>0</v>
      </c>
      <c r="N832" s="9">
        <f t="shared" si="297"/>
        <v>0</v>
      </c>
      <c r="O832" s="9">
        <f t="shared" si="298"/>
        <v>0</v>
      </c>
      <c r="P832" s="9">
        <f t="shared" si="299"/>
        <v>0</v>
      </c>
      <c r="Q832" s="9">
        <f t="shared" si="300"/>
        <v>0</v>
      </c>
      <c r="R832" s="9">
        <f t="shared" si="301"/>
        <v>0</v>
      </c>
      <c r="S832" s="9">
        <f t="shared" si="302"/>
        <v>0</v>
      </c>
      <c r="T832" s="9">
        <f t="shared" si="303"/>
        <v>0</v>
      </c>
      <c r="U832" s="9">
        <f t="shared" si="304"/>
        <v>0</v>
      </c>
      <c r="V832" s="9">
        <f t="shared" si="305"/>
        <v>0</v>
      </c>
      <c r="W832" s="9">
        <f t="shared" si="306"/>
        <v>0</v>
      </c>
      <c r="X832" s="9">
        <f t="shared" si="307"/>
        <v>0</v>
      </c>
      <c r="Y832" s="9">
        <f t="shared" si="308"/>
        <v>0</v>
      </c>
      <c r="Z832" s="9">
        <f t="shared" si="309"/>
        <v>1</v>
      </c>
      <c r="AA832" s="10">
        <f t="shared" si="310"/>
        <v>0</v>
      </c>
    </row>
    <row r="833" spans="1:27" x14ac:dyDescent="0.3">
      <c r="A833" s="18" t="s">
        <v>1303</v>
      </c>
      <c r="B833" s="4">
        <f t="shared" si="288"/>
        <v>0</v>
      </c>
      <c r="C833" s="4">
        <f t="shared" si="289"/>
        <v>0</v>
      </c>
      <c r="D833" s="4">
        <f t="shared" si="290"/>
        <v>0</v>
      </c>
      <c r="E833" s="4">
        <f t="shared" si="291"/>
        <v>0</v>
      </c>
      <c r="F833" s="4">
        <f t="shared" si="292"/>
        <v>1</v>
      </c>
      <c r="G833" s="4">
        <f t="shared" si="293"/>
        <v>0</v>
      </c>
      <c r="I833" s="8" t="s">
        <v>994</v>
      </c>
      <c r="J833" s="9">
        <f t="shared" si="294"/>
        <v>0</v>
      </c>
      <c r="K833" s="9">
        <f t="shared" si="311"/>
        <v>0</v>
      </c>
      <c r="L833" s="9">
        <f t="shared" si="295"/>
        <v>0</v>
      </c>
      <c r="M833" s="9">
        <f t="shared" si="296"/>
        <v>0</v>
      </c>
      <c r="N833" s="9">
        <f t="shared" si="297"/>
        <v>0</v>
      </c>
      <c r="O833" s="9">
        <f t="shared" si="298"/>
        <v>0</v>
      </c>
      <c r="P833" s="9">
        <f t="shared" si="299"/>
        <v>1</v>
      </c>
      <c r="Q833" s="9">
        <f t="shared" si="300"/>
        <v>0</v>
      </c>
      <c r="R833" s="9">
        <f t="shared" si="301"/>
        <v>0</v>
      </c>
      <c r="S833" s="9">
        <f t="shared" si="302"/>
        <v>0</v>
      </c>
      <c r="T833" s="9">
        <f t="shared" si="303"/>
        <v>0</v>
      </c>
      <c r="U833" s="9">
        <f t="shared" si="304"/>
        <v>0</v>
      </c>
      <c r="V833" s="9">
        <f t="shared" si="305"/>
        <v>0</v>
      </c>
      <c r="W833" s="9">
        <f t="shared" si="306"/>
        <v>0</v>
      </c>
      <c r="X833" s="9">
        <f t="shared" si="307"/>
        <v>0</v>
      </c>
      <c r="Y833" s="9">
        <f t="shared" si="308"/>
        <v>0</v>
      </c>
      <c r="Z833" s="9">
        <f t="shared" si="309"/>
        <v>0</v>
      </c>
      <c r="AA833" s="10">
        <f t="shared" si="310"/>
        <v>0</v>
      </c>
    </row>
    <row r="834" spans="1:27" x14ac:dyDescent="0.3">
      <c r="A834" s="4" t="s">
        <v>1303</v>
      </c>
      <c r="B834" s="4">
        <f t="shared" si="288"/>
        <v>0</v>
      </c>
      <c r="C834" s="4">
        <f t="shared" si="289"/>
        <v>0</v>
      </c>
      <c r="D834" s="4">
        <f t="shared" si="290"/>
        <v>0</v>
      </c>
      <c r="E834" s="4">
        <f t="shared" si="291"/>
        <v>0</v>
      </c>
      <c r="F834" s="4">
        <f t="shared" si="292"/>
        <v>1</v>
      </c>
      <c r="G834" s="4">
        <f t="shared" si="293"/>
        <v>0</v>
      </c>
      <c r="I834" s="11" t="s">
        <v>988</v>
      </c>
      <c r="J834" s="9">
        <f t="shared" si="294"/>
        <v>0</v>
      </c>
      <c r="K834" s="9">
        <f t="shared" si="311"/>
        <v>0</v>
      </c>
      <c r="L834" s="9">
        <f t="shared" si="295"/>
        <v>1</v>
      </c>
      <c r="M834" s="9">
        <f t="shared" si="296"/>
        <v>0</v>
      </c>
      <c r="N834" s="9">
        <f t="shared" si="297"/>
        <v>0</v>
      </c>
      <c r="O834" s="9">
        <f t="shared" si="298"/>
        <v>0</v>
      </c>
      <c r="P834" s="9">
        <f t="shared" si="299"/>
        <v>0</v>
      </c>
      <c r="Q834" s="9">
        <f t="shared" si="300"/>
        <v>0</v>
      </c>
      <c r="R834" s="9">
        <f t="shared" si="301"/>
        <v>0</v>
      </c>
      <c r="S834" s="9">
        <f t="shared" si="302"/>
        <v>0</v>
      </c>
      <c r="T834" s="9">
        <f t="shared" si="303"/>
        <v>0</v>
      </c>
      <c r="U834" s="9">
        <f t="shared" si="304"/>
        <v>0</v>
      </c>
      <c r="V834" s="9">
        <f t="shared" si="305"/>
        <v>0</v>
      </c>
      <c r="W834" s="9">
        <f t="shared" si="306"/>
        <v>0</v>
      </c>
      <c r="X834" s="9">
        <f t="shared" si="307"/>
        <v>0</v>
      </c>
      <c r="Y834" s="9">
        <f t="shared" si="308"/>
        <v>0</v>
      </c>
      <c r="Z834" s="9">
        <f t="shared" si="309"/>
        <v>0</v>
      </c>
      <c r="AA834" s="10">
        <f t="shared" si="310"/>
        <v>0</v>
      </c>
    </row>
    <row r="835" spans="1:27" x14ac:dyDescent="0.3">
      <c r="A835" s="18" t="s">
        <v>1303</v>
      </c>
      <c r="B835" s="4">
        <f t="shared" si="288"/>
        <v>0</v>
      </c>
      <c r="C835" s="4">
        <f t="shared" si="289"/>
        <v>0</v>
      </c>
      <c r="D835" s="4">
        <f t="shared" si="290"/>
        <v>0</v>
      </c>
      <c r="E835" s="4">
        <f t="shared" si="291"/>
        <v>0</v>
      </c>
      <c r="F835" s="4">
        <f t="shared" si="292"/>
        <v>1</v>
      </c>
      <c r="G835" s="4">
        <f t="shared" si="293"/>
        <v>0</v>
      </c>
      <c r="I835" s="8" t="s">
        <v>988</v>
      </c>
      <c r="J835" s="9">
        <f t="shared" si="294"/>
        <v>0</v>
      </c>
      <c r="K835" s="9">
        <f t="shared" si="311"/>
        <v>0</v>
      </c>
      <c r="L835" s="9">
        <f t="shared" si="295"/>
        <v>1</v>
      </c>
      <c r="M835" s="9">
        <f t="shared" si="296"/>
        <v>0</v>
      </c>
      <c r="N835" s="9">
        <f t="shared" si="297"/>
        <v>0</v>
      </c>
      <c r="O835" s="9">
        <f t="shared" si="298"/>
        <v>0</v>
      </c>
      <c r="P835" s="9">
        <f t="shared" si="299"/>
        <v>0</v>
      </c>
      <c r="Q835" s="9">
        <f t="shared" si="300"/>
        <v>0</v>
      </c>
      <c r="R835" s="9">
        <f t="shared" si="301"/>
        <v>0</v>
      </c>
      <c r="S835" s="9">
        <f t="shared" si="302"/>
        <v>0</v>
      </c>
      <c r="T835" s="9">
        <f t="shared" si="303"/>
        <v>0</v>
      </c>
      <c r="U835" s="9">
        <f t="shared" si="304"/>
        <v>0</v>
      </c>
      <c r="V835" s="9">
        <f t="shared" si="305"/>
        <v>0</v>
      </c>
      <c r="W835" s="9">
        <f t="shared" si="306"/>
        <v>0</v>
      </c>
      <c r="X835" s="9">
        <f t="shared" si="307"/>
        <v>0</v>
      </c>
      <c r="Y835" s="9">
        <f t="shared" si="308"/>
        <v>0</v>
      </c>
      <c r="Z835" s="9">
        <f t="shared" si="309"/>
        <v>0</v>
      </c>
      <c r="AA835" s="10">
        <f t="shared" si="310"/>
        <v>0</v>
      </c>
    </row>
    <row r="836" spans="1:27" x14ac:dyDescent="0.3">
      <c r="A836" s="4" t="s">
        <v>1303</v>
      </c>
      <c r="B836" s="4">
        <f t="shared" ref="B836:B898" si="312">IF($A836="Asia",1,0)</f>
        <v>0</v>
      </c>
      <c r="C836" s="4">
        <f t="shared" ref="C836:C898" si="313">IF(A836="Europe",1,0)</f>
        <v>0</v>
      </c>
      <c r="D836" s="4">
        <f t="shared" ref="D836:D898" si="314">IF(A836="Africa",1,0)</f>
        <v>0</v>
      </c>
      <c r="E836" s="4">
        <f t="shared" ref="E836:E898" si="315">IF($A836="Australia",1,0)</f>
        <v>0</v>
      </c>
      <c r="F836" s="4">
        <f t="shared" ref="F836:F898" si="316">IF($A836="North America",1,0)</f>
        <v>1</v>
      </c>
      <c r="G836" s="4">
        <f t="shared" ref="G836:G898" si="317">IF($A836="South America",1,0)</f>
        <v>0</v>
      </c>
      <c r="I836" s="11" t="s">
        <v>988</v>
      </c>
      <c r="J836" s="9">
        <f t="shared" ref="J836:J899" si="318">IF(I836="Music",1,0)</f>
        <v>0</v>
      </c>
      <c r="K836" s="9">
        <f t="shared" si="311"/>
        <v>0</v>
      </c>
      <c r="L836" s="9">
        <f t="shared" ref="L836:L899" si="319">IF(I836="Entertainment",1,0)</f>
        <v>1</v>
      </c>
      <c r="M836" s="9">
        <f t="shared" ref="M836:M899" si="320">IF(I836="Nonprofits &amp; Activism",1,0)</f>
        <v>0</v>
      </c>
      <c r="N836" s="9">
        <f t="shared" ref="N836:N899" si="321">IF(I836="Education",1,0)</f>
        <v>0</v>
      </c>
      <c r="O836" s="9">
        <f t="shared" ref="O836:O899" si="322">IF(I836="Shows",1,0)</f>
        <v>0</v>
      </c>
      <c r="P836" s="9">
        <f t="shared" ref="P836:P899" si="323">IF(I836="People &amp; Blogs",1,0)</f>
        <v>0</v>
      </c>
      <c r="Q836" s="9">
        <f t="shared" ref="Q836:Q899" si="324">IF(I836="Gaming",1,0)</f>
        <v>0</v>
      </c>
      <c r="R836" s="9">
        <f t="shared" ref="R836:R899" si="325">IF(I836="Sports",1,0)</f>
        <v>0</v>
      </c>
      <c r="S836" s="9">
        <f t="shared" ref="S836:S899" si="326">IF(I836="Howto &amp; Style",1,0)</f>
        <v>0</v>
      </c>
      <c r="T836" s="9">
        <f t="shared" ref="T836:T899" si="327">IF(I836="News &amp; Politics",1,0)</f>
        <v>0</v>
      </c>
      <c r="U836" s="9">
        <f t="shared" ref="U836:U899" si="328">IF(I836="Comedy",1,0)</f>
        <v>0</v>
      </c>
      <c r="V836" s="9">
        <f t="shared" ref="V836:V899" si="329">IF(I836="Trailers",1,0)</f>
        <v>0</v>
      </c>
      <c r="W836" s="9">
        <f t="shared" ref="W836:W899" si="330">IF(I836="Movies",1,0)</f>
        <v>0</v>
      </c>
      <c r="X836" s="9">
        <f t="shared" ref="X836:X899" si="331">IF(I836="Autos &amp; Vehicles",1,0)</f>
        <v>0</v>
      </c>
      <c r="Y836" s="9">
        <f t="shared" ref="Y836:Y899" si="332">IF(I836="Pets &amp; Animals",1,0)</f>
        <v>0</v>
      </c>
      <c r="Z836" s="9">
        <f t="shared" ref="Z836:Z899" si="333">IF(I836="Science &amp; Technology",1,0)</f>
        <v>0</v>
      </c>
      <c r="AA836" s="10">
        <f t="shared" ref="AA836:AA899" si="334">IF(I836="Travel &amp; Events",1,0)</f>
        <v>0</v>
      </c>
    </row>
    <row r="837" spans="1:27" x14ac:dyDescent="0.3">
      <c r="A837" s="18" t="s">
        <v>1303</v>
      </c>
      <c r="B837" s="4">
        <f t="shared" si="312"/>
        <v>0</v>
      </c>
      <c r="C837" s="4">
        <f t="shared" si="313"/>
        <v>0</v>
      </c>
      <c r="D837" s="4">
        <f t="shared" si="314"/>
        <v>0</v>
      </c>
      <c r="E837" s="4">
        <f t="shared" si="315"/>
        <v>0</v>
      </c>
      <c r="F837" s="4">
        <f t="shared" si="316"/>
        <v>1</v>
      </c>
      <c r="G837" s="4">
        <f t="shared" si="317"/>
        <v>0</v>
      </c>
      <c r="I837" s="8" t="s">
        <v>996</v>
      </c>
      <c r="J837" s="9">
        <f t="shared" si="318"/>
        <v>0</v>
      </c>
      <c r="K837" s="9">
        <f t="shared" ref="K837:K900" si="335">IF(I837="Film &amp; Animation",1,0)</f>
        <v>0</v>
      </c>
      <c r="L837" s="9">
        <f t="shared" si="319"/>
        <v>0</v>
      </c>
      <c r="M837" s="9">
        <f t="shared" si="320"/>
        <v>0</v>
      </c>
      <c r="N837" s="9">
        <f t="shared" si="321"/>
        <v>0</v>
      </c>
      <c r="O837" s="9">
        <f t="shared" si="322"/>
        <v>0</v>
      </c>
      <c r="P837" s="9">
        <f t="shared" si="323"/>
        <v>0</v>
      </c>
      <c r="Q837" s="9">
        <f t="shared" si="324"/>
        <v>1</v>
      </c>
      <c r="R837" s="9">
        <f t="shared" si="325"/>
        <v>0</v>
      </c>
      <c r="S837" s="9">
        <f t="shared" si="326"/>
        <v>0</v>
      </c>
      <c r="T837" s="9">
        <f t="shared" si="327"/>
        <v>0</v>
      </c>
      <c r="U837" s="9">
        <f t="shared" si="328"/>
        <v>0</v>
      </c>
      <c r="V837" s="9">
        <f t="shared" si="329"/>
        <v>0</v>
      </c>
      <c r="W837" s="9">
        <f t="shared" si="330"/>
        <v>0</v>
      </c>
      <c r="X837" s="9">
        <f t="shared" si="331"/>
        <v>0</v>
      </c>
      <c r="Y837" s="9">
        <f t="shared" si="332"/>
        <v>0</v>
      </c>
      <c r="Z837" s="9">
        <f t="shared" si="333"/>
        <v>0</v>
      </c>
      <c r="AA837" s="10">
        <f t="shared" si="334"/>
        <v>0</v>
      </c>
    </row>
    <row r="838" spans="1:27" x14ac:dyDescent="0.3">
      <c r="A838" s="4" t="s">
        <v>1303</v>
      </c>
      <c r="B838" s="4">
        <f t="shared" si="312"/>
        <v>0</v>
      </c>
      <c r="C838" s="4">
        <f t="shared" si="313"/>
        <v>0</v>
      </c>
      <c r="D838" s="4">
        <f t="shared" si="314"/>
        <v>0</v>
      </c>
      <c r="E838" s="4">
        <f t="shared" si="315"/>
        <v>0</v>
      </c>
      <c r="F838" s="4">
        <f t="shared" si="316"/>
        <v>1</v>
      </c>
      <c r="G838" s="4">
        <f t="shared" si="317"/>
        <v>0</v>
      </c>
      <c r="I838" s="11" t="s">
        <v>1044</v>
      </c>
      <c r="J838" s="9">
        <f t="shared" si="318"/>
        <v>0</v>
      </c>
      <c r="K838" s="9">
        <f t="shared" si="335"/>
        <v>0</v>
      </c>
      <c r="L838" s="9">
        <f t="shared" si="319"/>
        <v>0</v>
      </c>
      <c r="M838" s="9">
        <f t="shared" si="320"/>
        <v>0</v>
      </c>
      <c r="N838" s="9">
        <f t="shared" si="321"/>
        <v>0</v>
      </c>
      <c r="O838" s="9">
        <f t="shared" si="322"/>
        <v>0</v>
      </c>
      <c r="P838" s="9">
        <f t="shared" si="323"/>
        <v>0</v>
      </c>
      <c r="Q838" s="9">
        <f t="shared" si="324"/>
        <v>0</v>
      </c>
      <c r="R838" s="9">
        <f t="shared" si="325"/>
        <v>0</v>
      </c>
      <c r="S838" s="9">
        <f t="shared" si="326"/>
        <v>0</v>
      </c>
      <c r="T838" s="9">
        <f t="shared" si="327"/>
        <v>0</v>
      </c>
      <c r="U838" s="9">
        <f t="shared" si="328"/>
        <v>1</v>
      </c>
      <c r="V838" s="9">
        <f t="shared" si="329"/>
        <v>0</v>
      </c>
      <c r="W838" s="9">
        <f t="shared" si="330"/>
        <v>0</v>
      </c>
      <c r="X838" s="9">
        <f t="shared" si="331"/>
        <v>0</v>
      </c>
      <c r="Y838" s="9">
        <f t="shared" si="332"/>
        <v>0</v>
      </c>
      <c r="Z838" s="9">
        <f t="shared" si="333"/>
        <v>0</v>
      </c>
      <c r="AA838" s="10">
        <f t="shared" si="334"/>
        <v>0</v>
      </c>
    </row>
    <row r="839" spans="1:27" x14ac:dyDescent="0.3">
      <c r="A839" s="18" t="s">
        <v>1303</v>
      </c>
      <c r="B839" s="4">
        <f t="shared" si="312"/>
        <v>0</v>
      </c>
      <c r="C839" s="4">
        <f t="shared" si="313"/>
        <v>0</v>
      </c>
      <c r="D839" s="4">
        <f t="shared" si="314"/>
        <v>0</v>
      </c>
      <c r="E839" s="4">
        <f t="shared" si="315"/>
        <v>0</v>
      </c>
      <c r="F839" s="4">
        <f t="shared" si="316"/>
        <v>1</v>
      </c>
      <c r="G839" s="4">
        <f t="shared" si="317"/>
        <v>0</v>
      </c>
      <c r="I839" s="8" t="s">
        <v>996</v>
      </c>
      <c r="J839" s="9">
        <f t="shared" si="318"/>
        <v>0</v>
      </c>
      <c r="K839" s="9">
        <f t="shared" si="335"/>
        <v>0</v>
      </c>
      <c r="L839" s="9">
        <f t="shared" si="319"/>
        <v>0</v>
      </c>
      <c r="M839" s="9">
        <f t="shared" si="320"/>
        <v>0</v>
      </c>
      <c r="N839" s="9">
        <f t="shared" si="321"/>
        <v>0</v>
      </c>
      <c r="O839" s="9">
        <f t="shared" si="322"/>
        <v>0</v>
      </c>
      <c r="P839" s="9">
        <f t="shared" si="323"/>
        <v>0</v>
      </c>
      <c r="Q839" s="9">
        <f t="shared" si="324"/>
        <v>1</v>
      </c>
      <c r="R839" s="9">
        <f t="shared" si="325"/>
        <v>0</v>
      </c>
      <c r="S839" s="9">
        <f t="shared" si="326"/>
        <v>0</v>
      </c>
      <c r="T839" s="9">
        <f t="shared" si="327"/>
        <v>0</v>
      </c>
      <c r="U839" s="9">
        <f t="shared" si="328"/>
        <v>0</v>
      </c>
      <c r="V839" s="9">
        <f t="shared" si="329"/>
        <v>0</v>
      </c>
      <c r="W839" s="9">
        <f t="shared" si="330"/>
        <v>0</v>
      </c>
      <c r="X839" s="9">
        <f t="shared" si="331"/>
        <v>0</v>
      </c>
      <c r="Y839" s="9">
        <f t="shared" si="332"/>
        <v>0</v>
      </c>
      <c r="Z839" s="9">
        <f t="shared" si="333"/>
        <v>0</v>
      </c>
      <c r="AA839" s="10">
        <f t="shared" si="334"/>
        <v>0</v>
      </c>
    </row>
    <row r="840" spans="1:27" x14ac:dyDescent="0.3">
      <c r="A840" s="4" t="s">
        <v>1304</v>
      </c>
      <c r="B840" s="4">
        <f t="shared" si="312"/>
        <v>0</v>
      </c>
      <c r="C840" s="4">
        <f t="shared" si="313"/>
        <v>1</v>
      </c>
      <c r="D840" s="4">
        <f t="shared" si="314"/>
        <v>0</v>
      </c>
      <c r="E840" s="4">
        <f t="shared" si="315"/>
        <v>0</v>
      </c>
      <c r="F840" s="4">
        <f t="shared" si="316"/>
        <v>0</v>
      </c>
      <c r="G840" s="4">
        <f t="shared" si="317"/>
        <v>0</v>
      </c>
      <c r="I840" s="11" t="s">
        <v>988</v>
      </c>
      <c r="J840" s="9">
        <f t="shared" si="318"/>
        <v>0</v>
      </c>
      <c r="K840" s="9">
        <f t="shared" si="335"/>
        <v>0</v>
      </c>
      <c r="L840" s="9">
        <f t="shared" si="319"/>
        <v>1</v>
      </c>
      <c r="M840" s="9">
        <f t="shared" si="320"/>
        <v>0</v>
      </c>
      <c r="N840" s="9">
        <f t="shared" si="321"/>
        <v>0</v>
      </c>
      <c r="O840" s="9">
        <f t="shared" si="322"/>
        <v>0</v>
      </c>
      <c r="P840" s="9">
        <f t="shared" si="323"/>
        <v>0</v>
      </c>
      <c r="Q840" s="9">
        <f t="shared" si="324"/>
        <v>0</v>
      </c>
      <c r="R840" s="9">
        <f t="shared" si="325"/>
        <v>0</v>
      </c>
      <c r="S840" s="9">
        <f t="shared" si="326"/>
        <v>0</v>
      </c>
      <c r="T840" s="9">
        <f t="shared" si="327"/>
        <v>0</v>
      </c>
      <c r="U840" s="9">
        <f t="shared" si="328"/>
        <v>0</v>
      </c>
      <c r="V840" s="9">
        <f t="shared" si="329"/>
        <v>0</v>
      </c>
      <c r="W840" s="9">
        <f t="shared" si="330"/>
        <v>0</v>
      </c>
      <c r="X840" s="9">
        <f t="shared" si="331"/>
        <v>0</v>
      </c>
      <c r="Y840" s="9">
        <f t="shared" si="332"/>
        <v>0</v>
      </c>
      <c r="Z840" s="9">
        <f t="shared" si="333"/>
        <v>0</v>
      </c>
      <c r="AA840" s="10">
        <f t="shared" si="334"/>
        <v>0</v>
      </c>
    </row>
    <row r="841" spans="1:27" x14ac:dyDescent="0.3">
      <c r="A841" s="18" t="s">
        <v>1303</v>
      </c>
      <c r="B841" s="4">
        <f t="shared" si="312"/>
        <v>0</v>
      </c>
      <c r="C841" s="4">
        <f t="shared" si="313"/>
        <v>0</v>
      </c>
      <c r="D841" s="4">
        <f t="shared" si="314"/>
        <v>0</v>
      </c>
      <c r="E841" s="4">
        <f t="shared" si="315"/>
        <v>0</v>
      </c>
      <c r="F841" s="4">
        <f t="shared" si="316"/>
        <v>1</v>
      </c>
      <c r="G841" s="4">
        <f t="shared" si="317"/>
        <v>0</v>
      </c>
      <c r="I841" s="8" t="s">
        <v>996</v>
      </c>
      <c r="J841" s="9">
        <f t="shared" si="318"/>
        <v>0</v>
      </c>
      <c r="K841" s="9">
        <f t="shared" si="335"/>
        <v>0</v>
      </c>
      <c r="L841" s="9">
        <f t="shared" si="319"/>
        <v>0</v>
      </c>
      <c r="M841" s="9">
        <f t="shared" si="320"/>
        <v>0</v>
      </c>
      <c r="N841" s="9">
        <f t="shared" si="321"/>
        <v>0</v>
      </c>
      <c r="O841" s="9">
        <f t="shared" si="322"/>
        <v>0</v>
      </c>
      <c r="P841" s="9">
        <f t="shared" si="323"/>
        <v>0</v>
      </c>
      <c r="Q841" s="9">
        <f t="shared" si="324"/>
        <v>1</v>
      </c>
      <c r="R841" s="9">
        <f t="shared" si="325"/>
        <v>0</v>
      </c>
      <c r="S841" s="9">
        <f t="shared" si="326"/>
        <v>0</v>
      </c>
      <c r="T841" s="9">
        <f t="shared" si="327"/>
        <v>0</v>
      </c>
      <c r="U841" s="9">
        <f t="shared" si="328"/>
        <v>0</v>
      </c>
      <c r="V841" s="9">
        <f t="shared" si="329"/>
        <v>0</v>
      </c>
      <c r="W841" s="9">
        <f t="shared" si="330"/>
        <v>0</v>
      </c>
      <c r="X841" s="9">
        <f t="shared" si="331"/>
        <v>0</v>
      </c>
      <c r="Y841" s="9">
        <f t="shared" si="332"/>
        <v>0</v>
      </c>
      <c r="Z841" s="9">
        <f t="shared" si="333"/>
        <v>0</v>
      </c>
      <c r="AA841" s="10">
        <f t="shared" si="334"/>
        <v>0</v>
      </c>
    </row>
    <row r="842" spans="1:27" x14ac:dyDescent="0.3">
      <c r="A842" s="4" t="s">
        <v>1302</v>
      </c>
      <c r="B842" s="4">
        <f t="shared" si="312"/>
        <v>1</v>
      </c>
      <c r="C842" s="4">
        <f t="shared" si="313"/>
        <v>0</v>
      </c>
      <c r="D842" s="4">
        <f t="shared" si="314"/>
        <v>0</v>
      </c>
      <c r="E842" s="4">
        <f t="shared" si="315"/>
        <v>0</v>
      </c>
      <c r="F842" s="4">
        <f t="shared" si="316"/>
        <v>0</v>
      </c>
      <c r="G842" s="4">
        <f t="shared" si="317"/>
        <v>0</v>
      </c>
      <c r="I842" s="11" t="s">
        <v>996</v>
      </c>
      <c r="J842" s="9">
        <f t="shared" si="318"/>
        <v>0</v>
      </c>
      <c r="K842" s="9">
        <f t="shared" si="335"/>
        <v>0</v>
      </c>
      <c r="L842" s="9">
        <f t="shared" si="319"/>
        <v>0</v>
      </c>
      <c r="M842" s="9">
        <f t="shared" si="320"/>
        <v>0</v>
      </c>
      <c r="N842" s="9">
        <f t="shared" si="321"/>
        <v>0</v>
      </c>
      <c r="O842" s="9">
        <f t="shared" si="322"/>
        <v>0</v>
      </c>
      <c r="P842" s="9">
        <f t="shared" si="323"/>
        <v>0</v>
      </c>
      <c r="Q842" s="9">
        <f t="shared" si="324"/>
        <v>1</v>
      </c>
      <c r="R842" s="9">
        <f t="shared" si="325"/>
        <v>0</v>
      </c>
      <c r="S842" s="9">
        <f t="shared" si="326"/>
        <v>0</v>
      </c>
      <c r="T842" s="9">
        <f t="shared" si="327"/>
        <v>0</v>
      </c>
      <c r="U842" s="9">
        <f t="shared" si="328"/>
        <v>0</v>
      </c>
      <c r="V842" s="9">
        <f t="shared" si="329"/>
        <v>0</v>
      </c>
      <c r="W842" s="9">
        <f t="shared" si="330"/>
        <v>0</v>
      </c>
      <c r="X842" s="9">
        <f t="shared" si="331"/>
        <v>0</v>
      </c>
      <c r="Y842" s="9">
        <f t="shared" si="332"/>
        <v>0</v>
      </c>
      <c r="Z842" s="9">
        <f t="shared" si="333"/>
        <v>0</v>
      </c>
      <c r="AA842" s="10">
        <f t="shared" si="334"/>
        <v>0</v>
      </c>
    </row>
    <row r="843" spans="1:27" x14ac:dyDescent="0.3">
      <c r="A843" s="18" t="s">
        <v>1294</v>
      </c>
      <c r="B843" s="4">
        <f t="shared" si="312"/>
        <v>0</v>
      </c>
      <c r="C843" s="4">
        <f t="shared" si="313"/>
        <v>0</v>
      </c>
      <c r="D843" s="4">
        <f t="shared" si="314"/>
        <v>0</v>
      </c>
      <c r="E843" s="4">
        <f t="shared" si="315"/>
        <v>0</v>
      </c>
      <c r="F843" s="4">
        <f t="shared" si="316"/>
        <v>0</v>
      </c>
      <c r="G843" s="4">
        <f t="shared" si="317"/>
        <v>0</v>
      </c>
      <c r="I843" s="8" t="s">
        <v>988</v>
      </c>
      <c r="J843" s="9">
        <f t="shared" si="318"/>
        <v>0</v>
      </c>
      <c r="K843" s="9">
        <f t="shared" si="335"/>
        <v>0</v>
      </c>
      <c r="L843" s="9">
        <f t="shared" si="319"/>
        <v>1</v>
      </c>
      <c r="M843" s="9">
        <f t="shared" si="320"/>
        <v>0</v>
      </c>
      <c r="N843" s="9">
        <f t="shared" si="321"/>
        <v>0</v>
      </c>
      <c r="O843" s="9">
        <f t="shared" si="322"/>
        <v>0</v>
      </c>
      <c r="P843" s="9">
        <f t="shared" si="323"/>
        <v>0</v>
      </c>
      <c r="Q843" s="9">
        <f t="shared" si="324"/>
        <v>0</v>
      </c>
      <c r="R843" s="9">
        <f t="shared" si="325"/>
        <v>0</v>
      </c>
      <c r="S843" s="9">
        <f t="shared" si="326"/>
        <v>0</v>
      </c>
      <c r="T843" s="9">
        <f t="shared" si="327"/>
        <v>0</v>
      </c>
      <c r="U843" s="9">
        <f t="shared" si="328"/>
        <v>0</v>
      </c>
      <c r="V843" s="9">
        <f t="shared" si="329"/>
        <v>0</v>
      </c>
      <c r="W843" s="9">
        <f t="shared" si="330"/>
        <v>0</v>
      </c>
      <c r="X843" s="9">
        <f t="shared" si="331"/>
        <v>0</v>
      </c>
      <c r="Y843" s="9">
        <f t="shared" si="332"/>
        <v>0</v>
      </c>
      <c r="Z843" s="9">
        <f t="shared" si="333"/>
        <v>0</v>
      </c>
      <c r="AA843" s="10">
        <f t="shared" si="334"/>
        <v>0</v>
      </c>
    </row>
    <row r="844" spans="1:27" x14ac:dyDescent="0.3">
      <c r="A844" s="4" t="s">
        <v>1302</v>
      </c>
      <c r="B844" s="4">
        <f t="shared" si="312"/>
        <v>1</v>
      </c>
      <c r="C844" s="4">
        <f t="shared" si="313"/>
        <v>0</v>
      </c>
      <c r="D844" s="4">
        <f t="shared" si="314"/>
        <v>0</v>
      </c>
      <c r="E844" s="4">
        <f t="shared" si="315"/>
        <v>0</v>
      </c>
      <c r="F844" s="4">
        <f t="shared" si="316"/>
        <v>0</v>
      </c>
      <c r="G844" s="4">
        <f t="shared" si="317"/>
        <v>0</v>
      </c>
      <c r="I844" s="11" t="s">
        <v>994</v>
      </c>
      <c r="J844" s="9">
        <f t="shared" si="318"/>
        <v>0</v>
      </c>
      <c r="K844" s="9">
        <f t="shared" si="335"/>
        <v>0</v>
      </c>
      <c r="L844" s="9">
        <f t="shared" si="319"/>
        <v>0</v>
      </c>
      <c r="M844" s="9">
        <f t="shared" si="320"/>
        <v>0</v>
      </c>
      <c r="N844" s="9">
        <f t="shared" si="321"/>
        <v>0</v>
      </c>
      <c r="O844" s="9">
        <f t="shared" si="322"/>
        <v>0</v>
      </c>
      <c r="P844" s="9">
        <f t="shared" si="323"/>
        <v>1</v>
      </c>
      <c r="Q844" s="9">
        <f t="shared" si="324"/>
        <v>0</v>
      </c>
      <c r="R844" s="9">
        <f t="shared" si="325"/>
        <v>0</v>
      </c>
      <c r="S844" s="9">
        <f t="shared" si="326"/>
        <v>0</v>
      </c>
      <c r="T844" s="9">
        <f t="shared" si="327"/>
        <v>0</v>
      </c>
      <c r="U844" s="9">
        <f t="shared" si="328"/>
        <v>0</v>
      </c>
      <c r="V844" s="9">
        <f t="shared" si="329"/>
        <v>0</v>
      </c>
      <c r="W844" s="9">
        <f t="shared" si="330"/>
        <v>0</v>
      </c>
      <c r="X844" s="9">
        <f t="shared" si="331"/>
        <v>0</v>
      </c>
      <c r="Y844" s="9">
        <f t="shared" si="332"/>
        <v>0</v>
      </c>
      <c r="Z844" s="9">
        <f t="shared" si="333"/>
        <v>0</v>
      </c>
      <c r="AA844" s="10">
        <f t="shared" si="334"/>
        <v>0</v>
      </c>
    </row>
    <row r="845" spans="1:27" x14ac:dyDescent="0.3">
      <c r="A845" s="18" t="s">
        <v>1302</v>
      </c>
      <c r="B845" s="4">
        <f t="shared" si="312"/>
        <v>1</v>
      </c>
      <c r="C845" s="4">
        <f t="shared" si="313"/>
        <v>0</v>
      </c>
      <c r="D845" s="4">
        <f t="shared" si="314"/>
        <v>0</v>
      </c>
      <c r="E845" s="4">
        <f t="shared" si="315"/>
        <v>0</v>
      </c>
      <c r="F845" s="4">
        <f t="shared" si="316"/>
        <v>0</v>
      </c>
      <c r="G845" s="4">
        <f t="shared" si="317"/>
        <v>0</v>
      </c>
      <c r="I845" s="8" t="s">
        <v>1088</v>
      </c>
      <c r="J845" s="9">
        <f t="shared" si="318"/>
        <v>0</v>
      </c>
      <c r="K845" s="9">
        <f t="shared" si="335"/>
        <v>0</v>
      </c>
      <c r="L845" s="9">
        <f t="shared" si="319"/>
        <v>0</v>
      </c>
      <c r="M845" s="9">
        <f t="shared" si="320"/>
        <v>0</v>
      </c>
      <c r="N845" s="9">
        <f t="shared" si="321"/>
        <v>0</v>
      </c>
      <c r="O845" s="9">
        <f t="shared" si="322"/>
        <v>0</v>
      </c>
      <c r="P845" s="9">
        <f t="shared" si="323"/>
        <v>0</v>
      </c>
      <c r="Q845" s="9">
        <f t="shared" si="324"/>
        <v>0</v>
      </c>
      <c r="R845" s="9">
        <f t="shared" si="325"/>
        <v>0</v>
      </c>
      <c r="S845" s="9">
        <f t="shared" si="326"/>
        <v>0</v>
      </c>
      <c r="T845" s="9">
        <f t="shared" si="327"/>
        <v>0</v>
      </c>
      <c r="U845" s="9">
        <f t="shared" si="328"/>
        <v>0</v>
      </c>
      <c r="V845" s="9">
        <f t="shared" si="329"/>
        <v>0</v>
      </c>
      <c r="W845" s="9">
        <f t="shared" si="330"/>
        <v>0</v>
      </c>
      <c r="X845" s="9">
        <f t="shared" si="331"/>
        <v>0</v>
      </c>
      <c r="Y845" s="9">
        <f t="shared" si="332"/>
        <v>0</v>
      </c>
      <c r="Z845" s="9">
        <f t="shared" si="333"/>
        <v>1</v>
      </c>
      <c r="AA845" s="10">
        <f t="shared" si="334"/>
        <v>0</v>
      </c>
    </row>
    <row r="846" spans="1:27" x14ac:dyDescent="0.3">
      <c r="A846" s="4" t="s">
        <v>1302</v>
      </c>
      <c r="B846" s="4">
        <f t="shared" si="312"/>
        <v>1</v>
      </c>
      <c r="C846" s="4">
        <f t="shared" si="313"/>
        <v>0</v>
      </c>
      <c r="D846" s="4">
        <f t="shared" si="314"/>
        <v>0</v>
      </c>
      <c r="E846" s="4">
        <f t="shared" si="315"/>
        <v>0</v>
      </c>
      <c r="F846" s="4">
        <f t="shared" si="316"/>
        <v>0</v>
      </c>
      <c r="G846" s="4">
        <f t="shared" si="317"/>
        <v>0</v>
      </c>
      <c r="I846" s="11" t="s">
        <v>988</v>
      </c>
      <c r="J846" s="9">
        <f t="shared" si="318"/>
        <v>0</v>
      </c>
      <c r="K846" s="9">
        <f t="shared" si="335"/>
        <v>0</v>
      </c>
      <c r="L846" s="9">
        <f t="shared" si="319"/>
        <v>1</v>
      </c>
      <c r="M846" s="9">
        <f t="shared" si="320"/>
        <v>0</v>
      </c>
      <c r="N846" s="9">
        <f t="shared" si="321"/>
        <v>0</v>
      </c>
      <c r="O846" s="9">
        <f t="shared" si="322"/>
        <v>0</v>
      </c>
      <c r="P846" s="9">
        <f t="shared" si="323"/>
        <v>0</v>
      </c>
      <c r="Q846" s="9">
        <f t="shared" si="324"/>
        <v>0</v>
      </c>
      <c r="R846" s="9">
        <f t="shared" si="325"/>
        <v>0</v>
      </c>
      <c r="S846" s="9">
        <f t="shared" si="326"/>
        <v>0</v>
      </c>
      <c r="T846" s="9">
        <f t="shared" si="327"/>
        <v>0</v>
      </c>
      <c r="U846" s="9">
        <f t="shared" si="328"/>
        <v>0</v>
      </c>
      <c r="V846" s="9">
        <f t="shared" si="329"/>
        <v>0</v>
      </c>
      <c r="W846" s="9">
        <f t="shared" si="330"/>
        <v>0</v>
      </c>
      <c r="X846" s="9">
        <f t="shared" si="331"/>
        <v>0</v>
      </c>
      <c r="Y846" s="9">
        <f t="shared" si="332"/>
        <v>0</v>
      </c>
      <c r="Z846" s="9">
        <f t="shared" si="333"/>
        <v>0</v>
      </c>
      <c r="AA846" s="10">
        <f t="shared" si="334"/>
        <v>0</v>
      </c>
    </row>
    <row r="847" spans="1:27" x14ac:dyDescent="0.3">
      <c r="A847" s="18" t="s">
        <v>1303</v>
      </c>
      <c r="B847" s="4">
        <f t="shared" si="312"/>
        <v>0</v>
      </c>
      <c r="C847" s="4">
        <f t="shared" si="313"/>
        <v>0</v>
      </c>
      <c r="D847" s="4">
        <f t="shared" si="314"/>
        <v>0</v>
      </c>
      <c r="E847" s="4">
        <f t="shared" si="315"/>
        <v>0</v>
      </c>
      <c r="F847" s="4">
        <f t="shared" si="316"/>
        <v>1</v>
      </c>
      <c r="G847" s="4">
        <f t="shared" si="317"/>
        <v>0</v>
      </c>
      <c r="I847" s="8" t="s">
        <v>988</v>
      </c>
      <c r="J847" s="9">
        <f t="shared" si="318"/>
        <v>0</v>
      </c>
      <c r="K847" s="9">
        <f t="shared" si="335"/>
        <v>0</v>
      </c>
      <c r="L847" s="9">
        <f t="shared" si="319"/>
        <v>1</v>
      </c>
      <c r="M847" s="9">
        <f t="shared" si="320"/>
        <v>0</v>
      </c>
      <c r="N847" s="9">
        <f t="shared" si="321"/>
        <v>0</v>
      </c>
      <c r="O847" s="9">
        <f t="shared" si="322"/>
        <v>0</v>
      </c>
      <c r="P847" s="9">
        <f t="shared" si="323"/>
        <v>0</v>
      </c>
      <c r="Q847" s="9">
        <f t="shared" si="324"/>
        <v>0</v>
      </c>
      <c r="R847" s="9">
        <f t="shared" si="325"/>
        <v>0</v>
      </c>
      <c r="S847" s="9">
        <f t="shared" si="326"/>
        <v>0</v>
      </c>
      <c r="T847" s="9">
        <f t="shared" si="327"/>
        <v>0</v>
      </c>
      <c r="U847" s="9">
        <f t="shared" si="328"/>
        <v>0</v>
      </c>
      <c r="V847" s="9">
        <f t="shared" si="329"/>
        <v>0</v>
      </c>
      <c r="W847" s="9">
        <f t="shared" si="330"/>
        <v>0</v>
      </c>
      <c r="X847" s="9">
        <f t="shared" si="331"/>
        <v>0</v>
      </c>
      <c r="Y847" s="9">
        <f t="shared" si="332"/>
        <v>0</v>
      </c>
      <c r="Z847" s="9">
        <f t="shared" si="333"/>
        <v>0</v>
      </c>
      <c r="AA847" s="10">
        <f t="shared" si="334"/>
        <v>0</v>
      </c>
    </row>
    <row r="848" spans="1:27" x14ac:dyDescent="0.3">
      <c r="A848" s="4" t="s">
        <v>1303</v>
      </c>
      <c r="B848" s="4">
        <f t="shared" si="312"/>
        <v>0</v>
      </c>
      <c r="C848" s="4">
        <f t="shared" si="313"/>
        <v>0</v>
      </c>
      <c r="D848" s="4">
        <f t="shared" si="314"/>
        <v>0</v>
      </c>
      <c r="E848" s="4">
        <f t="shared" si="315"/>
        <v>0</v>
      </c>
      <c r="F848" s="4">
        <f t="shared" si="316"/>
        <v>1</v>
      </c>
      <c r="G848" s="4">
        <f t="shared" si="317"/>
        <v>0</v>
      </c>
      <c r="I848" s="11" t="s">
        <v>990</v>
      </c>
      <c r="J848" s="9">
        <f t="shared" si="318"/>
        <v>0</v>
      </c>
      <c r="K848" s="9">
        <f t="shared" si="335"/>
        <v>0</v>
      </c>
      <c r="L848" s="9">
        <f t="shared" si="319"/>
        <v>0</v>
      </c>
      <c r="M848" s="9">
        <f t="shared" si="320"/>
        <v>0</v>
      </c>
      <c r="N848" s="9">
        <f t="shared" si="321"/>
        <v>1</v>
      </c>
      <c r="O848" s="9">
        <f t="shared" si="322"/>
        <v>0</v>
      </c>
      <c r="P848" s="9">
        <f t="shared" si="323"/>
        <v>0</v>
      </c>
      <c r="Q848" s="9">
        <f t="shared" si="324"/>
        <v>0</v>
      </c>
      <c r="R848" s="9">
        <f t="shared" si="325"/>
        <v>0</v>
      </c>
      <c r="S848" s="9">
        <f t="shared" si="326"/>
        <v>0</v>
      </c>
      <c r="T848" s="9">
        <f t="shared" si="327"/>
        <v>0</v>
      </c>
      <c r="U848" s="9">
        <f t="shared" si="328"/>
        <v>0</v>
      </c>
      <c r="V848" s="9">
        <f t="shared" si="329"/>
        <v>0</v>
      </c>
      <c r="W848" s="9">
        <f t="shared" si="330"/>
        <v>0</v>
      </c>
      <c r="X848" s="9">
        <f t="shared" si="331"/>
        <v>0</v>
      </c>
      <c r="Y848" s="9">
        <f t="shared" si="332"/>
        <v>0</v>
      </c>
      <c r="Z848" s="9">
        <f t="shared" si="333"/>
        <v>0</v>
      </c>
      <c r="AA848" s="10">
        <f t="shared" si="334"/>
        <v>0</v>
      </c>
    </row>
    <row r="849" spans="1:27" x14ac:dyDescent="0.3">
      <c r="A849" s="18" t="s">
        <v>1302</v>
      </c>
      <c r="B849" s="4">
        <f t="shared" si="312"/>
        <v>1</v>
      </c>
      <c r="C849" s="4">
        <f t="shared" si="313"/>
        <v>0</v>
      </c>
      <c r="D849" s="4">
        <f t="shared" si="314"/>
        <v>0</v>
      </c>
      <c r="E849" s="4">
        <f t="shared" si="315"/>
        <v>0</v>
      </c>
      <c r="F849" s="4">
        <f t="shared" si="316"/>
        <v>0</v>
      </c>
      <c r="G849" s="4">
        <f t="shared" si="317"/>
        <v>0</v>
      </c>
      <c r="I849" s="8" t="s">
        <v>1294</v>
      </c>
      <c r="J849" s="9">
        <f t="shared" si="318"/>
        <v>0</v>
      </c>
      <c r="K849" s="9">
        <f t="shared" si="335"/>
        <v>0</v>
      </c>
      <c r="L849" s="9">
        <f t="shared" si="319"/>
        <v>0</v>
      </c>
      <c r="M849" s="9">
        <f t="shared" si="320"/>
        <v>0</v>
      </c>
      <c r="N849" s="9">
        <f t="shared" si="321"/>
        <v>0</v>
      </c>
      <c r="O849" s="9">
        <f t="shared" si="322"/>
        <v>0</v>
      </c>
      <c r="P849" s="9">
        <f t="shared" si="323"/>
        <v>0</v>
      </c>
      <c r="Q849" s="9">
        <f t="shared" si="324"/>
        <v>0</v>
      </c>
      <c r="R849" s="9">
        <f t="shared" si="325"/>
        <v>0</v>
      </c>
      <c r="S849" s="9">
        <f t="shared" si="326"/>
        <v>0</v>
      </c>
      <c r="T849" s="9">
        <f t="shared" si="327"/>
        <v>0</v>
      </c>
      <c r="U849" s="9">
        <f t="shared" si="328"/>
        <v>0</v>
      </c>
      <c r="V849" s="9">
        <f t="shared" si="329"/>
        <v>0</v>
      </c>
      <c r="W849" s="9">
        <f t="shared" si="330"/>
        <v>0</v>
      </c>
      <c r="X849" s="9">
        <f t="shared" si="331"/>
        <v>0</v>
      </c>
      <c r="Y849" s="9">
        <f t="shared" si="332"/>
        <v>0</v>
      </c>
      <c r="Z849" s="9">
        <f t="shared" si="333"/>
        <v>0</v>
      </c>
      <c r="AA849" s="10">
        <f t="shared" si="334"/>
        <v>0</v>
      </c>
    </row>
    <row r="850" spans="1:27" x14ac:dyDescent="0.3">
      <c r="A850" s="4" t="s">
        <v>1305</v>
      </c>
      <c r="B850" s="4">
        <f t="shared" si="312"/>
        <v>0</v>
      </c>
      <c r="C850" s="4">
        <f t="shared" si="313"/>
        <v>0</v>
      </c>
      <c r="D850" s="4">
        <f t="shared" si="314"/>
        <v>0</v>
      </c>
      <c r="E850" s="4">
        <f t="shared" si="315"/>
        <v>0</v>
      </c>
      <c r="F850" s="4">
        <f t="shared" si="316"/>
        <v>0</v>
      </c>
      <c r="G850" s="4">
        <f t="shared" si="317"/>
        <v>1</v>
      </c>
      <c r="I850" s="11" t="s">
        <v>988</v>
      </c>
      <c r="J850" s="9">
        <f t="shared" si="318"/>
        <v>0</v>
      </c>
      <c r="K850" s="9">
        <f t="shared" si="335"/>
        <v>0</v>
      </c>
      <c r="L850" s="9">
        <f t="shared" si="319"/>
        <v>1</v>
      </c>
      <c r="M850" s="9">
        <f t="shared" si="320"/>
        <v>0</v>
      </c>
      <c r="N850" s="9">
        <f t="shared" si="321"/>
        <v>0</v>
      </c>
      <c r="O850" s="9">
        <f t="shared" si="322"/>
        <v>0</v>
      </c>
      <c r="P850" s="9">
        <f t="shared" si="323"/>
        <v>0</v>
      </c>
      <c r="Q850" s="9">
        <f t="shared" si="324"/>
        <v>0</v>
      </c>
      <c r="R850" s="9">
        <f t="shared" si="325"/>
        <v>0</v>
      </c>
      <c r="S850" s="9">
        <f t="shared" si="326"/>
        <v>0</v>
      </c>
      <c r="T850" s="9">
        <f t="shared" si="327"/>
        <v>0</v>
      </c>
      <c r="U850" s="9">
        <f t="shared" si="328"/>
        <v>0</v>
      </c>
      <c r="V850" s="9">
        <f t="shared" si="329"/>
        <v>0</v>
      </c>
      <c r="W850" s="9">
        <f t="shared" si="330"/>
        <v>0</v>
      </c>
      <c r="X850" s="9">
        <f t="shared" si="331"/>
        <v>0</v>
      </c>
      <c r="Y850" s="9">
        <f t="shared" si="332"/>
        <v>0</v>
      </c>
      <c r="Z850" s="9">
        <f t="shared" si="333"/>
        <v>0</v>
      </c>
      <c r="AA850" s="10">
        <f t="shared" si="334"/>
        <v>0</v>
      </c>
    </row>
    <row r="851" spans="1:27" x14ac:dyDescent="0.3">
      <c r="A851" s="18" t="s">
        <v>1302</v>
      </c>
      <c r="B851" s="4">
        <f t="shared" si="312"/>
        <v>1</v>
      </c>
      <c r="C851" s="4">
        <f t="shared" si="313"/>
        <v>0</v>
      </c>
      <c r="D851" s="4">
        <f t="shared" si="314"/>
        <v>0</v>
      </c>
      <c r="E851" s="4">
        <f t="shared" si="315"/>
        <v>0</v>
      </c>
      <c r="F851" s="4">
        <f t="shared" si="316"/>
        <v>0</v>
      </c>
      <c r="G851" s="4">
        <f t="shared" si="317"/>
        <v>0</v>
      </c>
      <c r="I851" s="8" t="s">
        <v>988</v>
      </c>
      <c r="J851" s="9">
        <f t="shared" si="318"/>
        <v>0</v>
      </c>
      <c r="K851" s="9">
        <f t="shared" si="335"/>
        <v>0</v>
      </c>
      <c r="L851" s="9">
        <f t="shared" si="319"/>
        <v>1</v>
      </c>
      <c r="M851" s="9">
        <f t="shared" si="320"/>
        <v>0</v>
      </c>
      <c r="N851" s="9">
        <f t="shared" si="321"/>
        <v>0</v>
      </c>
      <c r="O851" s="9">
        <f t="shared" si="322"/>
        <v>0</v>
      </c>
      <c r="P851" s="9">
        <f t="shared" si="323"/>
        <v>0</v>
      </c>
      <c r="Q851" s="9">
        <f t="shared" si="324"/>
        <v>0</v>
      </c>
      <c r="R851" s="9">
        <f t="shared" si="325"/>
        <v>0</v>
      </c>
      <c r="S851" s="9">
        <f t="shared" si="326"/>
        <v>0</v>
      </c>
      <c r="T851" s="9">
        <f t="shared" si="327"/>
        <v>0</v>
      </c>
      <c r="U851" s="9">
        <f t="shared" si="328"/>
        <v>0</v>
      </c>
      <c r="V851" s="9">
        <f t="shared" si="329"/>
        <v>0</v>
      </c>
      <c r="W851" s="9">
        <f t="shared" si="330"/>
        <v>0</v>
      </c>
      <c r="X851" s="9">
        <f t="shared" si="331"/>
        <v>0</v>
      </c>
      <c r="Y851" s="9">
        <f t="shared" si="332"/>
        <v>0</v>
      </c>
      <c r="Z851" s="9">
        <f t="shared" si="333"/>
        <v>0</v>
      </c>
      <c r="AA851" s="10">
        <f t="shared" si="334"/>
        <v>0</v>
      </c>
    </row>
    <row r="852" spans="1:27" x14ac:dyDescent="0.3">
      <c r="A852" s="4" t="s">
        <v>1305</v>
      </c>
      <c r="B852" s="4">
        <f t="shared" si="312"/>
        <v>0</v>
      </c>
      <c r="C852" s="4">
        <f t="shared" si="313"/>
        <v>0</v>
      </c>
      <c r="D852" s="4">
        <f t="shared" si="314"/>
        <v>0</v>
      </c>
      <c r="E852" s="4">
        <f t="shared" si="315"/>
        <v>0</v>
      </c>
      <c r="F852" s="4">
        <f t="shared" si="316"/>
        <v>0</v>
      </c>
      <c r="G852" s="4">
        <f t="shared" si="317"/>
        <v>1</v>
      </c>
      <c r="I852" s="11" t="s">
        <v>977</v>
      </c>
      <c r="J852" s="9">
        <f t="shared" si="318"/>
        <v>1</v>
      </c>
      <c r="K852" s="9">
        <f t="shared" si="335"/>
        <v>0</v>
      </c>
      <c r="L852" s="9">
        <f t="shared" si="319"/>
        <v>0</v>
      </c>
      <c r="M852" s="9">
        <f t="shared" si="320"/>
        <v>0</v>
      </c>
      <c r="N852" s="9">
        <f t="shared" si="321"/>
        <v>0</v>
      </c>
      <c r="O852" s="9">
        <f t="shared" si="322"/>
        <v>0</v>
      </c>
      <c r="P852" s="9">
        <f t="shared" si="323"/>
        <v>0</v>
      </c>
      <c r="Q852" s="9">
        <f t="shared" si="324"/>
        <v>0</v>
      </c>
      <c r="R852" s="9">
        <f t="shared" si="325"/>
        <v>0</v>
      </c>
      <c r="S852" s="9">
        <f t="shared" si="326"/>
        <v>0</v>
      </c>
      <c r="T852" s="9">
        <f t="shared" si="327"/>
        <v>0</v>
      </c>
      <c r="U852" s="9">
        <f t="shared" si="328"/>
        <v>0</v>
      </c>
      <c r="V852" s="9">
        <f t="shared" si="329"/>
        <v>0</v>
      </c>
      <c r="W852" s="9">
        <f t="shared" si="330"/>
        <v>0</v>
      </c>
      <c r="X852" s="9">
        <f t="shared" si="331"/>
        <v>0</v>
      </c>
      <c r="Y852" s="9">
        <f t="shared" si="332"/>
        <v>0</v>
      </c>
      <c r="Z852" s="9">
        <f t="shared" si="333"/>
        <v>0</v>
      </c>
      <c r="AA852" s="10">
        <f t="shared" si="334"/>
        <v>0</v>
      </c>
    </row>
    <row r="853" spans="1:27" x14ac:dyDescent="0.3">
      <c r="A853" s="18" t="s">
        <v>1304</v>
      </c>
      <c r="B853" s="4">
        <f t="shared" si="312"/>
        <v>0</v>
      </c>
      <c r="C853" s="4">
        <f t="shared" si="313"/>
        <v>1</v>
      </c>
      <c r="D853" s="4">
        <f t="shared" si="314"/>
        <v>0</v>
      </c>
      <c r="E853" s="4">
        <f t="shared" si="315"/>
        <v>0</v>
      </c>
      <c r="F853" s="4">
        <f t="shared" si="316"/>
        <v>0</v>
      </c>
      <c r="G853" s="4">
        <f t="shared" si="317"/>
        <v>0</v>
      </c>
      <c r="I853" s="8" t="s">
        <v>996</v>
      </c>
      <c r="J853" s="9">
        <f t="shared" si="318"/>
        <v>0</v>
      </c>
      <c r="K853" s="9">
        <f t="shared" si="335"/>
        <v>0</v>
      </c>
      <c r="L853" s="9">
        <f t="shared" si="319"/>
        <v>0</v>
      </c>
      <c r="M853" s="9">
        <f t="shared" si="320"/>
        <v>0</v>
      </c>
      <c r="N853" s="9">
        <f t="shared" si="321"/>
        <v>0</v>
      </c>
      <c r="O853" s="9">
        <f t="shared" si="322"/>
        <v>0</v>
      </c>
      <c r="P853" s="9">
        <f t="shared" si="323"/>
        <v>0</v>
      </c>
      <c r="Q853" s="9">
        <f t="shared" si="324"/>
        <v>1</v>
      </c>
      <c r="R853" s="9">
        <f t="shared" si="325"/>
        <v>0</v>
      </c>
      <c r="S853" s="9">
        <f t="shared" si="326"/>
        <v>0</v>
      </c>
      <c r="T853" s="9">
        <f t="shared" si="327"/>
        <v>0</v>
      </c>
      <c r="U853" s="9">
        <f t="shared" si="328"/>
        <v>0</v>
      </c>
      <c r="V853" s="9">
        <f t="shared" si="329"/>
        <v>0</v>
      </c>
      <c r="W853" s="9">
        <f t="shared" si="330"/>
        <v>0</v>
      </c>
      <c r="X853" s="9">
        <f t="shared" si="331"/>
        <v>0</v>
      </c>
      <c r="Y853" s="9">
        <f t="shared" si="332"/>
        <v>0</v>
      </c>
      <c r="Z853" s="9">
        <f t="shared" si="333"/>
        <v>0</v>
      </c>
      <c r="AA853" s="10">
        <f t="shared" si="334"/>
        <v>0</v>
      </c>
    </row>
    <row r="854" spans="1:27" x14ac:dyDescent="0.3">
      <c r="A854" s="4" t="s">
        <v>1294</v>
      </c>
      <c r="B854" s="4">
        <f t="shared" si="312"/>
        <v>0</v>
      </c>
      <c r="C854" s="4">
        <f t="shared" si="313"/>
        <v>0</v>
      </c>
      <c r="D854" s="4">
        <f t="shared" si="314"/>
        <v>0</v>
      </c>
      <c r="E854" s="4">
        <f t="shared" si="315"/>
        <v>0</v>
      </c>
      <c r="F854" s="4">
        <f t="shared" si="316"/>
        <v>0</v>
      </c>
      <c r="G854" s="4">
        <f t="shared" si="317"/>
        <v>0</v>
      </c>
      <c r="I854" s="11" t="s">
        <v>994</v>
      </c>
      <c r="J854" s="9">
        <f t="shared" si="318"/>
        <v>0</v>
      </c>
      <c r="K854" s="9">
        <f t="shared" si="335"/>
        <v>0</v>
      </c>
      <c r="L854" s="9">
        <f t="shared" si="319"/>
        <v>0</v>
      </c>
      <c r="M854" s="9">
        <f t="shared" si="320"/>
        <v>0</v>
      </c>
      <c r="N854" s="9">
        <f t="shared" si="321"/>
        <v>0</v>
      </c>
      <c r="O854" s="9">
        <f t="shared" si="322"/>
        <v>0</v>
      </c>
      <c r="P854" s="9">
        <f t="shared" si="323"/>
        <v>1</v>
      </c>
      <c r="Q854" s="9">
        <f t="shared" si="324"/>
        <v>0</v>
      </c>
      <c r="R854" s="9">
        <f t="shared" si="325"/>
        <v>0</v>
      </c>
      <c r="S854" s="9">
        <f t="shared" si="326"/>
        <v>0</v>
      </c>
      <c r="T854" s="9">
        <f t="shared" si="327"/>
        <v>0</v>
      </c>
      <c r="U854" s="9">
        <f t="shared" si="328"/>
        <v>0</v>
      </c>
      <c r="V854" s="9">
        <f t="shared" si="329"/>
        <v>0</v>
      </c>
      <c r="W854" s="9">
        <f t="shared" si="330"/>
        <v>0</v>
      </c>
      <c r="X854" s="9">
        <f t="shared" si="331"/>
        <v>0</v>
      </c>
      <c r="Y854" s="9">
        <f t="shared" si="332"/>
        <v>0</v>
      </c>
      <c r="Z854" s="9">
        <f t="shared" si="333"/>
        <v>0</v>
      </c>
      <c r="AA854" s="10">
        <f t="shared" si="334"/>
        <v>0</v>
      </c>
    </row>
    <row r="855" spans="1:27" x14ac:dyDescent="0.3">
      <c r="A855" s="18" t="s">
        <v>1294</v>
      </c>
      <c r="B855" s="4">
        <f t="shared" si="312"/>
        <v>0</v>
      </c>
      <c r="C855" s="4">
        <f t="shared" si="313"/>
        <v>0</v>
      </c>
      <c r="D855" s="4">
        <f t="shared" si="314"/>
        <v>0</v>
      </c>
      <c r="E855" s="4">
        <f t="shared" si="315"/>
        <v>0</v>
      </c>
      <c r="F855" s="4">
        <f t="shared" si="316"/>
        <v>0</v>
      </c>
      <c r="G855" s="4">
        <f t="shared" si="317"/>
        <v>0</v>
      </c>
      <c r="I855" s="8" t="s">
        <v>988</v>
      </c>
      <c r="J855" s="9">
        <f t="shared" si="318"/>
        <v>0</v>
      </c>
      <c r="K855" s="9">
        <f t="shared" si="335"/>
        <v>0</v>
      </c>
      <c r="L855" s="9">
        <f t="shared" si="319"/>
        <v>1</v>
      </c>
      <c r="M855" s="9">
        <f t="shared" si="320"/>
        <v>0</v>
      </c>
      <c r="N855" s="9">
        <f t="shared" si="321"/>
        <v>0</v>
      </c>
      <c r="O855" s="9">
        <f t="shared" si="322"/>
        <v>0</v>
      </c>
      <c r="P855" s="9">
        <f t="shared" si="323"/>
        <v>0</v>
      </c>
      <c r="Q855" s="9">
        <f t="shared" si="324"/>
        <v>0</v>
      </c>
      <c r="R855" s="9">
        <f t="shared" si="325"/>
        <v>0</v>
      </c>
      <c r="S855" s="9">
        <f t="shared" si="326"/>
        <v>0</v>
      </c>
      <c r="T855" s="9">
        <f t="shared" si="327"/>
        <v>0</v>
      </c>
      <c r="U855" s="9">
        <f t="shared" si="328"/>
        <v>0</v>
      </c>
      <c r="V855" s="9">
        <f t="shared" si="329"/>
        <v>0</v>
      </c>
      <c r="W855" s="9">
        <f t="shared" si="330"/>
        <v>0</v>
      </c>
      <c r="X855" s="9">
        <f t="shared" si="331"/>
        <v>0</v>
      </c>
      <c r="Y855" s="9">
        <f t="shared" si="332"/>
        <v>0</v>
      </c>
      <c r="Z855" s="9">
        <f t="shared" si="333"/>
        <v>0</v>
      </c>
      <c r="AA855" s="10">
        <f t="shared" si="334"/>
        <v>0</v>
      </c>
    </row>
    <row r="856" spans="1:27" x14ac:dyDescent="0.3">
      <c r="A856" s="4" t="s">
        <v>1302</v>
      </c>
      <c r="B856" s="4">
        <f t="shared" si="312"/>
        <v>1</v>
      </c>
      <c r="C856" s="4">
        <f t="shared" si="313"/>
        <v>0</v>
      </c>
      <c r="D856" s="4">
        <f t="shared" si="314"/>
        <v>0</v>
      </c>
      <c r="E856" s="4">
        <f t="shared" si="315"/>
        <v>0</v>
      </c>
      <c r="F856" s="4">
        <f t="shared" si="316"/>
        <v>0</v>
      </c>
      <c r="G856" s="4">
        <f t="shared" si="317"/>
        <v>0</v>
      </c>
      <c r="I856" s="11" t="s">
        <v>977</v>
      </c>
      <c r="J856" s="9">
        <f t="shared" si="318"/>
        <v>1</v>
      </c>
      <c r="K856" s="9">
        <f t="shared" si="335"/>
        <v>0</v>
      </c>
      <c r="L856" s="9">
        <f t="shared" si="319"/>
        <v>0</v>
      </c>
      <c r="M856" s="9">
        <f t="shared" si="320"/>
        <v>0</v>
      </c>
      <c r="N856" s="9">
        <f t="shared" si="321"/>
        <v>0</v>
      </c>
      <c r="O856" s="9">
        <f t="shared" si="322"/>
        <v>0</v>
      </c>
      <c r="P856" s="9">
        <f t="shared" si="323"/>
        <v>0</v>
      </c>
      <c r="Q856" s="9">
        <f t="shared" si="324"/>
        <v>0</v>
      </c>
      <c r="R856" s="9">
        <f t="shared" si="325"/>
        <v>0</v>
      </c>
      <c r="S856" s="9">
        <f t="shared" si="326"/>
        <v>0</v>
      </c>
      <c r="T856" s="9">
        <f t="shared" si="327"/>
        <v>0</v>
      </c>
      <c r="U856" s="9">
        <f t="shared" si="328"/>
        <v>0</v>
      </c>
      <c r="V856" s="9">
        <f t="shared" si="329"/>
        <v>0</v>
      </c>
      <c r="W856" s="9">
        <f t="shared" si="330"/>
        <v>0</v>
      </c>
      <c r="X856" s="9">
        <f t="shared" si="331"/>
        <v>0</v>
      </c>
      <c r="Y856" s="9">
        <f t="shared" si="332"/>
        <v>0</v>
      </c>
      <c r="Z856" s="9">
        <f t="shared" si="333"/>
        <v>0</v>
      </c>
      <c r="AA856" s="10">
        <f t="shared" si="334"/>
        <v>0</v>
      </c>
    </row>
    <row r="857" spans="1:27" x14ac:dyDescent="0.3">
      <c r="A857" s="18" t="s">
        <v>1303</v>
      </c>
      <c r="B857" s="4">
        <f t="shared" si="312"/>
        <v>0</v>
      </c>
      <c r="C857" s="4">
        <f t="shared" si="313"/>
        <v>0</v>
      </c>
      <c r="D857" s="4">
        <f t="shared" si="314"/>
        <v>0</v>
      </c>
      <c r="E857" s="4">
        <f t="shared" si="315"/>
        <v>0</v>
      </c>
      <c r="F857" s="4">
        <f t="shared" si="316"/>
        <v>1</v>
      </c>
      <c r="G857" s="4">
        <f t="shared" si="317"/>
        <v>0</v>
      </c>
      <c r="I857" s="8" t="s">
        <v>988</v>
      </c>
      <c r="J857" s="9">
        <f t="shared" si="318"/>
        <v>0</v>
      </c>
      <c r="K857" s="9">
        <f t="shared" si="335"/>
        <v>0</v>
      </c>
      <c r="L857" s="9">
        <f t="shared" si="319"/>
        <v>1</v>
      </c>
      <c r="M857" s="9">
        <f t="shared" si="320"/>
        <v>0</v>
      </c>
      <c r="N857" s="9">
        <f t="shared" si="321"/>
        <v>0</v>
      </c>
      <c r="O857" s="9">
        <f t="shared" si="322"/>
        <v>0</v>
      </c>
      <c r="P857" s="9">
        <f t="shared" si="323"/>
        <v>0</v>
      </c>
      <c r="Q857" s="9">
        <f t="shared" si="324"/>
        <v>0</v>
      </c>
      <c r="R857" s="9">
        <f t="shared" si="325"/>
        <v>0</v>
      </c>
      <c r="S857" s="9">
        <f t="shared" si="326"/>
        <v>0</v>
      </c>
      <c r="T857" s="9">
        <f t="shared" si="327"/>
        <v>0</v>
      </c>
      <c r="U857" s="9">
        <f t="shared" si="328"/>
        <v>0</v>
      </c>
      <c r="V857" s="9">
        <f t="shared" si="329"/>
        <v>0</v>
      </c>
      <c r="W857" s="9">
        <f t="shared" si="330"/>
        <v>0</v>
      </c>
      <c r="X857" s="9">
        <f t="shared" si="331"/>
        <v>0</v>
      </c>
      <c r="Y857" s="9">
        <f t="shared" si="332"/>
        <v>0</v>
      </c>
      <c r="Z857" s="9">
        <f t="shared" si="333"/>
        <v>0</v>
      </c>
      <c r="AA857" s="10">
        <f t="shared" si="334"/>
        <v>0</v>
      </c>
    </row>
    <row r="858" spans="1:27" x14ac:dyDescent="0.3">
      <c r="A858" s="4" t="s">
        <v>1303</v>
      </c>
      <c r="B858" s="4">
        <f t="shared" si="312"/>
        <v>0</v>
      </c>
      <c r="C858" s="4">
        <f t="shared" si="313"/>
        <v>0</v>
      </c>
      <c r="D858" s="4">
        <f t="shared" si="314"/>
        <v>0</v>
      </c>
      <c r="E858" s="4">
        <f t="shared" si="315"/>
        <v>0</v>
      </c>
      <c r="F858" s="4">
        <f t="shared" si="316"/>
        <v>1</v>
      </c>
      <c r="G858" s="4">
        <f t="shared" si="317"/>
        <v>0</v>
      </c>
      <c r="I858" s="11" t="s">
        <v>1294</v>
      </c>
      <c r="J858" s="9">
        <f t="shared" si="318"/>
        <v>0</v>
      </c>
      <c r="K858" s="9">
        <f t="shared" si="335"/>
        <v>0</v>
      </c>
      <c r="L858" s="9">
        <f t="shared" si="319"/>
        <v>0</v>
      </c>
      <c r="M858" s="9">
        <f t="shared" si="320"/>
        <v>0</v>
      </c>
      <c r="N858" s="9">
        <f t="shared" si="321"/>
        <v>0</v>
      </c>
      <c r="O858" s="9">
        <f t="shared" si="322"/>
        <v>0</v>
      </c>
      <c r="P858" s="9">
        <f t="shared" si="323"/>
        <v>0</v>
      </c>
      <c r="Q858" s="9">
        <f t="shared" si="324"/>
        <v>0</v>
      </c>
      <c r="R858" s="9">
        <f t="shared" si="325"/>
        <v>0</v>
      </c>
      <c r="S858" s="9">
        <f t="shared" si="326"/>
        <v>0</v>
      </c>
      <c r="T858" s="9">
        <f t="shared" si="327"/>
        <v>0</v>
      </c>
      <c r="U858" s="9">
        <f t="shared" si="328"/>
        <v>0</v>
      </c>
      <c r="V858" s="9">
        <f t="shared" si="329"/>
        <v>0</v>
      </c>
      <c r="W858" s="9">
        <f t="shared" si="330"/>
        <v>0</v>
      </c>
      <c r="X858" s="9">
        <f t="shared" si="331"/>
        <v>0</v>
      </c>
      <c r="Y858" s="9">
        <f t="shared" si="332"/>
        <v>0</v>
      </c>
      <c r="Z858" s="9">
        <f t="shared" si="333"/>
        <v>0</v>
      </c>
      <c r="AA858" s="10">
        <f t="shared" si="334"/>
        <v>0</v>
      </c>
    </row>
    <row r="859" spans="1:27" x14ac:dyDescent="0.3">
      <c r="A859" s="18" t="s">
        <v>1303</v>
      </c>
      <c r="B859" s="4">
        <f t="shared" si="312"/>
        <v>0</v>
      </c>
      <c r="C859" s="4">
        <f t="shared" si="313"/>
        <v>0</v>
      </c>
      <c r="D859" s="4">
        <f t="shared" si="314"/>
        <v>0</v>
      </c>
      <c r="E859" s="4">
        <f t="shared" si="315"/>
        <v>0</v>
      </c>
      <c r="F859" s="4">
        <f t="shared" si="316"/>
        <v>1</v>
      </c>
      <c r="G859" s="4">
        <f t="shared" si="317"/>
        <v>0</v>
      </c>
      <c r="I859" s="8" t="s">
        <v>977</v>
      </c>
      <c r="J859" s="9">
        <f t="shared" si="318"/>
        <v>1</v>
      </c>
      <c r="K859" s="9">
        <f t="shared" si="335"/>
        <v>0</v>
      </c>
      <c r="L859" s="9">
        <f t="shared" si="319"/>
        <v>0</v>
      </c>
      <c r="M859" s="9">
        <f t="shared" si="320"/>
        <v>0</v>
      </c>
      <c r="N859" s="9">
        <f t="shared" si="321"/>
        <v>0</v>
      </c>
      <c r="O859" s="9">
        <f t="shared" si="322"/>
        <v>0</v>
      </c>
      <c r="P859" s="9">
        <f t="shared" si="323"/>
        <v>0</v>
      </c>
      <c r="Q859" s="9">
        <f t="shared" si="324"/>
        <v>0</v>
      </c>
      <c r="R859" s="9">
        <f t="shared" si="325"/>
        <v>0</v>
      </c>
      <c r="S859" s="9">
        <f t="shared" si="326"/>
        <v>0</v>
      </c>
      <c r="T859" s="9">
        <f t="shared" si="327"/>
        <v>0</v>
      </c>
      <c r="U859" s="9">
        <f t="shared" si="328"/>
        <v>0</v>
      </c>
      <c r="V859" s="9">
        <f t="shared" si="329"/>
        <v>0</v>
      </c>
      <c r="W859" s="9">
        <f t="shared" si="330"/>
        <v>0</v>
      </c>
      <c r="X859" s="9">
        <f t="shared" si="331"/>
        <v>0</v>
      </c>
      <c r="Y859" s="9">
        <f t="shared" si="332"/>
        <v>0</v>
      </c>
      <c r="Z859" s="9">
        <f t="shared" si="333"/>
        <v>0</v>
      </c>
      <c r="AA859" s="10">
        <f t="shared" si="334"/>
        <v>0</v>
      </c>
    </row>
    <row r="860" spans="1:27" x14ac:dyDescent="0.3">
      <c r="A860" s="4" t="s">
        <v>1305</v>
      </c>
      <c r="B860" s="4">
        <f t="shared" si="312"/>
        <v>0</v>
      </c>
      <c r="C860" s="4">
        <f t="shared" si="313"/>
        <v>0</v>
      </c>
      <c r="D860" s="4">
        <f t="shared" si="314"/>
        <v>0</v>
      </c>
      <c r="E860" s="4">
        <f t="shared" si="315"/>
        <v>0</v>
      </c>
      <c r="F860" s="4">
        <f t="shared" si="316"/>
        <v>0</v>
      </c>
      <c r="G860" s="4">
        <f t="shared" si="317"/>
        <v>1</v>
      </c>
      <c r="I860" s="11" t="s">
        <v>994</v>
      </c>
      <c r="J860" s="9">
        <f t="shared" si="318"/>
        <v>0</v>
      </c>
      <c r="K860" s="9">
        <f t="shared" si="335"/>
        <v>0</v>
      </c>
      <c r="L860" s="9">
        <f t="shared" si="319"/>
        <v>0</v>
      </c>
      <c r="M860" s="9">
        <f t="shared" si="320"/>
        <v>0</v>
      </c>
      <c r="N860" s="9">
        <f t="shared" si="321"/>
        <v>0</v>
      </c>
      <c r="O860" s="9">
        <f t="shared" si="322"/>
        <v>0</v>
      </c>
      <c r="P860" s="9">
        <f t="shared" si="323"/>
        <v>1</v>
      </c>
      <c r="Q860" s="9">
        <f t="shared" si="324"/>
        <v>0</v>
      </c>
      <c r="R860" s="9">
        <f t="shared" si="325"/>
        <v>0</v>
      </c>
      <c r="S860" s="9">
        <f t="shared" si="326"/>
        <v>0</v>
      </c>
      <c r="T860" s="9">
        <f t="shared" si="327"/>
        <v>0</v>
      </c>
      <c r="U860" s="9">
        <f t="shared" si="328"/>
        <v>0</v>
      </c>
      <c r="V860" s="9">
        <f t="shared" si="329"/>
        <v>0</v>
      </c>
      <c r="W860" s="9">
        <f t="shared" si="330"/>
        <v>0</v>
      </c>
      <c r="X860" s="9">
        <f t="shared" si="331"/>
        <v>0</v>
      </c>
      <c r="Y860" s="9">
        <f t="shared" si="332"/>
        <v>0</v>
      </c>
      <c r="Z860" s="9">
        <f t="shared" si="333"/>
        <v>0</v>
      </c>
      <c r="AA860" s="10">
        <f t="shared" si="334"/>
        <v>0</v>
      </c>
    </row>
    <row r="861" spans="1:27" x14ac:dyDescent="0.3">
      <c r="A861" s="18" t="s">
        <v>1305</v>
      </c>
      <c r="B861" s="4">
        <f t="shared" si="312"/>
        <v>0</v>
      </c>
      <c r="C861" s="4">
        <f t="shared" si="313"/>
        <v>0</v>
      </c>
      <c r="D861" s="4">
        <f t="shared" si="314"/>
        <v>0</v>
      </c>
      <c r="E861" s="4">
        <f t="shared" si="315"/>
        <v>0</v>
      </c>
      <c r="F861" s="4">
        <f t="shared" si="316"/>
        <v>0</v>
      </c>
      <c r="G861" s="4">
        <f t="shared" si="317"/>
        <v>1</v>
      </c>
      <c r="I861" s="8" t="s">
        <v>982</v>
      </c>
      <c r="J861" s="9">
        <f t="shared" si="318"/>
        <v>0</v>
      </c>
      <c r="K861" s="9">
        <f t="shared" si="335"/>
        <v>1</v>
      </c>
      <c r="L861" s="9">
        <f t="shared" si="319"/>
        <v>0</v>
      </c>
      <c r="M861" s="9">
        <f t="shared" si="320"/>
        <v>0</v>
      </c>
      <c r="N861" s="9">
        <f t="shared" si="321"/>
        <v>0</v>
      </c>
      <c r="O861" s="9">
        <f t="shared" si="322"/>
        <v>0</v>
      </c>
      <c r="P861" s="9">
        <f t="shared" si="323"/>
        <v>0</v>
      </c>
      <c r="Q861" s="9">
        <f t="shared" si="324"/>
        <v>0</v>
      </c>
      <c r="R861" s="9">
        <f t="shared" si="325"/>
        <v>0</v>
      </c>
      <c r="S861" s="9">
        <f t="shared" si="326"/>
        <v>0</v>
      </c>
      <c r="T861" s="9">
        <f t="shared" si="327"/>
        <v>0</v>
      </c>
      <c r="U861" s="9">
        <f t="shared" si="328"/>
        <v>0</v>
      </c>
      <c r="V861" s="9">
        <f t="shared" si="329"/>
        <v>0</v>
      </c>
      <c r="W861" s="9">
        <f t="shared" si="330"/>
        <v>0</v>
      </c>
      <c r="X861" s="9">
        <f t="shared" si="331"/>
        <v>0</v>
      </c>
      <c r="Y861" s="9">
        <f t="shared" si="332"/>
        <v>0</v>
      </c>
      <c r="Z861" s="9">
        <f t="shared" si="333"/>
        <v>0</v>
      </c>
      <c r="AA861" s="10">
        <f t="shared" si="334"/>
        <v>0</v>
      </c>
    </row>
    <row r="862" spans="1:27" x14ac:dyDescent="0.3">
      <c r="A862" s="4" t="s">
        <v>1305</v>
      </c>
      <c r="B862" s="4">
        <f t="shared" si="312"/>
        <v>0</v>
      </c>
      <c r="C862" s="4">
        <f t="shared" si="313"/>
        <v>0</v>
      </c>
      <c r="D862" s="4">
        <f t="shared" si="314"/>
        <v>0</v>
      </c>
      <c r="E862" s="4">
        <f t="shared" si="315"/>
        <v>0</v>
      </c>
      <c r="F862" s="4">
        <f t="shared" si="316"/>
        <v>0</v>
      </c>
      <c r="G862" s="4">
        <f t="shared" si="317"/>
        <v>1</v>
      </c>
      <c r="I862" s="11" t="s">
        <v>977</v>
      </c>
      <c r="J862" s="9">
        <f t="shared" si="318"/>
        <v>1</v>
      </c>
      <c r="K862" s="9">
        <f t="shared" si="335"/>
        <v>0</v>
      </c>
      <c r="L862" s="9">
        <f t="shared" si="319"/>
        <v>0</v>
      </c>
      <c r="M862" s="9">
        <f t="shared" si="320"/>
        <v>0</v>
      </c>
      <c r="N862" s="9">
        <f t="shared" si="321"/>
        <v>0</v>
      </c>
      <c r="O862" s="9">
        <f t="shared" si="322"/>
        <v>0</v>
      </c>
      <c r="P862" s="9">
        <f t="shared" si="323"/>
        <v>0</v>
      </c>
      <c r="Q862" s="9">
        <f t="shared" si="324"/>
        <v>0</v>
      </c>
      <c r="R862" s="9">
        <f t="shared" si="325"/>
        <v>0</v>
      </c>
      <c r="S862" s="9">
        <f t="shared" si="326"/>
        <v>0</v>
      </c>
      <c r="T862" s="9">
        <f t="shared" si="327"/>
        <v>0</v>
      </c>
      <c r="U862" s="9">
        <f t="shared" si="328"/>
        <v>0</v>
      </c>
      <c r="V862" s="9">
        <f t="shared" si="329"/>
        <v>0</v>
      </c>
      <c r="W862" s="9">
        <f t="shared" si="330"/>
        <v>0</v>
      </c>
      <c r="X862" s="9">
        <f t="shared" si="331"/>
        <v>0</v>
      </c>
      <c r="Y862" s="9">
        <f t="shared" si="332"/>
        <v>0</v>
      </c>
      <c r="Z862" s="9">
        <f t="shared" si="333"/>
        <v>0</v>
      </c>
      <c r="AA862" s="10">
        <f t="shared" si="334"/>
        <v>0</v>
      </c>
    </row>
    <row r="863" spans="1:27" x14ac:dyDescent="0.3">
      <c r="A863" s="18" t="s">
        <v>1305</v>
      </c>
      <c r="B863" s="4">
        <f t="shared" si="312"/>
        <v>0</v>
      </c>
      <c r="C863" s="4">
        <f t="shared" si="313"/>
        <v>0</v>
      </c>
      <c r="D863" s="4">
        <f t="shared" si="314"/>
        <v>0</v>
      </c>
      <c r="E863" s="4">
        <f t="shared" si="315"/>
        <v>0</v>
      </c>
      <c r="F863" s="4">
        <f t="shared" si="316"/>
        <v>0</v>
      </c>
      <c r="G863" s="4">
        <f t="shared" si="317"/>
        <v>1</v>
      </c>
      <c r="I863" s="8" t="s">
        <v>988</v>
      </c>
      <c r="J863" s="9">
        <f t="shared" si="318"/>
        <v>0</v>
      </c>
      <c r="K863" s="9">
        <f t="shared" si="335"/>
        <v>0</v>
      </c>
      <c r="L863" s="9">
        <f t="shared" si="319"/>
        <v>1</v>
      </c>
      <c r="M863" s="9">
        <f t="shared" si="320"/>
        <v>0</v>
      </c>
      <c r="N863" s="9">
        <f t="shared" si="321"/>
        <v>0</v>
      </c>
      <c r="O863" s="9">
        <f t="shared" si="322"/>
        <v>0</v>
      </c>
      <c r="P863" s="9">
        <f t="shared" si="323"/>
        <v>0</v>
      </c>
      <c r="Q863" s="9">
        <f t="shared" si="324"/>
        <v>0</v>
      </c>
      <c r="R863" s="9">
        <f t="shared" si="325"/>
        <v>0</v>
      </c>
      <c r="S863" s="9">
        <f t="shared" si="326"/>
        <v>0</v>
      </c>
      <c r="T863" s="9">
        <f t="shared" si="327"/>
        <v>0</v>
      </c>
      <c r="U863" s="9">
        <f t="shared" si="328"/>
        <v>0</v>
      </c>
      <c r="V863" s="9">
        <f t="shared" si="329"/>
        <v>0</v>
      </c>
      <c r="W863" s="9">
        <f t="shared" si="330"/>
        <v>0</v>
      </c>
      <c r="X863" s="9">
        <f t="shared" si="331"/>
        <v>0</v>
      </c>
      <c r="Y863" s="9">
        <f t="shared" si="332"/>
        <v>0</v>
      </c>
      <c r="Z863" s="9">
        <f t="shared" si="333"/>
        <v>0</v>
      </c>
      <c r="AA863" s="10">
        <f t="shared" si="334"/>
        <v>0</v>
      </c>
    </row>
    <row r="864" spans="1:27" x14ac:dyDescent="0.3">
      <c r="A864" s="4" t="s">
        <v>1302</v>
      </c>
      <c r="B864" s="4">
        <f t="shared" si="312"/>
        <v>1</v>
      </c>
      <c r="C864" s="4">
        <f t="shared" si="313"/>
        <v>0</v>
      </c>
      <c r="D864" s="4">
        <f t="shared" si="314"/>
        <v>0</v>
      </c>
      <c r="E864" s="4">
        <f t="shared" si="315"/>
        <v>0</v>
      </c>
      <c r="F864" s="4">
        <f t="shared" si="316"/>
        <v>0</v>
      </c>
      <c r="G864" s="4">
        <f t="shared" si="317"/>
        <v>0</v>
      </c>
      <c r="I864" s="11" t="s">
        <v>994</v>
      </c>
      <c r="J864" s="9">
        <f t="shared" si="318"/>
        <v>0</v>
      </c>
      <c r="K864" s="9">
        <f t="shared" si="335"/>
        <v>0</v>
      </c>
      <c r="L864" s="9">
        <f t="shared" si="319"/>
        <v>0</v>
      </c>
      <c r="M864" s="9">
        <f t="shared" si="320"/>
        <v>0</v>
      </c>
      <c r="N864" s="9">
        <f t="shared" si="321"/>
        <v>0</v>
      </c>
      <c r="O864" s="9">
        <f t="shared" si="322"/>
        <v>0</v>
      </c>
      <c r="P864" s="9">
        <f t="shared" si="323"/>
        <v>1</v>
      </c>
      <c r="Q864" s="9">
        <f t="shared" si="324"/>
        <v>0</v>
      </c>
      <c r="R864" s="9">
        <f t="shared" si="325"/>
        <v>0</v>
      </c>
      <c r="S864" s="9">
        <f t="shared" si="326"/>
        <v>0</v>
      </c>
      <c r="T864" s="9">
        <f t="shared" si="327"/>
        <v>0</v>
      </c>
      <c r="U864" s="9">
        <f t="shared" si="328"/>
        <v>0</v>
      </c>
      <c r="V864" s="9">
        <f t="shared" si="329"/>
        <v>0</v>
      </c>
      <c r="W864" s="9">
        <f t="shared" si="330"/>
        <v>0</v>
      </c>
      <c r="X864" s="9">
        <f t="shared" si="331"/>
        <v>0</v>
      </c>
      <c r="Y864" s="9">
        <f t="shared" si="332"/>
        <v>0</v>
      </c>
      <c r="Z864" s="9">
        <f t="shared" si="333"/>
        <v>0</v>
      </c>
      <c r="AA864" s="10">
        <f t="shared" si="334"/>
        <v>0</v>
      </c>
    </row>
    <row r="865" spans="1:27" x14ac:dyDescent="0.3">
      <c r="A865" s="18" t="s">
        <v>1305</v>
      </c>
      <c r="B865" s="4">
        <f t="shared" si="312"/>
        <v>0</v>
      </c>
      <c r="C865" s="4">
        <f t="shared" si="313"/>
        <v>0</v>
      </c>
      <c r="D865" s="4">
        <f t="shared" si="314"/>
        <v>0</v>
      </c>
      <c r="E865" s="4">
        <f t="shared" si="315"/>
        <v>0</v>
      </c>
      <c r="F865" s="4">
        <f t="shared" si="316"/>
        <v>0</v>
      </c>
      <c r="G865" s="4">
        <f t="shared" si="317"/>
        <v>1</v>
      </c>
      <c r="I865" s="8" t="s">
        <v>994</v>
      </c>
      <c r="J865" s="9">
        <f t="shared" si="318"/>
        <v>0</v>
      </c>
      <c r="K865" s="9">
        <f t="shared" si="335"/>
        <v>0</v>
      </c>
      <c r="L865" s="9">
        <f t="shared" si="319"/>
        <v>0</v>
      </c>
      <c r="M865" s="9">
        <f t="shared" si="320"/>
        <v>0</v>
      </c>
      <c r="N865" s="9">
        <f t="shared" si="321"/>
        <v>0</v>
      </c>
      <c r="O865" s="9">
        <f t="shared" si="322"/>
        <v>0</v>
      </c>
      <c r="P865" s="9">
        <f t="shared" si="323"/>
        <v>1</v>
      </c>
      <c r="Q865" s="9">
        <f t="shared" si="324"/>
        <v>0</v>
      </c>
      <c r="R865" s="9">
        <f t="shared" si="325"/>
        <v>0</v>
      </c>
      <c r="S865" s="9">
        <f t="shared" si="326"/>
        <v>0</v>
      </c>
      <c r="T865" s="9">
        <f t="shared" si="327"/>
        <v>0</v>
      </c>
      <c r="U865" s="9">
        <f t="shared" si="328"/>
        <v>0</v>
      </c>
      <c r="V865" s="9">
        <f t="shared" si="329"/>
        <v>0</v>
      </c>
      <c r="W865" s="9">
        <f t="shared" si="330"/>
        <v>0</v>
      </c>
      <c r="X865" s="9">
        <f t="shared" si="331"/>
        <v>0</v>
      </c>
      <c r="Y865" s="9">
        <f t="shared" si="332"/>
        <v>0</v>
      </c>
      <c r="Z865" s="9">
        <f t="shared" si="333"/>
        <v>0</v>
      </c>
      <c r="AA865" s="10">
        <f t="shared" si="334"/>
        <v>0</v>
      </c>
    </row>
    <row r="866" spans="1:27" x14ac:dyDescent="0.3">
      <c r="A866" s="18" t="s">
        <v>1302</v>
      </c>
      <c r="B866" s="4">
        <f t="shared" si="312"/>
        <v>1</v>
      </c>
      <c r="C866" s="4">
        <f t="shared" si="313"/>
        <v>0</v>
      </c>
      <c r="D866" s="4">
        <f t="shared" si="314"/>
        <v>0</v>
      </c>
      <c r="E866" s="4">
        <f t="shared" si="315"/>
        <v>0</v>
      </c>
      <c r="F866" s="4">
        <f t="shared" si="316"/>
        <v>0</v>
      </c>
      <c r="G866" s="4">
        <f t="shared" si="317"/>
        <v>0</v>
      </c>
      <c r="I866" s="11" t="s">
        <v>977</v>
      </c>
      <c r="J866" s="9">
        <f t="shared" si="318"/>
        <v>1</v>
      </c>
      <c r="K866" s="9">
        <f t="shared" si="335"/>
        <v>0</v>
      </c>
      <c r="L866" s="9">
        <f t="shared" si="319"/>
        <v>0</v>
      </c>
      <c r="M866" s="9">
        <f t="shared" si="320"/>
        <v>0</v>
      </c>
      <c r="N866" s="9">
        <f t="shared" si="321"/>
        <v>0</v>
      </c>
      <c r="O866" s="9">
        <f t="shared" si="322"/>
        <v>0</v>
      </c>
      <c r="P866" s="9">
        <f t="shared" si="323"/>
        <v>0</v>
      </c>
      <c r="Q866" s="9">
        <f t="shared" si="324"/>
        <v>0</v>
      </c>
      <c r="R866" s="9">
        <f t="shared" si="325"/>
        <v>0</v>
      </c>
      <c r="S866" s="9">
        <f t="shared" si="326"/>
        <v>0</v>
      </c>
      <c r="T866" s="9">
        <f t="shared" si="327"/>
        <v>0</v>
      </c>
      <c r="U866" s="9">
        <f t="shared" si="328"/>
        <v>0</v>
      </c>
      <c r="V866" s="9">
        <f t="shared" si="329"/>
        <v>0</v>
      </c>
      <c r="W866" s="9">
        <f t="shared" si="330"/>
        <v>0</v>
      </c>
      <c r="X866" s="9">
        <f t="shared" si="331"/>
        <v>0</v>
      </c>
      <c r="Y866" s="9">
        <f t="shared" si="332"/>
        <v>0</v>
      </c>
      <c r="Z866" s="9">
        <f t="shared" si="333"/>
        <v>0</v>
      </c>
      <c r="AA866" s="10">
        <f t="shared" si="334"/>
        <v>0</v>
      </c>
    </row>
    <row r="867" spans="1:27" x14ac:dyDescent="0.3">
      <c r="A867" s="4" t="s">
        <v>1303</v>
      </c>
      <c r="B867" s="4">
        <f t="shared" si="312"/>
        <v>0</v>
      </c>
      <c r="C867" s="4">
        <f t="shared" si="313"/>
        <v>0</v>
      </c>
      <c r="D867" s="4">
        <f t="shared" si="314"/>
        <v>0</v>
      </c>
      <c r="E867" s="4">
        <f t="shared" si="315"/>
        <v>0</v>
      </c>
      <c r="F867" s="4">
        <f t="shared" si="316"/>
        <v>1</v>
      </c>
      <c r="G867" s="4">
        <f t="shared" si="317"/>
        <v>0</v>
      </c>
      <c r="I867" s="8" t="s">
        <v>988</v>
      </c>
      <c r="J867" s="9">
        <f t="shared" si="318"/>
        <v>0</v>
      </c>
      <c r="K867" s="9">
        <f t="shared" si="335"/>
        <v>0</v>
      </c>
      <c r="L867" s="9">
        <f t="shared" si="319"/>
        <v>1</v>
      </c>
      <c r="M867" s="9">
        <f t="shared" si="320"/>
        <v>0</v>
      </c>
      <c r="N867" s="9">
        <f t="shared" si="321"/>
        <v>0</v>
      </c>
      <c r="O867" s="9">
        <f t="shared" si="322"/>
        <v>0</v>
      </c>
      <c r="P867" s="9">
        <f t="shared" si="323"/>
        <v>0</v>
      </c>
      <c r="Q867" s="9">
        <f t="shared" si="324"/>
        <v>0</v>
      </c>
      <c r="R867" s="9">
        <f t="shared" si="325"/>
        <v>0</v>
      </c>
      <c r="S867" s="9">
        <f t="shared" si="326"/>
        <v>0</v>
      </c>
      <c r="T867" s="9">
        <f t="shared" si="327"/>
        <v>0</v>
      </c>
      <c r="U867" s="9">
        <f t="shared" si="328"/>
        <v>0</v>
      </c>
      <c r="V867" s="9">
        <f t="shared" si="329"/>
        <v>0</v>
      </c>
      <c r="W867" s="9">
        <f t="shared" si="330"/>
        <v>0</v>
      </c>
      <c r="X867" s="9">
        <f t="shared" si="331"/>
        <v>0</v>
      </c>
      <c r="Y867" s="9">
        <f t="shared" si="332"/>
        <v>0</v>
      </c>
      <c r="Z867" s="9">
        <f t="shared" si="333"/>
        <v>0</v>
      </c>
      <c r="AA867" s="10">
        <f t="shared" si="334"/>
        <v>0</v>
      </c>
    </row>
    <row r="868" spans="1:27" x14ac:dyDescent="0.3">
      <c r="A868" s="18" t="s">
        <v>1303</v>
      </c>
      <c r="B868" s="4">
        <f t="shared" si="312"/>
        <v>0</v>
      </c>
      <c r="C868" s="4">
        <f t="shared" si="313"/>
        <v>0</v>
      </c>
      <c r="D868" s="4">
        <f t="shared" si="314"/>
        <v>0</v>
      </c>
      <c r="E868" s="4">
        <f t="shared" si="315"/>
        <v>0</v>
      </c>
      <c r="F868" s="4">
        <f t="shared" si="316"/>
        <v>1</v>
      </c>
      <c r="G868" s="4">
        <f t="shared" si="317"/>
        <v>0</v>
      </c>
      <c r="I868" s="11" t="s">
        <v>1044</v>
      </c>
      <c r="J868" s="9">
        <f t="shared" si="318"/>
        <v>0</v>
      </c>
      <c r="K868" s="9">
        <f t="shared" si="335"/>
        <v>0</v>
      </c>
      <c r="L868" s="9">
        <f t="shared" si="319"/>
        <v>0</v>
      </c>
      <c r="M868" s="9">
        <f t="shared" si="320"/>
        <v>0</v>
      </c>
      <c r="N868" s="9">
        <f t="shared" si="321"/>
        <v>0</v>
      </c>
      <c r="O868" s="9">
        <f t="shared" si="322"/>
        <v>0</v>
      </c>
      <c r="P868" s="9">
        <f t="shared" si="323"/>
        <v>0</v>
      </c>
      <c r="Q868" s="9">
        <f t="shared" si="324"/>
        <v>0</v>
      </c>
      <c r="R868" s="9">
        <f t="shared" si="325"/>
        <v>0</v>
      </c>
      <c r="S868" s="9">
        <f t="shared" si="326"/>
        <v>0</v>
      </c>
      <c r="T868" s="9">
        <f t="shared" si="327"/>
        <v>0</v>
      </c>
      <c r="U868" s="9">
        <f t="shared" si="328"/>
        <v>1</v>
      </c>
      <c r="V868" s="9">
        <f t="shared" si="329"/>
        <v>0</v>
      </c>
      <c r="W868" s="9">
        <f t="shared" si="330"/>
        <v>0</v>
      </c>
      <c r="X868" s="9">
        <f t="shared" si="331"/>
        <v>0</v>
      </c>
      <c r="Y868" s="9">
        <f t="shared" si="332"/>
        <v>0</v>
      </c>
      <c r="Z868" s="9">
        <f t="shared" si="333"/>
        <v>0</v>
      </c>
      <c r="AA868" s="10">
        <f t="shared" si="334"/>
        <v>0</v>
      </c>
    </row>
    <row r="869" spans="1:27" x14ac:dyDescent="0.3">
      <c r="A869" s="4" t="s">
        <v>1302</v>
      </c>
      <c r="B869" s="4">
        <f t="shared" si="312"/>
        <v>1</v>
      </c>
      <c r="C869" s="4">
        <f t="shared" si="313"/>
        <v>0</v>
      </c>
      <c r="D869" s="4">
        <f t="shared" si="314"/>
        <v>0</v>
      </c>
      <c r="E869" s="4">
        <f t="shared" si="315"/>
        <v>0</v>
      </c>
      <c r="F869" s="4">
        <f t="shared" si="316"/>
        <v>0</v>
      </c>
      <c r="G869" s="4">
        <f t="shared" si="317"/>
        <v>0</v>
      </c>
      <c r="I869" s="8" t="s">
        <v>988</v>
      </c>
      <c r="J869" s="9">
        <f t="shared" si="318"/>
        <v>0</v>
      </c>
      <c r="K869" s="9">
        <f t="shared" si="335"/>
        <v>0</v>
      </c>
      <c r="L869" s="9">
        <f t="shared" si="319"/>
        <v>1</v>
      </c>
      <c r="M869" s="9">
        <f t="shared" si="320"/>
        <v>0</v>
      </c>
      <c r="N869" s="9">
        <f t="shared" si="321"/>
        <v>0</v>
      </c>
      <c r="O869" s="9">
        <f t="shared" si="322"/>
        <v>0</v>
      </c>
      <c r="P869" s="9">
        <f t="shared" si="323"/>
        <v>0</v>
      </c>
      <c r="Q869" s="9">
        <f t="shared" si="324"/>
        <v>0</v>
      </c>
      <c r="R869" s="9">
        <f t="shared" si="325"/>
        <v>0</v>
      </c>
      <c r="S869" s="9">
        <f t="shared" si="326"/>
        <v>0</v>
      </c>
      <c r="T869" s="9">
        <f t="shared" si="327"/>
        <v>0</v>
      </c>
      <c r="U869" s="9">
        <f t="shared" si="328"/>
        <v>0</v>
      </c>
      <c r="V869" s="9">
        <f t="shared" si="329"/>
        <v>0</v>
      </c>
      <c r="W869" s="9">
        <f t="shared" si="330"/>
        <v>0</v>
      </c>
      <c r="X869" s="9">
        <f t="shared" si="331"/>
        <v>0</v>
      </c>
      <c r="Y869" s="9">
        <f t="shared" si="332"/>
        <v>0</v>
      </c>
      <c r="Z869" s="9">
        <f t="shared" si="333"/>
        <v>0</v>
      </c>
      <c r="AA869" s="10">
        <f t="shared" si="334"/>
        <v>0</v>
      </c>
    </row>
    <row r="870" spans="1:27" x14ac:dyDescent="0.3">
      <c r="A870" s="18" t="s">
        <v>1302</v>
      </c>
      <c r="B870" s="4">
        <f t="shared" si="312"/>
        <v>1</v>
      </c>
      <c r="C870" s="4">
        <f t="shared" si="313"/>
        <v>0</v>
      </c>
      <c r="D870" s="4">
        <f t="shared" si="314"/>
        <v>0</v>
      </c>
      <c r="E870" s="4">
        <f t="shared" si="315"/>
        <v>0</v>
      </c>
      <c r="F870" s="4">
        <f t="shared" si="316"/>
        <v>0</v>
      </c>
      <c r="G870" s="4">
        <f t="shared" si="317"/>
        <v>0</v>
      </c>
      <c r="I870" s="11" t="s">
        <v>988</v>
      </c>
      <c r="J870" s="9">
        <f t="shared" si="318"/>
        <v>0</v>
      </c>
      <c r="K870" s="9">
        <f t="shared" si="335"/>
        <v>0</v>
      </c>
      <c r="L870" s="9">
        <f t="shared" si="319"/>
        <v>1</v>
      </c>
      <c r="M870" s="9">
        <f t="shared" si="320"/>
        <v>0</v>
      </c>
      <c r="N870" s="9">
        <f t="shared" si="321"/>
        <v>0</v>
      </c>
      <c r="O870" s="9">
        <f t="shared" si="322"/>
        <v>0</v>
      </c>
      <c r="P870" s="9">
        <f t="shared" si="323"/>
        <v>0</v>
      </c>
      <c r="Q870" s="9">
        <f t="shared" si="324"/>
        <v>0</v>
      </c>
      <c r="R870" s="9">
        <f t="shared" si="325"/>
        <v>0</v>
      </c>
      <c r="S870" s="9">
        <f t="shared" si="326"/>
        <v>0</v>
      </c>
      <c r="T870" s="9">
        <f t="shared" si="327"/>
        <v>0</v>
      </c>
      <c r="U870" s="9">
        <f t="shared" si="328"/>
        <v>0</v>
      </c>
      <c r="V870" s="9">
        <f t="shared" si="329"/>
        <v>0</v>
      </c>
      <c r="W870" s="9">
        <f t="shared" si="330"/>
        <v>0</v>
      </c>
      <c r="X870" s="9">
        <f t="shared" si="331"/>
        <v>0</v>
      </c>
      <c r="Y870" s="9">
        <f t="shared" si="332"/>
        <v>0</v>
      </c>
      <c r="Z870" s="9">
        <f t="shared" si="333"/>
        <v>0</v>
      </c>
      <c r="AA870" s="10">
        <f t="shared" si="334"/>
        <v>0</v>
      </c>
    </row>
    <row r="871" spans="1:27" x14ac:dyDescent="0.3">
      <c r="A871" s="4" t="s">
        <v>1305</v>
      </c>
      <c r="B871" s="4">
        <f t="shared" si="312"/>
        <v>0</v>
      </c>
      <c r="C871" s="4">
        <f t="shared" si="313"/>
        <v>0</v>
      </c>
      <c r="D871" s="4">
        <f t="shared" si="314"/>
        <v>0</v>
      </c>
      <c r="E871" s="4">
        <f t="shared" si="315"/>
        <v>0</v>
      </c>
      <c r="F871" s="4">
        <f t="shared" si="316"/>
        <v>0</v>
      </c>
      <c r="G871" s="4">
        <f t="shared" si="317"/>
        <v>1</v>
      </c>
      <c r="I871" s="8" t="s">
        <v>1294</v>
      </c>
      <c r="J871" s="9">
        <f t="shared" si="318"/>
        <v>0</v>
      </c>
      <c r="K871" s="9">
        <f t="shared" si="335"/>
        <v>0</v>
      </c>
      <c r="L871" s="9">
        <f t="shared" si="319"/>
        <v>0</v>
      </c>
      <c r="M871" s="9">
        <f t="shared" si="320"/>
        <v>0</v>
      </c>
      <c r="N871" s="9">
        <f t="shared" si="321"/>
        <v>0</v>
      </c>
      <c r="O871" s="9">
        <f t="shared" si="322"/>
        <v>0</v>
      </c>
      <c r="P871" s="9">
        <f t="shared" si="323"/>
        <v>0</v>
      </c>
      <c r="Q871" s="9">
        <f t="shared" si="324"/>
        <v>0</v>
      </c>
      <c r="R871" s="9">
        <f t="shared" si="325"/>
        <v>0</v>
      </c>
      <c r="S871" s="9">
        <f t="shared" si="326"/>
        <v>0</v>
      </c>
      <c r="T871" s="9">
        <f t="shared" si="327"/>
        <v>0</v>
      </c>
      <c r="U871" s="9">
        <f t="shared" si="328"/>
        <v>0</v>
      </c>
      <c r="V871" s="9">
        <f t="shared" si="329"/>
        <v>0</v>
      </c>
      <c r="W871" s="9">
        <f t="shared" si="330"/>
        <v>0</v>
      </c>
      <c r="X871" s="9">
        <f t="shared" si="331"/>
        <v>0</v>
      </c>
      <c r="Y871" s="9">
        <f t="shared" si="332"/>
        <v>0</v>
      </c>
      <c r="Z871" s="9">
        <f t="shared" si="333"/>
        <v>0</v>
      </c>
      <c r="AA871" s="10">
        <f t="shared" si="334"/>
        <v>0</v>
      </c>
    </row>
    <row r="872" spans="1:27" x14ac:dyDescent="0.3">
      <c r="A872" s="18" t="s">
        <v>1305</v>
      </c>
      <c r="B872" s="4">
        <f t="shared" si="312"/>
        <v>0</v>
      </c>
      <c r="C872" s="4">
        <f t="shared" si="313"/>
        <v>0</v>
      </c>
      <c r="D872" s="4">
        <f t="shared" si="314"/>
        <v>0</v>
      </c>
      <c r="E872" s="4">
        <f t="shared" si="315"/>
        <v>0</v>
      </c>
      <c r="F872" s="4">
        <f t="shared" si="316"/>
        <v>0</v>
      </c>
      <c r="G872" s="4">
        <f t="shared" si="317"/>
        <v>1</v>
      </c>
      <c r="I872" s="11" t="s">
        <v>977</v>
      </c>
      <c r="J872" s="9">
        <f t="shared" si="318"/>
        <v>1</v>
      </c>
      <c r="K872" s="9">
        <f t="shared" si="335"/>
        <v>0</v>
      </c>
      <c r="L872" s="9">
        <f t="shared" si="319"/>
        <v>0</v>
      </c>
      <c r="M872" s="9">
        <f t="shared" si="320"/>
        <v>0</v>
      </c>
      <c r="N872" s="9">
        <f t="shared" si="321"/>
        <v>0</v>
      </c>
      <c r="O872" s="9">
        <f t="shared" si="322"/>
        <v>0</v>
      </c>
      <c r="P872" s="9">
        <f t="shared" si="323"/>
        <v>0</v>
      </c>
      <c r="Q872" s="9">
        <f t="shared" si="324"/>
        <v>0</v>
      </c>
      <c r="R872" s="9">
        <f t="shared" si="325"/>
        <v>0</v>
      </c>
      <c r="S872" s="9">
        <f t="shared" si="326"/>
        <v>0</v>
      </c>
      <c r="T872" s="9">
        <f t="shared" si="327"/>
        <v>0</v>
      </c>
      <c r="U872" s="9">
        <f t="shared" si="328"/>
        <v>0</v>
      </c>
      <c r="V872" s="9">
        <f t="shared" si="329"/>
        <v>0</v>
      </c>
      <c r="W872" s="9">
        <f t="shared" si="330"/>
        <v>0</v>
      </c>
      <c r="X872" s="9">
        <f t="shared" si="331"/>
        <v>0</v>
      </c>
      <c r="Y872" s="9">
        <f t="shared" si="332"/>
        <v>0</v>
      </c>
      <c r="Z872" s="9">
        <f t="shared" si="333"/>
        <v>0</v>
      </c>
      <c r="AA872" s="10">
        <f t="shared" si="334"/>
        <v>0</v>
      </c>
    </row>
    <row r="873" spans="1:27" x14ac:dyDescent="0.3">
      <c r="A873" s="4" t="s">
        <v>1305</v>
      </c>
      <c r="B873" s="4">
        <f t="shared" si="312"/>
        <v>0</v>
      </c>
      <c r="C873" s="4">
        <f t="shared" si="313"/>
        <v>0</v>
      </c>
      <c r="D873" s="4">
        <f t="shared" si="314"/>
        <v>0</v>
      </c>
      <c r="E873" s="4">
        <f t="shared" si="315"/>
        <v>0</v>
      </c>
      <c r="F873" s="4">
        <f t="shared" si="316"/>
        <v>0</v>
      </c>
      <c r="G873" s="4">
        <f t="shared" si="317"/>
        <v>1</v>
      </c>
      <c r="I873" s="8" t="s">
        <v>1044</v>
      </c>
      <c r="J873" s="9">
        <f t="shared" si="318"/>
        <v>0</v>
      </c>
      <c r="K873" s="9">
        <f t="shared" si="335"/>
        <v>0</v>
      </c>
      <c r="L873" s="9">
        <f t="shared" si="319"/>
        <v>0</v>
      </c>
      <c r="M873" s="9">
        <f t="shared" si="320"/>
        <v>0</v>
      </c>
      <c r="N873" s="9">
        <f t="shared" si="321"/>
        <v>0</v>
      </c>
      <c r="O873" s="9">
        <f t="shared" si="322"/>
        <v>0</v>
      </c>
      <c r="P873" s="9">
        <f t="shared" si="323"/>
        <v>0</v>
      </c>
      <c r="Q873" s="9">
        <f t="shared" si="324"/>
        <v>0</v>
      </c>
      <c r="R873" s="9">
        <f t="shared" si="325"/>
        <v>0</v>
      </c>
      <c r="S873" s="9">
        <f t="shared" si="326"/>
        <v>0</v>
      </c>
      <c r="T873" s="9">
        <f t="shared" si="327"/>
        <v>0</v>
      </c>
      <c r="U873" s="9">
        <f t="shared" si="328"/>
        <v>1</v>
      </c>
      <c r="V873" s="9">
        <f t="shared" si="329"/>
        <v>0</v>
      </c>
      <c r="W873" s="9">
        <f t="shared" si="330"/>
        <v>0</v>
      </c>
      <c r="X873" s="9">
        <f t="shared" si="331"/>
        <v>0</v>
      </c>
      <c r="Y873" s="9">
        <f t="shared" si="332"/>
        <v>0</v>
      </c>
      <c r="Z873" s="9">
        <f t="shared" si="333"/>
        <v>0</v>
      </c>
      <c r="AA873" s="10">
        <f t="shared" si="334"/>
        <v>0</v>
      </c>
    </row>
    <row r="874" spans="1:27" x14ac:dyDescent="0.3">
      <c r="A874" s="18" t="s">
        <v>1304</v>
      </c>
      <c r="B874" s="4">
        <f t="shared" si="312"/>
        <v>0</v>
      </c>
      <c r="C874" s="4">
        <f t="shared" si="313"/>
        <v>1</v>
      </c>
      <c r="D874" s="4">
        <f t="shared" si="314"/>
        <v>0</v>
      </c>
      <c r="E874" s="4">
        <f t="shared" si="315"/>
        <v>0</v>
      </c>
      <c r="F874" s="4">
        <f t="shared" si="316"/>
        <v>0</v>
      </c>
      <c r="G874" s="4">
        <f t="shared" si="317"/>
        <v>0</v>
      </c>
      <c r="I874" s="11" t="s">
        <v>988</v>
      </c>
      <c r="J874" s="9">
        <f t="shared" si="318"/>
        <v>0</v>
      </c>
      <c r="K874" s="9">
        <f t="shared" si="335"/>
        <v>0</v>
      </c>
      <c r="L874" s="9">
        <f t="shared" si="319"/>
        <v>1</v>
      </c>
      <c r="M874" s="9">
        <f t="shared" si="320"/>
        <v>0</v>
      </c>
      <c r="N874" s="9">
        <f t="shared" si="321"/>
        <v>0</v>
      </c>
      <c r="O874" s="9">
        <f t="shared" si="322"/>
        <v>0</v>
      </c>
      <c r="P874" s="9">
        <f t="shared" si="323"/>
        <v>0</v>
      </c>
      <c r="Q874" s="9">
        <f t="shared" si="324"/>
        <v>0</v>
      </c>
      <c r="R874" s="9">
        <f t="shared" si="325"/>
        <v>0</v>
      </c>
      <c r="S874" s="9">
        <f t="shared" si="326"/>
        <v>0</v>
      </c>
      <c r="T874" s="9">
        <f t="shared" si="327"/>
        <v>0</v>
      </c>
      <c r="U874" s="9">
        <f t="shared" si="328"/>
        <v>0</v>
      </c>
      <c r="V874" s="9">
        <f t="shared" si="329"/>
        <v>0</v>
      </c>
      <c r="W874" s="9">
        <f t="shared" si="330"/>
        <v>0</v>
      </c>
      <c r="X874" s="9">
        <f t="shared" si="331"/>
        <v>0</v>
      </c>
      <c r="Y874" s="9">
        <f t="shared" si="332"/>
        <v>0</v>
      </c>
      <c r="Z874" s="9">
        <f t="shared" si="333"/>
        <v>0</v>
      </c>
      <c r="AA874" s="10">
        <f t="shared" si="334"/>
        <v>0</v>
      </c>
    </row>
    <row r="875" spans="1:27" x14ac:dyDescent="0.3">
      <c r="A875" s="4" t="s">
        <v>1304</v>
      </c>
      <c r="B875" s="4">
        <f t="shared" si="312"/>
        <v>0</v>
      </c>
      <c r="C875" s="4">
        <f t="shared" si="313"/>
        <v>1</v>
      </c>
      <c r="D875" s="4">
        <f t="shared" si="314"/>
        <v>0</v>
      </c>
      <c r="E875" s="4">
        <f t="shared" si="315"/>
        <v>0</v>
      </c>
      <c r="F875" s="4">
        <f t="shared" si="316"/>
        <v>0</v>
      </c>
      <c r="G875" s="4">
        <f t="shared" si="317"/>
        <v>0</v>
      </c>
      <c r="I875" s="8" t="s">
        <v>977</v>
      </c>
      <c r="J875" s="9">
        <f t="shared" si="318"/>
        <v>1</v>
      </c>
      <c r="K875" s="9">
        <f t="shared" si="335"/>
        <v>0</v>
      </c>
      <c r="L875" s="9">
        <f t="shared" si="319"/>
        <v>0</v>
      </c>
      <c r="M875" s="9">
        <f t="shared" si="320"/>
        <v>0</v>
      </c>
      <c r="N875" s="9">
        <f t="shared" si="321"/>
        <v>0</v>
      </c>
      <c r="O875" s="9">
        <f t="shared" si="322"/>
        <v>0</v>
      </c>
      <c r="P875" s="9">
        <f t="shared" si="323"/>
        <v>0</v>
      </c>
      <c r="Q875" s="9">
        <f t="shared" si="324"/>
        <v>0</v>
      </c>
      <c r="R875" s="9">
        <f t="shared" si="325"/>
        <v>0</v>
      </c>
      <c r="S875" s="9">
        <f t="shared" si="326"/>
        <v>0</v>
      </c>
      <c r="T875" s="9">
        <f t="shared" si="327"/>
        <v>0</v>
      </c>
      <c r="U875" s="9">
        <f t="shared" si="328"/>
        <v>0</v>
      </c>
      <c r="V875" s="9">
        <f t="shared" si="329"/>
        <v>0</v>
      </c>
      <c r="W875" s="9">
        <f t="shared" si="330"/>
        <v>0</v>
      </c>
      <c r="X875" s="9">
        <f t="shared" si="331"/>
        <v>0</v>
      </c>
      <c r="Y875" s="9">
        <f t="shared" si="332"/>
        <v>0</v>
      </c>
      <c r="Z875" s="9">
        <f t="shared" si="333"/>
        <v>0</v>
      </c>
      <c r="AA875" s="10">
        <f t="shared" si="334"/>
        <v>0</v>
      </c>
    </row>
    <row r="876" spans="1:27" x14ac:dyDescent="0.3">
      <c r="A876" s="18" t="s">
        <v>1302</v>
      </c>
      <c r="B876" s="4">
        <f t="shared" si="312"/>
        <v>1</v>
      </c>
      <c r="C876" s="4">
        <f t="shared" si="313"/>
        <v>0</v>
      </c>
      <c r="D876" s="4">
        <f t="shared" si="314"/>
        <v>0</v>
      </c>
      <c r="E876" s="4">
        <f t="shared" si="315"/>
        <v>0</v>
      </c>
      <c r="F876" s="4">
        <f t="shared" si="316"/>
        <v>0</v>
      </c>
      <c r="G876" s="4">
        <f t="shared" si="317"/>
        <v>0</v>
      </c>
      <c r="I876" s="11" t="s">
        <v>988</v>
      </c>
      <c r="J876" s="9">
        <f t="shared" si="318"/>
        <v>0</v>
      </c>
      <c r="K876" s="9">
        <f t="shared" si="335"/>
        <v>0</v>
      </c>
      <c r="L876" s="9">
        <f t="shared" si="319"/>
        <v>1</v>
      </c>
      <c r="M876" s="9">
        <f t="shared" si="320"/>
        <v>0</v>
      </c>
      <c r="N876" s="9">
        <f t="shared" si="321"/>
        <v>0</v>
      </c>
      <c r="O876" s="9">
        <f t="shared" si="322"/>
        <v>0</v>
      </c>
      <c r="P876" s="9">
        <f t="shared" si="323"/>
        <v>0</v>
      </c>
      <c r="Q876" s="9">
        <f t="shared" si="324"/>
        <v>0</v>
      </c>
      <c r="R876" s="9">
        <f t="shared" si="325"/>
        <v>0</v>
      </c>
      <c r="S876" s="9">
        <f t="shared" si="326"/>
        <v>0</v>
      </c>
      <c r="T876" s="9">
        <f t="shared" si="327"/>
        <v>0</v>
      </c>
      <c r="U876" s="9">
        <f t="shared" si="328"/>
        <v>0</v>
      </c>
      <c r="V876" s="9">
        <f t="shared" si="329"/>
        <v>0</v>
      </c>
      <c r="W876" s="9">
        <f t="shared" si="330"/>
        <v>0</v>
      </c>
      <c r="X876" s="9">
        <f t="shared" si="331"/>
        <v>0</v>
      </c>
      <c r="Y876" s="9">
        <f t="shared" si="332"/>
        <v>0</v>
      </c>
      <c r="Z876" s="9">
        <f t="shared" si="333"/>
        <v>0</v>
      </c>
      <c r="AA876" s="10">
        <f t="shared" si="334"/>
        <v>0</v>
      </c>
    </row>
    <row r="877" spans="1:27" x14ac:dyDescent="0.3">
      <c r="A877" s="4" t="s">
        <v>1294</v>
      </c>
      <c r="B877" s="4">
        <f t="shared" si="312"/>
        <v>0</v>
      </c>
      <c r="C877" s="4">
        <f t="shared" si="313"/>
        <v>0</v>
      </c>
      <c r="D877" s="4">
        <f t="shared" si="314"/>
        <v>0</v>
      </c>
      <c r="E877" s="4">
        <f t="shared" si="315"/>
        <v>0</v>
      </c>
      <c r="F877" s="4">
        <f t="shared" si="316"/>
        <v>0</v>
      </c>
      <c r="G877" s="4">
        <f t="shared" si="317"/>
        <v>0</v>
      </c>
      <c r="I877" s="8" t="s">
        <v>996</v>
      </c>
      <c r="J877" s="9">
        <f t="shared" si="318"/>
        <v>0</v>
      </c>
      <c r="K877" s="9">
        <f t="shared" si="335"/>
        <v>0</v>
      </c>
      <c r="L877" s="9">
        <f t="shared" si="319"/>
        <v>0</v>
      </c>
      <c r="M877" s="9">
        <f t="shared" si="320"/>
        <v>0</v>
      </c>
      <c r="N877" s="9">
        <f t="shared" si="321"/>
        <v>0</v>
      </c>
      <c r="O877" s="9">
        <f t="shared" si="322"/>
        <v>0</v>
      </c>
      <c r="P877" s="9">
        <f t="shared" si="323"/>
        <v>0</v>
      </c>
      <c r="Q877" s="9">
        <f t="shared" si="324"/>
        <v>1</v>
      </c>
      <c r="R877" s="9">
        <f t="shared" si="325"/>
        <v>0</v>
      </c>
      <c r="S877" s="9">
        <f t="shared" si="326"/>
        <v>0</v>
      </c>
      <c r="T877" s="9">
        <f t="shared" si="327"/>
        <v>0</v>
      </c>
      <c r="U877" s="9">
        <f t="shared" si="328"/>
        <v>0</v>
      </c>
      <c r="V877" s="9">
        <f t="shared" si="329"/>
        <v>0</v>
      </c>
      <c r="W877" s="9">
        <f t="shared" si="330"/>
        <v>0</v>
      </c>
      <c r="X877" s="9">
        <f t="shared" si="331"/>
        <v>0</v>
      </c>
      <c r="Y877" s="9">
        <f t="shared" si="332"/>
        <v>0</v>
      </c>
      <c r="Z877" s="9">
        <f t="shared" si="333"/>
        <v>0</v>
      </c>
      <c r="AA877" s="10">
        <f t="shared" si="334"/>
        <v>0</v>
      </c>
    </row>
    <row r="878" spans="1:27" x14ac:dyDescent="0.3">
      <c r="A878" s="18" t="s">
        <v>1303</v>
      </c>
      <c r="B878" s="4">
        <f t="shared" si="312"/>
        <v>0</v>
      </c>
      <c r="C878" s="4">
        <f t="shared" si="313"/>
        <v>0</v>
      </c>
      <c r="D878" s="4">
        <f t="shared" si="314"/>
        <v>0</v>
      </c>
      <c r="E878" s="4">
        <f t="shared" si="315"/>
        <v>0</v>
      </c>
      <c r="F878" s="4">
        <f t="shared" si="316"/>
        <v>1</v>
      </c>
      <c r="G878" s="4">
        <f t="shared" si="317"/>
        <v>0</v>
      </c>
      <c r="I878" s="11" t="s">
        <v>977</v>
      </c>
      <c r="J878" s="9">
        <f t="shared" si="318"/>
        <v>1</v>
      </c>
      <c r="K878" s="9">
        <f t="shared" si="335"/>
        <v>0</v>
      </c>
      <c r="L878" s="9">
        <f t="shared" si="319"/>
        <v>0</v>
      </c>
      <c r="M878" s="9">
        <f t="shared" si="320"/>
        <v>0</v>
      </c>
      <c r="N878" s="9">
        <f t="shared" si="321"/>
        <v>0</v>
      </c>
      <c r="O878" s="9">
        <f t="shared" si="322"/>
        <v>0</v>
      </c>
      <c r="P878" s="9">
        <f t="shared" si="323"/>
        <v>0</v>
      </c>
      <c r="Q878" s="9">
        <f t="shared" si="324"/>
        <v>0</v>
      </c>
      <c r="R878" s="9">
        <f t="shared" si="325"/>
        <v>0</v>
      </c>
      <c r="S878" s="9">
        <f t="shared" si="326"/>
        <v>0</v>
      </c>
      <c r="T878" s="9">
        <f t="shared" si="327"/>
        <v>0</v>
      </c>
      <c r="U878" s="9">
        <f t="shared" si="328"/>
        <v>0</v>
      </c>
      <c r="V878" s="9">
        <f t="shared" si="329"/>
        <v>0</v>
      </c>
      <c r="W878" s="9">
        <f t="shared" si="330"/>
        <v>0</v>
      </c>
      <c r="X878" s="9">
        <f t="shared" si="331"/>
        <v>0</v>
      </c>
      <c r="Y878" s="9">
        <f t="shared" si="332"/>
        <v>0</v>
      </c>
      <c r="Z878" s="9">
        <f t="shared" si="333"/>
        <v>0</v>
      </c>
      <c r="AA878" s="10">
        <f t="shared" si="334"/>
        <v>0</v>
      </c>
    </row>
    <row r="879" spans="1:27" x14ac:dyDescent="0.3">
      <c r="A879" s="4" t="s">
        <v>1303</v>
      </c>
      <c r="B879" s="4">
        <f t="shared" si="312"/>
        <v>0</v>
      </c>
      <c r="C879" s="4">
        <f t="shared" si="313"/>
        <v>0</v>
      </c>
      <c r="D879" s="4">
        <f t="shared" si="314"/>
        <v>0</v>
      </c>
      <c r="E879" s="4">
        <f t="shared" si="315"/>
        <v>0</v>
      </c>
      <c r="F879" s="4">
        <f t="shared" si="316"/>
        <v>1</v>
      </c>
      <c r="G879" s="4">
        <f t="shared" si="317"/>
        <v>0</v>
      </c>
      <c r="I879" s="8" t="s">
        <v>988</v>
      </c>
      <c r="J879" s="9">
        <f t="shared" si="318"/>
        <v>0</v>
      </c>
      <c r="K879" s="9">
        <f t="shared" si="335"/>
        <v>0</v>
      </c>
      <c r="L879" s="9">
        <f t="shared" si="319"/>
        <v>1</v>
      </c>
      <c r="M879" s="9">
        <f t="shared" si="320"/>
        <v>0</v>
      </c>
      <c r="N879" s="9">
        <f t="shared" si="321"/>
        <v>0</v>
      </c>
      <c r="O879" s="9">
        <f t="shared" si="322"/>
        <v>0</v>
      </c>
      <c r="P879" s="9">
        <f t="shared" si="323"/>
        <v>0</v>
      </c>
      <c r="Q879" s="9">
        <f t="shared" si="324"/>
        <v>0</v>
      </c>
      <c r="R879" s="9">
        <f t="shared" si="325"/>
        <v>0</v>
      </c>
      <c r="S879" s="9">
        <f t="shared" si="326"/>
        <v>0</v>
      </c>
      <c r="T879" s="9">
        <f t="shared" si="327"/>
        <v>0</v>
      </c>
      <c r="U879" s="9">
        <f t="shared" si="328"/>
        <v>0</v>
      </c>
      <c r="V879" s="9">
        <f t="shared" si="329"/>
        <v>0</v>
      </c>
      <c r="W879" s="9">
        <f t="shared" si="330"/>
        <v>0</v>
      </c>
      <c r="X879" s="9">
        <f t="shared" si="331"/>
        <v>0</v>
      </c>
      <c r="Y879" s="9">
        <f t="shared" si="332"/>
        <v>0</v>
      </c>
      <c r="Z879" s="9">
        <f t="shared" si="333"/>
        <v>0</v>
      </c>
      <c r="AA879" s="10">
        <f t="shared" si="334"/>
        <v>0</v>
      </c>
    </row>
    <row r="880" spans="1:27" x14ac:dyDescent="0.3">
      <c r="A880" s="18" t="s">
        <v>1303</v>
      </c>
      <c r="B880" s="4">
        <f t="shared" si="312"/>
        <v>0</v>
      </c>
      <c r="C880" s="4">
        <f t="shared" si="313"/>
        <v>0</v>
      </c>
      <c r="D880" s="4">
        <f t="shared" si="314"/>
        <v>0</v>
      </c>
      <c r="E880" s="4">
        <f t="shared" si="315"/>
        <v>0</v>
      </c>
      <c r="F880" s="4">
        <f t="shared" si="316"/>
        <v>1</v>
      </c>
      <c r="G880" s="4">
        <f t="shared" si="317"/>
        <v>0</v>
      </c>
      <c r="I880" s="11" t="s">
        <v>977</v>
      </c>
      <c r="J880" s="9">
        <f t="shared" si="318"/>
        <v>1</v>
      </c>
      <c r="K880" s="9">
        <f t="shared" si="335"/>
        <v>0</v>
      </c>
      <c r="L880" s="9">
        <f t="shared" si="319"/>
        <v>0</v>
      </c>
      <c r="M880" s="9">
        <f t="shared" si="320"/>
        <v>0</v>
      </c>
      <c r="N880" s="9">
        <f t="shared" si="321"/>
        <v>0</v>
      </c>
      <c r="O880" s="9">
        <f t="shared" si="322"/>
        <v>0</v>
      </c>
      <c r="P880" s="9">
        <f t="shared" si="323"/>
        <v>0</v>
      </c>
      <c r="Q880" s="9">
        <f t="shared" si="324"/>
        <v>0</v>
      </c>
      <c r="R880" s="9">
        <f t="shared" si="325"/>
        <v>0</v>
      </c>
      <c r="S880" s="9">
        <f t="shared" si="326"/>
        <v>0</v>
      </c>
      <c r="T880" s="9">
        <f t="shared" si="327"/>
        <v>0</v>
      </c>
      <c r="U880" s="9">
        <f t="shared" si="328"/>
        <v>0</v>
      </c>
      <c r="V880" s="9">
        <f t="shared" si="329"/>
        <v>0</v>
      </c>
      <c r="W880" s="9">
        <f t="shared" si="330"/>
        <v>0</v>
      </c>
      <c r="X880" s="9">
        <f t="shared" si="331"/>
        <v>0</v>
      </c>
      <c r="Y880" s="9">
        <f t="shared" si="332"/>
        <v>0</v>
      </c>
      <c r="Z880" s="9">
        <f t="shared" si="333"/>
        <v>0</v>
      </c>
      <c r="AA880" s="10">
        <f t="shared" si="334"/>
        <v>0</v>
      </c>
    </row>
    <row r="881" spans="1:27" x14ac:dyDescent="0.3">
      <c r="A881" s="4" t="s">
        <v>1302</v>
      </c>
      <c r="B881" s="4">
        <f t="shared" si="312"/>
        <v>1</v>
      </c>
      <c r="C881" s="4">
        <f t="shared" si="313"/>
        <v>0</v>
      </c>
      <c r="D881" s="4">
        <f t="shared" si="314"/>
        <v>0</v>
      </c>
      <c r="E881" s="4">
        <f t="shared" si="315"/>
        <v>0</v>
      </c>
      <c r="F881" s="4">
        <f t="shared" si="316"/>
        <v>0</v>
      </c>
      <c r="G881" s="4">
        <f t="shared" si="317"/>
        <v>0</v>
      </c>
      <c r="I881" s="8" t="s">
        <v>977</v>
      </c>
      <c r="J881" s="9">
        <f t="shared" si="318"/>
        <v>1</v>
      </c>
      <c r="K881" s="9">
        <f t="shared" si="335"/>
        <v>0</v>
      </c>
      <c r="L881" s="9">
        <f t="shared" si="319"/>
        <v>0</v>
      </c>
      <c r="M881" s="9">
        <f t="shared" si="320"/>
        <v>0</v>
      </c>
      <c r="N881" s="9">
        <f t="shared" si="321"/>
        <v>0</v>
      </c>
      <c r="O881" s="9">
        <f t="shared" si="322"/>
        <v>0</v>
      </c>
      <c r="P881" s="9">
        <f t="shared" si="323"/>
        <v>0</v>
      </c>
      <c r="Q881" s="9">
        <f t="shared" si="324"/>
        <v>0</v>
      </c>
      <c r="R881" s="9">
        <f t="shared" si="325"/>
        <v>0</v>
      </c>
      <c r="S881" s="9">
        <f t="shared" si="326"/>
        <v>0</v>
      </c>
      <c r="T881" s="9">
        <f t="shared" si="327"/>
        <v>0</v>
      </c>
      <c r="U881" s="9">
        <f t="shared" si="328"/>
        <v>0</v>
      </c>
      <c r="V881" s="9">
        <f t="shared" si="329"/>
        <v>0</v>
      </c>
      <c r="W881" s="9">
        <f t="shared" si="330"/>
        <v>0</v>
      </c>
      <c r="X881" s="9">
        <f t="shared" si="331"/>
        <v>0</v>
      </c>
      <c r="Y881" s="9">
        <f t="shared" si="332"/>
        <v>0</v>
      </c>
      <c r="Z881" s="9">
        <f t="shared" si="333"/>
        <v>0</v>
      </c>
      <c r="AA881" s="10">
        <f t="shared" si="334"/>
        <v>0</v>
      </c>
    </row>
    <row r="882" spans="1:27" x14ac:dyDescent="0.3">
      <c r="A882" s="18" t="s">
        <v>1305</v>
      </c>
      <c r="B882" s="4">
        <f t="shared" si="312"/>
        <v>0</v>
      </c>
      <c r="C882" s="4">
        <f t="shared" si="313"/>
        <v>0</v>
      </c>
      <c r="D882" s="4">
        <f t="shared" si="314"/>
        <v>0</v>
      </c>
      <c r="E882" s="4">
        <f t="shared" si="315"/>
        <v>0</v>
      </c>
      <c r="F882" s="4">
        <f t="shared" si="316"/>
        <v>0</v>
      </c>
      <c r="G882" s="4">
        <f t="shared" si="317"/>
        <v>1</v>
      </c>
      <c r="I882" s="11" t="s">
        <v>990</v>
      </c>
      <c r="J882" s="9">
        <f t="shared" si="318"/>
        <v>0</v>
      </c>
      <c r="K882" s="9">
        <f t="shared" si="335"/>
        <v>0</v>
      </c>
      <c r="L882" s="9">
        <f t="shared" si="319"/>
        <v>0</v>
      </c>
      <c r="M882" s="9">
        <f t="shared" si="320"/>
        <v>0</v>
      </c>
      <c r="N882" s="9">
        <f t="shared" si="321"/>
        <v>1</v>
      </c>
      <c r="O882" s="9">
        <f t="shared" si="322"/>
        <v>0</v>
      </c>
      <c r="P882" s="9">
        <f t="shared" si="323"/>
        <v>0</v>
      </c>
      <c r="Q882" s="9">
        <f t="shared" si="324"/>
        <v>0</v>
      </c>
      <c r="R882" s="9">
        <f t="shared" si="325"/>
        <v>0</v>
      </c>
      <c r="S882" s="9">
        <f t="shared" si="326"/>
        <v>0</v>
      </c>
      <c r="T882" s="9">
        <f t="shared" si="327"/>
        <v>0</v>
      </c>
      <c r="U882" s="9">
        <f t="shared" si="328"/>
        <v>0</v>
      </c>
      <c r="V882" s="9">
        <f t="shared" si="329"/>
        <v>0</v>
      </c>
      <c r="W882" s="9">
        <f t="shared" si="330"/>
        <v>0</v>
      </c>
      <c r="X882" s="9">
        <f t="shared" si="331"/>
        <v>0</v>
      </c>
      <c r="Y882" s="9">
        <f t="shared" si="332"/>
        <v>0</v>
      </c>
      <c r="Z882" s="9">
        <f t="shared" si="333"/>
        <v>0</v>
      </c>
      <c r="AA882" s="10">
        <f t="shared" si="334"/>
        <v>0</v>
      </c>
    </row>
    <row r="883" spans="1:27" x14ac:dyDescent="0.3">
      <c r="A883" s="4" t="s">
        <v>1305</v>
      </c>
      <c r="B883" s="4">
        <f t="shared" si="312"/>
        <v>0</v>
      </c>
      <c r="C883" s="4">
        <f t="shared" si="313"/>
        <v>0</v>
      </c>
      <c r="D883" s="4">
        <f t="shared" si="314"/>
        <v>0</v>
      </c>
      <c r="E883" s="4">
        <f t="shared" si="315"/>
        <v>0</v>
      </c>
      <c r="F883" s="4">
        <f t="shared" si="316"/>
        <v>0</v>
      </c>
      <c r="G883" s="4">
        <f t="shared" si="317"/>
        <v>1</v>
      </c>
      <c r="I883" s="8" t="s">
        <v>988</v>
      </c>
      <c r="J883" s="9">
        <f t="shared" si="318"/>
        <v>0</v>
      </c>
      <c r="K883" s="9">
        <f t="shared" si="335"/>
        <v>0</v>
      </c>
      <c r="L883" s="9">
        <f t="shared" si="319"/>
        <v>1</v>
      </c>
      <c r="M883" s="9">
        <f t="shared" si="320"/>
        <v>0</v>
      </c>
      <c r="N883" s="9">
        <f t="shared" si="321"/>
        <v>0</v>
      </c>
      <c r="O883" s="9">
        <f t="shared" si="322"/>
        <v>0</v>
      </c>
      <c r="P883" s="9">
        <f t="shared" si="323"/>
        <v>0</v>
      </c>
      <c r="Q883" s="9">
        <f t="shared" si="324"/>
        <v>0</v>
      </c>
      <c r="R883" s="9">
        <f t="shared" si="325"/>
        <v>0</v>
      </c>
      <c r="S883" s="9">
        <f t="shared" si="326"/>
        <v>0</v>
      </c>
      <c r="T883" s="9">
        <f t="shared" si="327"/>
        <v>0</v>
      </c>
      <c r="U883" s="9">
        <f t="shared" si="328"/>
        <v>0</v>
      </c>
      <c r="V883" s="9">
        <f t="shared" si="329"/>
        <v>0</v>
      </c>
      <c r="W883" s="9">
        <f t="shared" si="330"/>
        <v>0</v>
      </c>
      <c r="X883" s="9">
        <f t="shared" si="331"/>
        <v>0</v>
      </c>
      <c r="Y883" s="9">
        <f t="shared" si="332"/>
        <v>0</v>
      </c>
      <c r="Z883" s="9">
        <f t="shared" si="333"/>
        <v>0</v>
      </c>
      <c r="AA883" s="10">
        <f t="shared" si="334"/>
        <v>0</v>
      </c>
    </row>
    <row r="884" spans="1:27" x14ac:dyDescent="0.3">
      <c r="A884" s="18" t="s">
        <v>1302</v>
      </c>
      <c r="B884" s="4">
        <f t="shared" si="312"/>
        <v>1</v>
      </c>
      <c r="C884" s="4">
        <f t="shared" si="313"/>
        <v>0</v>
      </c>
      <c r="D884" s="4">
        <f t="shared" si="314"/>
        <v>0</v>
      </c>
      <c r="E884" s="4">
        <f t="shared" si="315"/>
        <v>0</v>
      </c>
      <c r="F884" s="4">
        <f t="shared" si="316"/>
        <v>0</v>
      </c>
      <c r="G884" s="4">
        <f t="shared" si="317"/>
        <v>0</v>
      </c>
      <c r="I884" s="11" t="s">
        <v>994</v>
      </c>
      <c r="J884" s="9">
        <f t="shared" si="318"/>
        <v>0</v>
      </c>
      <c r="K884" s="9">
        <f t="shared" si="335"/>
        <v>0</v>
      </c>
      <c r="L884" s="9">
        <f t="shared" si="319"/>
        <v>0</v>
      </c>
      <c r="M884" s="9">
        <f t="shared" si="320"/>
        <v>0</v>
      </c>
      <c r="N884" s="9">
        <f t="shared" si="321"/>
        <v>0</v>
      </c>
      <c r="O884" s="9">
        <f t="shared" si="322"/>
        <v>0</v>
      </c>
      <c r="P884" s="9">
        <f t="shared" si="323"/>
        <v>1</v>
      </c>
      <c r="Q884" s="9">
        <f t="shared" si="324"/>
        <v>0</v>
      </c>
      <c r="R884" s="9">
        <f t="shared" si="325"/>
        <v>0</v>
      </c>
      <c r="S884" s="9">
        <f t="shared" si="326"/>
        <v>0</v>
      </c>
      <c r="T884" s="9">
        <f t="shared" si="327"/>
        <v>0</v>
      </c>
      <c r="U884" s="9">
        <f t="shared" si="328"/>
        <v>0</v>
      </c>
      <c r="V884" s="9">
        <f t="shared" si="329"/>
        <v>0</v>
      </c>
      <c r="W884" s="9">
        <f t="shared" si="330"/>
        <v>0</v>
      </c>
      <c r="X884" s="9">
        <f t="shared" si="331"/>
        <v>0</v>
      </c>
      <c r="Y884" s="9">
        <f t="shared" si="332"/>
        <v>0</v>
      </c>
      <c r="Z884" s="9">
        <f t="shared" si="333"/>
        <v>0</v>
      </c>
      <c r="AA884" s="10">
        <f t="shared" si="334"/>
        <v>0</v>
      </c>
    </row>
    <row r="885" spans="1:27" x14ac:dyDescent="0.3">
      <c r="A885" s="4" t="s">
        <v>1304</v>
      </c>
      <c r="B885" s="4">
        <f t="shared" si="312"/>
        <v>0</v>
      </c>
      <c r="C885" s="4">
        <f t="shared" si="313"/>
        <v>1</v>
      </c>
      <c r="D885" s="4">
        <f t="shared" si="314"/>
        <v>0</v>
      </c>
      <c r="E885" s="4">
        <f t="shared" si="315"/>
        <v>0</v>
      </c>
      <c r="F885" s="4">
        <f t="shared" si="316"/>
        <v>0</v>
      </c>
      <c r="G885" s="4">
        <f t="shared" si="317"/>
        <v>0</v>
      </c>
      <c r="I885" s="8" t="s">
        <v>988</v>
      </c>
      <c r="J885" s="9">
        <f t="shared" si="318"/>
        <v>0</v>
      </c>
      <c r="K885" s="9">
        <f t="shared" si="335"/>
        <v>0</v>
      </c>
      <c r="L885" s="9">
        <f t="shared" si="319"/>
        <v>1</v>
      </c>
      <c r="M885" s="9">
        <f t="shared" si="320"/>
        <v>0</v>
      </c>
      <c r="N885" s="9">
        <f t="shared" si="321"/>
        <v>0</v>
      </c>
      <c r="O885" s="9">
        <f t="shared" si="322"/>
        <v>0</v>
      </c>
      <c r="P885" s="9">
        <f t="shared" si="323"/>
        <v>0</v>
      </c>
      <c r="Q885" s="9">
        <f t="shared" si="324"/>
        <v>0</v>
      </c>
      <c r="R885" s="9">
        <f t="shared" si="325"/>
        <v>0</v>
      </c>
      <c r="S885" s="9">
        <f t="shared" si="326"/>
        <v>0</v>
      </c>
      <c r="T885" s="9">
        <f t="shared" si="327"/>
        <v>0</v>
      </c>
      <c r="U885" s="9">
        <f t="shared" si="328"/>
        <v>0</v>
      </c>
      <c r="V885" s="9">
        <f t="shared" si="329"/>
        <v>0</v>
      </c>
      <c r="W885" s="9">
        <f t="shared" si="330"/>
        <v>0</v>
      </c>
      <c r="X885" s="9">
        <f t="shared" si="331"/>
        <v>0</v>
      </c>
      <c r="Y885" s="9">
        <f t="shared" si="332"/>
        <v>0</v>
      </c>
      <c r="Z885" s="9">
        <f t="shared" si="333"/>
        <v>0</v>
      </c>
      <c r="AA885" s="10">
        <f t="shared" si="334"/>
        <v>0</v>
      </c>
    </row>
    <row r="886" spans="1:27" x14ac:dyDescent="0.3">
      <c r="A886" s="18" t="s">
        <v>1302</v>
      </c>
      <c r="B886" s="4">
        <f t="shared" si="312"/>
        <v>1</v>
      </c>
      <c r="C886" s="4">
        <f t="shared" si="313"/>
        <v>0</v>
      </c>
      <c r="D886" s="4">
        <f t="shared" si="314"/>
        <v>0</v>
      </c>
      <c r="E886" s="4">
        <f t="shared" si="315"/>
        <v>0</v>
      </c>
      <c r="F886" s="4">
        <f t="shared" si="316"/>
        <v>0</v>
      </c>
      <c r="G886" s="4">
        <f t="shared" si="317"/>
        <v>0</v>
      </c>
      <c r="I886" s="11" t="s">
        <v>1004</v>
      </c>
      <c r="J886" s="9">
        <f t="shared" si="318"/>
        <v>0</v>
      </c>
      <c r="K886" s="9">
        <f t="shared" si="335"/>
        <v>0</v>
      </c>
      <c r="L886" s="9">
        <f t="shared" si="319"/>
        <v>0</v>
      </c>
      <c r="M886" s="9">
        <f t="shared" si="320"/>
        <v>0</v>
      </c>
      <c r="N886" s="9">
        <f t="shared" si="321"/>
        <v>0</v>
      </c>
      <c r="O886" s="9">
        <f t="shared" si="322"/>
        <v>0</v>
      </c>
      <c r="P886" s="9">
        <f t="shared" si="323"/>
        <v>0</v>
      </c>
      <c r="Q886" s="9">
        <f t="shared" si="324"/>
        <v>0</v>
      </c>
      <c r="R886" s="9">
        <f t="shared" si="325"/>
        <v>1</v>
      </c>
      <c r="S886" s="9">
        <f t="shared" si="326"/>
        <v>0</v>
      </c>
      <c r="T886" s="9">
        <f t="shared" si="327"/>
        <v>0</v>
      </c>
      <c r="U886" s="9">
        <f t="shared" si="328"/>
        <v>0</v>
      </c>
      <c r="V886" s="9">
        <f t="shared" si="329"/>
        <v>0</v>
      </c>
      <c r="W886" s="9">
        <f t="shared" si="330"/>
        <v>0</v>
      </c>
      <c r="X886" s="9">
        <f t="shared" si="331"/>
        <v>0</v>
      </c>
      <c r="Y886" s="9">
        <f t="shared" si="332"/>
        <v>0</v>
      </c>
      <c r="Z886" s="9">
        <f t="shared" si="333"/>
        <v>0</v>
      </c>
      <c r="AA886" s="10">
        <f t="shared" si="334"/>
        <v>0</v>
      </c>
    </row>
    <row r="887" spans="1:27" x14ac:dyDescent="0.3">
      <c r="A887" s="4" t="s">
        <v>1294</v>
      </c>
      <c r="B887" s="4">
        <f t="shared" si="312"/>
        <v>0</v>
      </c>
      <c r="C887" s="4">
        <f t="shared" si="313"/>
        <v>0</v>
      </c>
      <c r="D887" s="4">
        <f t="shared" si="314"/>
        <v>0</v>
      </c>
      <c r="E887" s="4">
        <f t="shared" si="315"/>
        <v>0</v>
      </c>
      <c r="F887" s="4">
        <f t="shared" si="316"/>
        <v>0</v>
      </c>
      <c r="G887" s="4">
        <f t="shared" si="317"/>
        <v>0</v>
      </c>
      <c r="I887" s="8" t="s">
        <v>994</v>
      </c>
      <c r="J887" s="9">
        <f t="shared" si="318"/>
        <v>0</v>
      </c>
      <c r="K887" s="9">
        <f t="shared" si="335"/>
        <v>0</v>
      </c>
      <c r="L887" s="9">
        <f t="shared" si="319"/>
        <v>0</v>
      </c>
      <c r="M887" s="9">
        <f t="shared" si="320"/>
        <v>0</v>
      </c>
      <c r="N887" s="9">
        <f t="shared" si="321"/>
        <v>0</v>
      </c>
      <c r="O887" s="9">
        <f t="shared" si="322"/>
        <v>0</v>
      </c>
      <c r="P887" s="9">
        <f t="shared" si="323"/>
        <v>1</v>
      </c>
      <c r="Q887" s="9">
        <f t="shared" si="324"/>
        <v>0</v>
      </c>
      <c r="R887" s="9">
        <f t="shared" si="325"/>
        <v>0</v>
      </c>
      <c r="S887" s="9">
        <f t="shared" si="326"/>
        <v>0</v>
      </c>
      <c r="T887" s="9">
        <f t="shared" si="327"/>
        <v>0</v>
      </c>
      <c r="U887" s="9">
        <f t="shared" si="328"/>
        <v>0</v>
      </c>
      <c r="V887" s="9">
        <f t="shared" si="329"/>
        <v>0</v>
      </c>
      <c r="W887" s="9">
        <f t="shared" si="330"/>
        <v>0</v>
      </c>
      <c r="X887" s="9">
        <f t="shared" si="331"/>
        <v>0</v>
      </c>
      <c r="Y887" s="9">
        <f t="shared" si="332"/>
        <v>0</v>
      </c>
      <c r="Z887" s="9">
        <f t="shared" si="333"/>
        <v>0</v>
      </c>
      <c r="AA887" s="10">
        <f t="shared" si="334"/>
        <v>0</v>
      </c>
    </row>
    <row r="888" spans="1:27" x14ac:dyDescent="0.3">
      <c r="A888" s="18" t="s">
        <v>1302</v>
      </c>
      <c r="B888" s="4">
        <f t="shared" si="312"/>
        <v>1</v>
      </c>
      <c r="C888" s="4">
        <f t="shared" si="313"/>
        <v>0</v>
      </c>
      <c r="D888" s="4">
        <f t="shared" si="314"/>
        <v>0</v>
      </c>
      <c r="E888" s="4">
        <f t="shared" si="315"/>
        <v>0</v>
      </c>
      <c r="F888" s="4">
        <f t="shared" si="316"/>
        <v>0</v>
      </c>
      <c r="G888" s="4">
        <f t="shared" si="317"/>
        <v>0</v>
      </c>
      <c r="I888" s="11" t="s">
        <v>1011</v>
      </c>
      <c r="J888" s="9">
        <f t="shared" si="318"/>
        <v>0</v>
      </c>
      <c r="K888" s="9">
        <f t="shared" si="335"/>
        <v>0</v>
      </c>
      <c r="L888" s="9">
        <f t="shared" si="319"/>
        <v>0</v>
      </c>
      <c r="M888" s="9">
        <f t="shared" si="320"/>
        <v>0</v>
      </c>
      <c r="N888" s="9">
        <f t="shared" si="321"/>
        <v>0</v>
      </c>
      <c r="O888" s="9">
        <f t="shared" si="322"/>
        <v>0</v>
      </c>
      <c r="P888" s="9">
        <f t="shared" si="323"/>
        <v>0</v>
      </c>
      <c r="Q888" s="9">
        <f t="shared" si="324"/>
        <v>0</v>
      </c>
      <c r="R888" s="9">
        <f t="shared" si="325"/>
        <v>0</v>
      </c>
      <c r="S888" s="9">
        <f t="shared" si="326"/>
        <v>1</v>
      </c>
      <c r="T888" s="9">
        <f t="shared" si="327"/>
        <v>0</v>
      </c>
      <c r="U888" s="9">
        <f t="shared" si="328"/>
        <v>0</v>
      </c>
      <c r="V888" s="9">
        <f t="shared" si="329"/>
        <v>0</v>
      </c>
      <c r="W888" s="9">
        <f t="shared" si="330"/>
        <v>0</v>
      </c>
      <c r="X888" s="9">
        <f t="shared" si="331"/>
        <v>0</v>
      </c>
      <c r="Y888" s="9">
        <f t="shared" si="332"/>
        <v>0</v>
      </c>
      <c r="Z888" s="9">
        <f t="shared" si="333"/>
        <v>0</v>
      </c>
      <c r="AA888" s="10">
        <f t="shared" si="334"/>
        <v>0</v>
      </c>
    </row>
    <row r="889" spans="1:27" x14ac:dyDescent="0.3">
      <c r="A889" s="4" t="s">
        <v>1303</v>
      </c>
      <c r="B889" s="4">
        <f t="shared" si="312"/>
        <v>0</v>
      </c>
      <c r="C889" s="4">
        <f t="shared" si="313"/>
        <v>0</v>
      </c>
      <c r="D889" s="4">
        <f t="shared" si="314"/>
        <v>0</v>
      </c>
      <c r="E889" s="4">
        <f t="shared" si="315"/>
        <v>0</v>
      </c>
      <c r="F889" s="4">
        <f t="shared" si="316"/>
        <v>1</v>
      </c>
      <c r="G889" s="4">
        <f t="shared" si="317"/>
        <v>0</v>
      </c>
      <c r="I889" s="8" t="s">
        <v>990</v>
      </c>
      <c r="J889" s="9">
        <f t="shared" si="318"/>
        <v>0</v>
      </c>
      <c r="K889" s="9">
        <f t="shared" si="335"/>
        <v>0</v>
      </c>
      <c r="L889" s="9">
        <f t="shared" si="319"/>
        <v>0</v>
      </c>
      <c r="M889" s="9">
        <f t="shared" si="320"/>
        <v>0</v>
      </c>
      <c r="N889" s="9">
        <f t="shared" si="321"/>
        <v>1</v>
      </c>
      <c r="O889" s="9">
        <f t="shared" si="322"/>
        <v>0</v>
      </c>
      <c r="P889" s="9">
        <f t="shared" si="323"/>
        <v>0</v>
      </c>
      <c r="Q889" s="9">
        <f t="shared" si="324"/>
        <v>0</v>
      </c>
      <c r="R889" s="9">
        <f t="shared" si="325"/>
        <v>0</v>
      </c>
      <c r="S889" s="9">
        <f t="shared" si="326"/>
        <v>0</v>
      </c>
      <c r="T889" s="9">
        <f t="shared" si="327"/>
        <v>0</v>
      </c>
      <c r="U889" s="9">
        <f t="shared" si="328"/>
        <v>0</v>
      </c>
      <c r="V889" s="9">
        <f t="shared" si="329"/>
        <v>0</v>
      </c>
      <c r="W889" s="9">
        <f t="shared" si="330"/>
        <v>0</v>
      </c>
      <c r="X889" s="9">
        <f t="shared" si="331"/>
        <v>0</v>
      </c>
      <c r="Y889" s="9">
        <f t="shared" si="332"/>
        <v>0</v>
      </c>
      <c r="Z889" s="9">
        <f t="shared" si="333"/>
        <v>0</v>
      </c>
      <c r="AA889" s="10">
        <f t="shared" si="334"/>
        <v>0</v>
      </c>
    </row>
    <row r="890" spans="1:27" x14ac:dyDescent="0.3">
      <c r="A890" s="18" t="s">
        <v>1303</v>
      </c>
      <c r="B890" s="4">
        <f t="shared" si="312"/>
        <v>0</v>
      </c>
      <c r="C890" s="4">
        <f t="shared" si="313"/>
        <v>0</v>
      </c>
      <c r="D890" s="4">
        <f t="shared" si="314"/>
        <v>0</v>
      </c>
      <c r="E890" s="4">
        <f t="shared" si="315"/>
        <v>0</v>
      </c>
      <c r="F890" s="4">
        <f t="shared" si="316"/>
        <v>1</v>
      </c>
      <c r="G890" s="4">
        <f t="shared" si="317"/>
        <v>0</v>
      </c>
      <c r="I890" s="11" t="s">
        <v>1044</v>
      </c>
      <c r="J890" s="9">
        <f t="shared" si="318"/>
        <v>0</v>
      </c>
      <c r="K890" s="9">
        <f t="shared" si="335"/>
        <v>0</v>
      </c>
      <c r="L890" s="9">
        <f t="shared" si="319"/>
        <v>0</v>
      </c>
      <c r="M890" s="9">
        <f t="shared" si="320"/>
        <v>0</v>
      </c>
      <c r="N890" s="9">
        <f t="shared" si="321"/>
        <v>0</v>
      </c>
      <c r="O890" s="9">
        <f t="shared" si="322"/>
        <v>0</v>
      </c>
      <c r="P890" s="9">
        <f t="shared" si="323"/>
        <v>0</v>
      </c>
      <c r="Q890" s="9">
        <f t="shared" si="324"/>
        <v>0</v>
      </c>
      <c r="R890" s="9">
        <f t="shared" si="325"/>
        <v>0</v>
      </c>
      <c r="S890" s="9">
        <f t="shared" si="326"/>
        <v>0</v>
      </c>
      <c r="T890" s="9">
        <f t="shared" si="327"/>
        <v>0</v>
      </c>
      <c r="U890" s="9">
        <f t="shared" si="328"/>
        <v>1</v>
      </c>
      <c r="V890" s="9">
        <f t="shared" si="329"/>
        <v>0</v>
      </c>
      <c r="W890" s="9">
        <f t="shared" si="330"/>
        <v>0</v>
      </c>
      <c r="X890" s="9">
        <f t="shared" si="331"/>
        <v>0</v>
      </c>
      <c r="Y890" s="9">
        <f t="shared" si="332"/>
        <v>0</v>
      </c>
      <c r="Z890" s="9">
        <f t="shared" si="333"/>
        <v>0</v>
      </c>
      <c r="AA890" s="10">
        <f t="shared" si="334"/>
        <v>0</v>
      </c>
    </row>
    <row r="891" spans="1:27" x14ac:dyDescent="0.3">
      <c r="A891" s="4" t="s">
        <v>1304</v>
      </c>
      <c r="B891" s="4">
        <f t="shared" si="312"/>
        <v>0</v>
      </c>
      <c r="C891" s="4">
        <f t="shared" si="313"/>
        <v>1</v>
      </c>
      <c r="D891" s="4">
        <f t="shared" si="314"/>
        <v>0</v>
      </c>
      <c r="E891" s="4">
        <f t="shared" si="315"/>
        <v>0</v>
      </c>
      <c r="F891" s="4">
        <f t="shared" si="316"/>
        <v>0</v>
      </c>
      <c r="G891" s="4">
        <f t="shared" si="317"/>
        <v>0</v>
      </c>
      <c r="I891" s="8" t="s">
        <v>977</v>
      </c>
      <c r="J891" s="9">
        <f t="shared" si="318"/>
        <v>1</v>
      </c>
      <c r="K891" s="9">
        <f t="shared" si="335"/>
        <v>0</v>
      </c>
      <c r="L891" s="9">
        <f t="shared" si="319"/>
        <v>0</v>
      </c>
      <c r="M891" s="9">
        <f t="shared" si="320"/>
        <v>0</v>
      </c>
      <c r="N891" s="9">
        <f t="shared" si="321"/>
        <v>0</v>
      </c>
      <c r="O891" s="9">
        <f t="shared" si="322"/>
        <v>0</v>
      </c>
      <c r="P891" s="9">
        <f t="shared" si="323"/>
        <v>0</v>
      </c>
      <c r="Q891" s="9">
        <f t="shared" si="324"/>
        <v>0</v>
      </c>
      <c r="R891" s="9">
        <f t="shared" si="325"/>
        <v>0</v>
      </c>
      <c r="S891" s="9">
        <f t="shared" si="326"/>
        <v>0</v>
      </c>
      <c r="T891" s="9">
        <f t="shared" si="327"/>
        <v>0</v>
      </c>
      <c r="U891" s="9">
        <f t="shared" si="328"/>
        <v>0</v>
      </c>
      <c r="V891" s="9">
        <f t="shared" si="329"/>
        <v>0</v>
      </c>
      <c r="W891" s="9">
        <f t="shared" si="330"/>
        <v>0</v>
      </c>
      <c r="X891" s="9">
        <f t="shared" si="331"/>
        <v>0</v>
      </c>
      <c r="Y891" s="9">
        <f t="shared" si="332"/>
        <v>0</v>
      </c>
      <c r="Z891" s="9">
        <f t="shared" si="333"/>
        <v>0</v>
      </c>
      <c r="AA891" s="10">
        <f t="shared" si="334"/>
        <v>0</v>
      </c>
    </row>
    <row r="892" spans="1:27" x14ac:dyDescent="0.3">
      <c r="A892" s="18" t="s">
        <v>1304</v>
      </c>
      <c r="B892" s="4">
        <f t="shared" si="312"/>
        <v>0</v>
      </c>
      <c r="C892" s="4">
        <f t="shared" si="313"/>
        <v>1</v>
      </c>
      <c r="D892" s="4">
        <f t="shared" si="314"/>
        <v>0</v>
      </c>
      <c r="E892" s="4">
        <f t="shared" si="315"/>
        <v>0</v>
      </c>
      <c r="F892" s="4">
        <f t="shared" si="316"/>
        <v>0</v>
      </c>
      <c r="G892" s="4">
        <f t="shared" si="317"/>
        <v>0</v>
      </c>
      <c r="I892" s="11" t="s">
        <v>988</v>
      </c>
      <c r="J892" s="9">
        <f t="shared" si="318"/>
        <v>0</v>
      </c>
      <c r="K892" s="9">
        <f t="shared" si="335"/>
        <v>0</v>
      </c>
      <c r="L892" s="9">
        <f t="shared" si="319"/>
        <v>1</v>
      </c>
      <c r="M892" s="9">
        <f t="shared" si="320"/>
        <v>0</v>
      </c>
      <c r="N892" s="9">
        <f t="shared" si="321"/>
        <v>0</v>
      </c>
      <c r="O892" s="9">
        <f t="shared" si="322"/>
        <v>0</v>
      </c>
      <c r="P892" s="9">
        <f t="shared" si="323"/>
        <v>0</v>
      </c>
      <c r="Q892" s="9">
        <f t="shared" si="324"/>
        <v>0</v>
      </c>
      <c r="R892" s="9">
        <f t="shared" si="325"/>
        <v>0</v>
      </c>
      <c r="S892" s="9">
        <f t="shared" si="326"/>
        <v>0</v>
      </c>
      <c r="T892" s="9">
        <f t="shared" si="327"/>
        <v>0</v>
      </c>
      <c r="U892" s="9">
        <f t="shared" si="328"/>
        <v>0</v>
      </c>
      <c r="V892" s="9">
        <f t="shared" si="329"/>
        <v>0</v>
      </c>
      <c r="W892" s="9">
        <f t="shared" si="330"/>
        <v>0</v>
      </c>
      <c r="X892" s="9">
        <f t="shared" si="331"/>
        <v>0</v>
      </c>
      <c r="Y892" s="9">
        <f t="shared" si="332"/>
        <v>0</v>
      </c>
      <c r="Z892" s="9">
        <f t="shared" si="333"/>
        <v>0</v>
      </c>
      <c r="AA892" s="10">
        <f t="shared" si="334"/>
        <v>0</v>
      </c>
    </row>
    <row r="893" spans="1:27" x14ac:dyDescent="0.3">
      <c r="A893" s="4" t="s">
        <v>1302</v>
      </c>
      <c r="B893" s="4">
        <f t="shared" si="312"/>
        <v>1</v>
      </c>
      <c r="C893" s="4">
        <f t="shared" si="313"/>
        <v>0</v>
      </c>
      <c r="D893" s="4">
        <f t="shared" si="314"/>
        <v>0</v>
      </c>
      <c r="E893" s="4">
        <f t="shared" si="315"/>
        <v>0</v>
      </c>
      <c r="F893" s="4">
        <f t="shared" si="316"/>
        <v>0</v>
      </c>
      <c r="G893" s="4">
        <f t="shared" si="317"/>
        <v>0</v>
      </c>
      <c r="I893" s="8" t="s">
        <v>977</v>
      </c>
      <c r="J893" s="9">
        <f t="shared" si="318"/>
        <v>1</v>
      </c>
      <c r="K893" s="9">
        <f t="shared" si="335"/>
        <v>0</v>
      </c>
      <c r="L893" s="9">
        <f t="shared" si="319"/>
        <v>0</v>
      </c>
      <c r="M893" s="9">
        <f t="shared" si="320"/>
        <v>0</v>
      </c>
      <c r="N893" s="9">
        <f t="shared" si="321"/>
        <v>0</v>
      </c>
      <c r="O893" s="9">
        <f t="shared" si="322"/>
        <v>0</v>
      </c>
      <c r="P893" s="9">
        <f t="shared" si="323"/>
        <v>0</v>
      </c>
      <c r="Q893" s="9">
        <f t="shared" si="324"/>
        <v>0</v>
      </c>
      <c r="R893" s="9">
        <f t="shared" si="325"/>
        <v>0</v>
      </c>
      <c r="S893" s="9">
        <f t="shared" si="326"/>
        <v>0</v>
      </c>
      <c r="T893" s="9">
        <f t="shared" si="327"/>
        <v>0</v>
      </c>
      <c r="U893" s="9">
        <f t="shared" si="328"/>
        <v>0</v>
      </c>
      <c r="V893" s="9">
        <f t="shared" si="329"/>
        <v>0</v>
      </c>
      <c r="W893" s="9">
        <f t="shared" si="330"/>
        <v>0</v>
      </c>
      <c r="X893" s="9">
        <f t="shared" si="331"/>
        <v>0</v>
      </c>
      <c r="Y893" s="9">
        <f t="shared" si="332"/>
        <v>0</v>
      </c>
      <c r="Z893" s="9">
        <f t="shared" si="333"/>
        <v>0</v>
      </c>
      <c r="AA893" s="10">
        <f t="shared" si="334"/>
        <v>0</v>
      </c>
    </row>
    <row r="894" spans="1:27" x14ac:dyDescent="0.3">
      <c r="A894" s="18" t="s">
        <v>1303</v>
      </c>
      <c r="B894" s="4">
        <f t="shared" si="312"/>
        <v>0</v>
      </c>
      <c r="C894" s="4">
        <f t="shared" si="313"/>
        <v>0</v>
      </c>
      <c r="D894" s="4">
        <f t="shared" si="314"/>
        <v>0</v>
      </c>
      <c r="E894" s="4">
        <f t="shared" si="315"/>
        <v>0</v>
      </c>
      <c r="F894" s="4">
        <f t="shared" si="316"/>
        <v>1</v>
      </c>
      <c r="G894" s="4">
        <f t="shared" si="317"/>
        <v>0</v>
      </c>
      <c r="I894" s="11" t="s">
        <v>1044</v>
      </c>
      <c r="J894" s="9">
        <f t="shared" si="318"/>
        <v>0</v>
      </c>
      <c r="K894" s="9">
        <f t="shared" si="335"/>
        <v>0</v>
      </c>
      <c r="L894" s="9">
        <f t="shared" si="319"/>
        <v>0</v>
      </c>
      <c r="M894" s="9">
        <f t="shared" si="320"/>
        <v>0</v>
      </c>
      <c r="N894" s="9">
        <f t="shared" si="321"/>
        <v>0</v>
      </c>
      <c r="O894" s="9">
        <f t="shared" si="322"/>
        <v>0</v>
      </c>
      <c r="P894" s="9">
        <f t="shared" si="323"/>
        <v>0</v>
      </c>
      <c r="Q894" s="9">
        <f t="shared" si="324"/>
        <v>0</v>
      </c>
      <c r="R894" s="9">
        <f t="shared" si="325"/>
        <v>0</v>
      </c>
      <c r="S894" s="9">
        <f t="shared" si="326"/>
        <v>0</v>
      </c>
      <c r="T894" s="9">
        <f t="shared" si="327"/>
        <v>0</v>
      </c>
      <c r="U894" s="9">
        <f t="shared" si="328"/>
        <v>1</v>
      </c>
      <c r="V894" s="9">
        <f t="shared" si="329"/>
        <v>0</v>
      </c>
      <c r="W894" s="9">
        <f t="shared" si="330"/>
        <v>0</v>
      </c>
      <c r="X894" s="9">
        <f t="shared" si="331"/>
        <v>0</v>
      </c>
      <c r="Y894" s="9">
        <f t="shared" si="332"/>
        <v>0</v>
      </c>
      <c r="Z894" s="9">
        <f t="shared" si="333"/>
        <v>0</v>
      </c>
      <c r="AA894" s="10">
        <f t="shared" si="334"/>
        <v>0</v>
      </c>
    </row>
    <row r="895" spans="1:27" x14ac:dyDescent="0.3">
      <c r="A895" s="4" t="s">
        <v>1294</v>
      </c>
      <c r="B895" s="4">
        <f t="shared" si="312"/>
        <v>0</v>
      </c>
      <c r="C895" s="4">
        <f t="shared" si="313"/>
        <v>0</v>
      </c>
      <c r="D895" s="4">
        <f t="shared" si="314"/>
        <v>0</v>
      </c>
      <c r="E895" s="4">
        <f t="shared" si="315"/>
        <v>0</v>
      </c>
      <c r="F895" s="4">
        <f t="shared" si="316"/>
        <v>0</v>
      </c>
      <c r="G895" s="4">
        <f t="shared" si="317"/>
        <v>0</v>
      </c>
      <c r="I895" s="8" t="s">
        <v>988</v>
      </c>
      <c r="J895" s="9">
        <f t="shared" si="318"/>
        <v>0</v>
      </c>
      <c r="K895" s="9">
        <f t="shared" si="335"/>
        <v>0</v>
      </c>
      <c r="L895" s="9">
        <f t="shared" si="319"/>
        <v>1</v>
      </c>
      <c r="M895" s="9">
        <f t="shared" si="320"/>
        <v>0</v>
      </c>
      <c r="N895" s="9">
        <f t="shared" si="321"/>
        <v>0</v>
      </c>
      <c r="O895" s="9">
        <f t="shared" si="322"/>
        <v>0</v>
      </c>
      <c r="P895" s="9">
        <f t="shared" si="323"/>
        <v>0</v>
      </c>
      <c r="Q895" s="9">
        <f t="shared" si="324"/>
        <v>0</v>
      </c>
      <c r="R895" s="9">
        <f t="shared" si="325"/>
        <v>0</v>
      </c>
      <c r="S895" s="9">
        <f t="shared" si="326"/>
        <v>0</v>
      </c>
      <c r="T895" s="9">
        <f t="shared" si="327"/>
        <v>0</v>
      </c>
      <c r="U895" s="9">
        <f t="shared" si="328"/>
        <v>0</v>
      </c>
      <c r="V895" s="9">
        <f t="shared" si="329"/>
        <v>0</v>
      </c>
      <c r="W895" s="9">
        <f t="shared" si="330"/>
        <v>0</v>
      </c>
      <c r="X895" s="9">
        <f t="shared" si="331"/>
        <v>0</v>
      </c>
      <c r="Y895" s="9">
        <f t="shared" si="332"/>
        <v>0</v>
      </c>
      <c r="Z895" s="9">
        <f t="shared" si="333"/>
        <v>0</v>
      </c>
      <c r="AA895" s="10">
        <f t="shared" si="334"/>
        <v>0</v>
      </c>
    </row>
    <row r="896" spans="1:27" x14ac:dyDescent="0.3">
      <c r="A896" s="18" t="s">
        <v>1294</v>
      </c>
      <c r="B896" s="4">
        <f t="shared" si="312"/>
        <v>0</v>
      </c>
      <c r="C896" s="4">
        <f t="shared" si="313"/>
        <v>0</v>
      </c>
      <c r="D896" s="4">
        <f t="shared" si="314"/>
        <v>0</v>
      </c>
      <c r="E896" s="4">
        <f t="shared" si="315"/>
        <v>0</v>
      </c>
      <c r="F896" s="4">
        <f t="shared" si="316"/>
        <v>0</v>
      </c>
      <c r="G896" s="4">
        <f t="shared" si="317"/>
        <v>0</v>
      </c>
      <c r="I896" s="11" t="s">
        <v>988</v>
      </c>
      <c r="J896" s="9">
        <f t="shared" si="318"/>
        <v>0</v>
      </c>
      <c r="K896" s="9">
        <f t="shared" si="335"/>
        <v>0</v>
      </c>
      <c r="L896" s="9">
        <f t="shared" si="319"/>
        <v>1</v>
      </c>
      <c r="M896" s="9">
        <f t="shared" si="320"/>
        <v>0</v>
      </c>
      <c r="N896" s="9">
        <f t="shared" si="321"/>
        <v>0</v>
      </c>
      <c r="O896" s="9">
        <f t="shared" si="322"/>
        <v>0</v>
      </c>
      <c r="P896" s="9">
        <f t="shared" si="323"/>
        <v>0</v>
      </c>
      <c r="Q896" s="9">
        <f t="shared" si="324"/>
        <v>0</v>
      </c>
      <c r="R896" s="9">
        <f t="shared" si="325"/>
        <v>0</v>
      </c>
      <c r="S896" s="9">
        <f t="shared" si="326"/>
        <v>0</v>
      </c>
      <c r="T896" s="9">
        <f t="shared" si="327"/>
        <v>0</v>
      </c>
      <c r="U896" s="9">
        <f t="shared" si="328"/>
        <v>0</v>
      </c>
      <c r="V896" s="9">
        <f t="shared" si="329"/>
        <v>0</v>
      </c>
      <c r="W896" s="9">
        <f t="shared" si="330"/>
        <v>0</v>
      </c>
      <c r="X896" s="9">
        <f t="shared" si="331"/>
        <v>0</v>
      </c>
      <c r="Y896" s="9">
        <f t="shared" si="332"/>
        <v>0</v>
      </c>
      <c r="Z896" s="9">
        <f t="shared" si="333"/>
        <v>0</v>
      </c>
      <c r="AA896" s="10">
        <f t="shared" si="334"/>
        <v>0</v>
      </c>
    </row>
    <row r="897" spans="1:27" x14ac:dyDescent="0.3">
      <c r="A897" s="4" t="s">
        <v>1294</v>
      </c>
      <c r="B897" s="4">
        <f t="shared" si="312"/>
        <v>0</v>
      </c>
      <c r="C897" s="4">
        <f t="shared" si="313"/>
        <v>0</v>
      </c>
      <c r="D897" s="4">
        <f t="shared" si="314"/>
        <v>0</v>
      </c>
      <c r="E897" s="4">
        <f t="shared" si="315"/>
        <v>0</v>
      </c>
      <c r="F897" s="4">
        <f t="shared" si="316"/>
        <v>0</v>
      </c>
      <c r="G897" s="4">
        <f t="shared" si="317"/>
        <v>0</v>
      </c>
      <c r="I897" s="8" t="s">
        <v>988</v>
      </c>
      <c r="J897" s="9">
        <f t="shared" si="318"/>
        <v>0</v>
      </c>
      <c r="K897" s="9">
        <f t="shared" si="335"/>
        <v>0</v>
      </c>
      <c r="L897" s="9">
        <f t="shared" si="319"/>
        <v>1</v>
      </c>
      <c r="M897" s="9">
        <f t="shared" si="320"/>
        <v>0</v>
      </c>
      <c r="N897" s="9">
        <f t="shared" si="321"/>
        <v>0</v>
      </c>
      <c r="O897" s="9">
        <f t="shared" si="322"/>
        <v>0</v>
      </c>
      <c r="P897" s="9">
        <f t="shared" si="323"/>
        <v>0</v>
      </c>
      <c r="Q897" s="9">
        <f t="shared" si="324"/>
        <v>0</v>
      </c>
      <c r="R897" s="9">
        <f t="shared" si="325"/>
        <v>0</v>
      </c>
      <c r="S897" s="9">
        <f t="shared" si="326"/>
        <v>0</v>
      </c>
      <c r="T897" s="9">
        <f t="shared" si="327"/>
        <v>0</v>
      </c>
      <c r="U897" s="9">
        <f t="shared" si="328"/>
        <v>0</v>
      </c>
      <c r="V897" s="9">
        <f t="shared" si="329"/>
        <v>0</v>
      </c>
      <c r="W897" s="9">
        <f t="shared" si="330"/>
        <v>0</v>
      </c>
      <c r="X897" s="9">
        <f t="shared" si="331"/>
        <v>0</v>
      </c>
      <c r="Y897" s="9">
        <f t="shared" si="332"/>
        <v>0</v>
      </c>
      <c r="Z897" s="9">
        <f t="shared" si="333"/>
        <v>0</v>
      </c>
      <c r="AA897" s="10">
        <f t="shared" si="334"/>
        <v>0</v>
      </c>
    </row>
    <row r="898" spans="1:27" x14ac:dyDescent="0.3">
      <c r="A898" s="18" t="s">
        <v>1302</v>
      </c>
      <c r="B898" s="4">
        <f t="shared" si="312"/>
        <v>1</v>
      </c>
      <c r="C898" s="4">
        <f t="shared" si="313"/>
        <v>0</v>
      </c>
      <c r="D898" s="4">
        <f t="shared" si="314"/>
        <v>0</v>
      </c>
      <c r="E898" s="4">
        <f t="shared" si="315"/>
        <v>0</v>
      </c>
      <c r="F898" s="4">
        <f t="shared" si="316"/>
        <v>0</v>
      </c>
      <c r="G898" s="4">
        <f t="shared" si="317"/>
        <v>0</v>
      </c>
      <c r="I898" s="11" t="s">
        <v>977</v>
      </c>
      <c r="J898" s="9">
        <f t="shared" si="318"/>
        <v>1</v>
      </c>
      <c r="K898" s="9">
        <f t="shared" si="335"/>
        <v>0</v>
      </c>
      <c r="L898" s="9">
        <f t="shared" si="319"/>
        <v>0</v>
      </c>
      <c r="M898" s="9">
        <f t="shared" si="320"/>
        <v>0</v>
      </c>
      <c r="N898" s="9">
        <f t="shared" si="321"/>
        <v>0</v>
      </c>
      <c r="O898" s="9">
        <f t="shared" si="322"/>
        <v>0</v>
      </c>
      <c r="P898" s="9">
        <f t="shared" si="323"/>
        <v>0</v>
      </c>
      <c r="Q898" s="9">
        <f t="shared" si="324"/>
        <v>0</v>
      </c>
      <c r="R898" s="9">
        <f t="shared" si="325"/>
        <v>0</v>
      </c>
      <c r="S898" s="9">
        <f t="shared" si="326"/>
        <v>0</v>
      </c>
      <c r="T898" s="9">
        <f t="shared" si="327"/>
        <v>0</v>
      </c>
      <c r="U898" s="9">
        <f t="shared" si="328"/>
        <v>0</v>
      </c>
      <c r="V898" s="9">
        <f t="shared" si="329"/>
        <v>0</v>
      </c>
      <c r="W898" s="9">
        <f t="shared" si="330"/>
        <v>0</v>
      </c>
      <c r="X898" s="9">
        <f t="shared" si="331"/>
        <v>0</v>
      </c>
      <c r="Y898" s="9">
        <f t="shared" si="332"/>
        <v>0</v>
      </c>
      <c r="Z898" s="9">
        <f t="shared" si="333"/>
        <v>0</v>
      </c>
      <c r="AA898" s="10">
        <f t="shared" si="334"/>
        <v>0</v>
      </c>
    </row>
    <row r="899" spans="1:27" x14ac:dyDescent="0.3">
      <c r="A899" s="4" t="s">
        <v>1303</v>
      </c>
      <c r="B899" s="4">
        <f t="shared" ref="B899:B958" si="336">IF($A899="Asia",1,0)</f>
        <v>0</v>
      </c>
      <c r="C899" s="4">
        <f t="shared" ref="C899:C958" si="337">IF(A899="Europe",1,0)</f>
        <v>0</v>
      </c>
      <c r="D899" s="4">
        <f t="shared" ref="D899:D958" si="338">IF(A899="Africa",1,0)</f>
        <v>0</v>
      </c>
      <c r="E899" s="4">
        <f t="shared" ref="E899:E958" si="339">IF($A899="Australia",1,0)</f>
        <v>0</v>
      </c>
      <c r="F899" s="4">
        <f t="shared" ref="F899:F958" si="340">IF($A899="North America",1,0)</f>
        <v>1</v>
      </c>
      <c r="G899" s="4">
        <f t="shared" ref="G899:G958" si="341">IF($A899="South America",1,0)</f>
        <v>0</v>
      </c>
      <c r="I899" s="8" t="s">
        <v>1294</v>
      </c>
      <c r="J899" s="9">
        <f t="shared" si="318"/>
        <v>0</v>
      </c>
      <c r="K899" s="9">
        <f t="shared" si="335"/>
        <v>0</v>
      </c>
      <c r="L899" s="9">
        <f t="shared" si="319"/>
        <v>0</v>
      </c>
      <c r="M899" s="9">
        <f t="shared" si="320"/>
        <v>0</v>
      </c>
      <c r="N899" s="9">
        <f t="shared" si="321"/>
        <v>0</v>
      </c>
      <c r="O899" s="9">
        <f t="shared" si="322"/>
        <v>0</v>
      </c>
      <c r="P899" s="9">
        <f t="shared" si="323"/>
        <v>0</v>
      </c>
      <c r="Q899" s="9">
        <f t="shared" si="324"/>
        <v>0</v>
      </c>
      <c r="R899" s="9">
        <f t="shared" si="325"/>
        <v>0</v>
      </c>
      <c r="S899" s="9">
        <f t="shared" si="326"/>
        <v>0</v>
      </c>
      <c r="T899" s="9">
        <f t="shared" si="327"/>
        <v>0</v>
      </c>
      <c r="U899" s="9">
        <f t="shared" si="328"/>
        <v>0</v>
      </c>
      <c r="V899" s="9">
        <f t="shared" si="329"/>
        <v>0</v>
      </c>
      <c r="W899" s="9">
        <f t="shared" si="330"/>
        <v>0</v>
      </c>
      <c r="X899" s="9">
        <f t="shared" si="331"/>
        <v>0</v>
      </c>
      <c r="Y899" s="9">
        <f t="shared" si="332"/>
        <v>0</v>
      </c>
      <c r="Z899" s="9">
        <f t="shared" si="333"/>
        <v>0</v>
      </c>
      <c r="AA899" s="10">
        <f t="shared" si="334"/>
        <v>0</v>
      </c>
    </row>
    <row r="900" spans="1:27" x14ac:dyDescent="0.3">
      <c r="A900" s="18" t="s">
        <v>1303</v>
      </c>
      <c r="B900" s="4">
        <f t="shared" si="336"/>
        <v>0</v>
      </c>
      <c r="C900" s="4">
        <f t="shared" si="337"/>
        <v>0</v>
      </c>
      <c r="D900" s="4">
        <f t="shared" si="338"/>
        <v>0</v>
      </c>
      <c r="E900" s="4">
        <f t="shared" si="339"/>
        <v>0</v>
      </c>
      <c r="F900" s="4">
        <f t="shared" si="340"/>
        <v>1</v>
      </c>
      <c r="G900" s="4">
        <f t="shared" si="341"/>
        <v>0</v>
      </c>
      <c r="I900" s="11" t="s">
        <v>977</v>
      </c>
      <c r="J900" s="9">
        <f t="shared" ref="J900:J959" si="342">IF(I900="Music",1,0)</f>
        <v>1</v>
      </c>
      <c r="K900" s="9">
        <f t="shared" si="335"/>
        <v>0</v>
      </c>
      <c r="L900" s="9">
        <f t="shared" ref="L900:L959" si="343">IF(I900="Entertainment",1,0)</f>
        <v>0</v>
      </c>
      <c r="M900" s="9">
        <f t="shared" ref="M900:M959" si="344">IF(I900="Nonprofits &amp; Activism",1,0)</f>
        <v>0</v>
      </c>
      <c r="N900" s="9">
        <f t="shared" ref="N900:N959" si="345">IF(I900="Education",1,0)</f>
        <v>0</v>
      </c>
      <c r="O900" s="9">
        <f t="shared" ref="O900:O959" si="346">IF(I900="Shows",1,0)</f>
        <v>0</v>
      </c>
      <c r="P900" s="9">
        <f t="shared" ref="P900:P959" si="347">IF(I900="People &amp; Blogs",1,0)</f>
        <v>0</v>
      </c>
      <c r="Q900" s="9">
        <f t="shared" ref="Q900:Q959" si="348">IF(I900="Gaming",1,0)</f>
        <v>0</v>
      </c>
      <c r="R900" s="9">
        <f t="shared" ref="R900:R959" si="349">IF(I900="Sports",1,0)</f>
        <v>0</v>
      </c>
      <c r="S900" s="9">
        <f t="shared" ref="S900:S959" si="350">IF(I900="Howto &amp; Style",1,0)</f>
        <v>0</v>
      </c>
      <c r="T900" s="9">
        <f t="shared" ref="T900:T959" si="351">IF(I900="News &amp; Politics",1,0)</f>
        <v>0</v>
      </c>
      <c r="U900" s="9">
        <f t="shared" ref="U900:U959" si="352">IF(I900="Comedy",1,0)</f>
        <v>0</v>
      </c>
      <c r="V900" s="9">
        <f t="shared" ref="V900:V959" si="353">IF(I900="Trailers",1,0)</f>
        <v>0</v>
      </c>
      <c r="W900" s="9">
        <f t="shared" ref="W900:W959" si="354">IF(I900="Movies",1,0)</f>
        <v>0</v>
      </c>
      <c r="X900" s="9">
        <f t="shared" ref="X900:X959" si="355">IF(I900="Autos &amp; Vehicles",1,0)</f>
        <v>0</v>
      </c>
      <c r="Y900" s="9">
        <f t="shared" ref="Y900:Y959" si="356">IF(I900="Pets &amp; Animals",1,0)</f>
        <v>0</v>
      </c>
      <c r="Z900" s="9">
        <f t="shared" ref="Z900:Z959" si="357">IF(I900="Science &amp; Technology",1,0)</f>
        <v>0</v>
      </c>
      <c r="AA900" s="10">
        <f t="shared" ref="AA900:AA959" si="358">IF(I900="Travel &amp; Events",1,0)</f>
        <v>0</v>
      </c>
    </row>
    <row r="901" spans="1:27" x14ac:dyDescent="0.3">
      <c r="A901" s="4" t="s">
        <v>1303</v>
      </c>
      <c r="B901" s="4">
        <f t="shared" si="336"/>
        <v>0</v>
      </c>
      <c r="C901" s="4">
        <f t="shared" si="337"/>
        <v>0</v>
      </c>
      <c r="D901" s="4">
        <f t="shared" si="338"/>
        <v>0</v>
      </c>
      <c r="E901" s="4">
        <f t="shared" si="339"/>
        <v>0</v>
      </c>
      <c r="F901" s="4">
        <f t="shared" si="340"/>
        <v>1</v>
      </c>
      <c r="G901" s="4">
        <f t="shared" si="341"/>
        <v>0</v>
      </c>
      <c r="I901" s="8" t="s">
        <v>1294</v>
      </c>
      <c r="J901" s="9">
        <f t="shared" si="342"/>
        <v>0</v>
      </c>
      <c r="K901" s="9">
        <f t="shared" ref="K901:K959" si="359">IF(I901="Film &amp; Animation",1,0)</f>
        <v>0</v>
      </c>
      <c r="L901" s="9">
        <f t="shared" si="343"/>
        <v>0</v>
      </c>
      <c r="M901" s="9">
        <f t="shared" si="344"/>
        <v>0</v>
      </c>
      <c r="N901" s="9">
        <f t="shared" si="345"/>
        <v>0</v>
      </c>
      <c r="O901" s="9">
        <f t="shared" si="346"/>
        <v>0</v>
      </c>
      <c r="P901" s="9">
        <f t="shared" si="347"/>
        <v>0</v>
      </c>
      <c r="Q901" s="9">
        <f t="shared" si="348"/>
        <v>0</v>
      </c>
      <c r="R901" s="9">
        <f t="shared" si="349"/>
        <v>0</v>
      </c>
      <c r="S901" s="9">
        <f t="shared" si="350"/>
        <v>0</v>
      </c>
      <c r="T901" s="9">
        <f t="shared" si="351"/>
        <v>0</v>
      </c>
      <c r="U901" s="9">
        <f t="shared" si="352"/>
        <v>0</v>
      </c>
      <c r="V901" s="9">
        <f t="shared" si="353"/>
        <v>0</v>
      </c>
      <c r="W901" s="9">
        <f t="shared" si="354"/>
        <v>0</v>
      </c>
      <c r="X901" s="9">
        <f t="shared" si="355"/>
        <v>0</v>
      </c>
      <c r="Y901" s="9">
        <f t="shared" si="356"/>
        <v>0</v>
      </c>
      <c r="Z901" s="9">
        <f t="shared" si="357"/>
        <v>0</v>
      </c>
      <c r="AA901" s="10">
        <f t="shared" si="358"/>
        <v>0</v>
      </c>
    </row>
    <row r="902" spans="1:27" x14ac:dyDescent="0.3">
      <c r="A902" s="18" t="s">
        <v>1303</v>
      </c>
      <c r="B902" s="4">
        <f t="shared" si="336"/>
        <v>0</v>
      </c>
      <c r="C902" s="4">
        <f t="shared" si="337"/>
        <v>0</v>
      </c>
      <c r="D902" s="4">
        <f t="shared" si="338"/>
        <v>0</v>
      </c>
      <c r="E902" s="4">
        <f t="shared" si="339"/>
        <v>0</v>
      </c>
      <c r="F902" s="4">
        <f t="shared" si="340"/>
        <v>1</v>
      </c>
      <c r="G902" s="4">
        <f t="shared" si="341"/>
        <v>0</v>
      </c>
      <c r="I902" s="11" t="s">
        <v>1294</v>
      </c>
      <c r="J902" s="9">
        <f t="shared" si="342"/>
        <v>0</v>
      </c>
      <c r="K902" s="9">
        <f t="shared" si="359"/>
        <v>0</v>
      </c>
      <c r="L902" s="9">
        <f t="shared" si="343"/>
        <v>0</v>
      </c>
      <c r="M902" s="9">
        <f t="shared" si="344"/>
        <v>0</v>
      </c>
      <c r="N902" s="9">
        <f t="shared" si="345"/>
        <v>0</v>
      </c>
      <c r="O902" s="9">
        <f t="shared" si="346"/>
        <v>0</v>
      </c>
      <c r="P902" s="9">
        <f t="shared" si="347"/>
        <v>0</v>
      </c>
      <c r="Q902" s="9">
        <f t="shared" si="348"/>
        <v>0</v>
      </c>
      <c r="R902" s="9">
        <f t="shared" si="349"/>
        <v>0</v>
      </c>
      <c r="S902" s="9">
        <f t="shared" si="350"/>
        <v>0</v>
      </c>
      <c r="T902" s="9">
        <f t="shared" si="351"/>
        <v>0</v>
      </c>
      <c r="U902" s="9">
        <f t="shared" si="352"/>
        <v>0</v>
      </c>
      <c r="V902" s="9">
        <f t="shared" si="353"/>
        <v>0</v>
      </c>
      <c r="W902" s="9">
        <f t="shared" si="354"/>
        <v>0</v>
      </c>
      <c r="X902" s="9">
        <f t="shared" si="355"/>
        <v>0</v>
      </c>
      <c r="Y902" s="9">
        <f t="shared" si="356"/>
        <v>0</v>
      </c>
      <c r="Z902" s="9">
        <f t="shared" si="357"/>
        <v>0</v>
      </c>
      <c r="AA902" s="10">
        <f t="shared" si="358"/>
        <v>0</v>
      </c>
    </row>
    <row r="903" spans="1:27" x14ac:dyDescent="0.3">
      <c r="A903" s="4" t="s">
        <v>1303</v>
      </c>
      <c r="B903" s="4">
        <f t="shared" si="336"/>
        <v>0</v>
      </c>
      <c r="C903" s="4">
        <f t="shared" si="337"/>
        <v>0</v>
      </c>
      <c r="D903" s="4">
        <f t="shared" si="338"/>
        <v>0</v>
      </c>
      <c r="E903" s="4">
        <f t="shared" si="339"/>
        <v>0</v>
      </c>
      <c r="F903" s="4">
        <f t="shared" si="340"/>
        <v>1</v>
      </c>
      <c r="G903" s="4">
        <f t="shared" si="341"/>
        <v>0</v>
      </c>
      <c r="I903" s="8" t="s">
        <v>1011</v>
      </c>
      <c r="J903" s="9">
        <f t="shared" si="342"/>
        <v>0</v>
      </c>
      <c r="K903" s="9">
        <f t="shared" si="359"/>
        <v>0</v>
      </c>
      <c r="L903" s="9">
        <f t="shared" si="343"/>
        <v>0</v>
      </c>
      <c r="M903" s="9">
        <f t="shared" si="344"/>
        <v>0</v>
      </c>
      <c r="N903" s="9">
        <f t="shared" si="345"/>
        <v>0</v>
      </c>
      <c r="O903" s="9">
        <f t="shared" si="346"/>
        <v>0</v>
      </c>
      <c r="P903" s="9">
        <f t="shared" si="347"/>
        <v>0</v>
      </c>
      <c r="Q903" s="9">
        <f t="shared" si="348"/>
        <v>0</v>
      </c>
      <c r="R903" s="9">
        <f t="shared" si="349"/>
        <v>0</v>
      </c>
      <c r="S903" s="9">
        <f t="shared" si="350"/>
        <v>1</v>
      </c>
      <c r="T903" s="9">
        <f t="shared" si="351"/>
        <v>0</v>
      </c>
      <c r="U903" s="9">
        <f t="shared" si="352"/>
        <v>0</v>
      </c>
      <c r="V903" s="9">
        <f t="shared" si="353"/>
        <v>0</v>
      </c>
      <c r="W903" s="9">
        <f t="shared" si="354"/>
        <v>0</v>
      </c>
      <c r="X903" s="9">
        <f t="shared" si="355"/>
        <v>0</v>
      </c>
      <c r="Y903" s="9">
        <f t="shared" si="356"/>
        <v>0</v>
      </c>
      <c r="Z903" s="9">
        <f t="shared" si="357"/>
        <v>0</v>
      </c>
      <c r="AA903" s="10">
        <f t="shared" si="358"/>
        <v>0</v>
      </c>
    </row>
    <row r="904" spans="1:27" x14ac:dyDescent="0.3">
      <c r="A904" s="18" t="s">
        <v>1305</v>
      </c>
      <c r="B904" s="4">
        <f t="shared" si="336"/>
        <v>0</v>
      </c>
      <c r="C904" s="4">
        <f t="shared" si="337"/>
        <v>0</v>
      </c>
      <c r="D904" s="4">
        <f t="shared" si="338"/>
        <v>0</v>
      </c>
      <c r="E904" s="4">
        <f t="shared" si="339"/>
        <v>0</v>
      </c>
      <c r="F904" s="4">
        <f t="shared" si="340"/>
        <v>0</v>
      </c>
      <c r="G904" s="4">
        <f t="shared" si="341"/>
        <v>1</v>
      </c>
      <c r="I904" s="11" t="s">
        <v>988</v>
      </c>
      <c r="J904" s="9">
        <f t="shared" si="342"/>
        <v>0</v>
      </c>
      <c r="K904" s="9">
        <f t="shared" si="359"/>
        <v>0</v>
      </c>
      <c r="L904" s="9">
        <f t="shared" si="343"/>
        <v>1</v>
      </c>
      <c r="M904" s="9">
        <f t="shared" si="344"/>
        <v>0</v>
      </c>
      <c r="N904" s="9">
        <f t="shared" si="345"/>
        <v>0</v>
      </c>
      <c r="O904" s="9">
        <f t="shared" si="346"/>
        <v>0</v>
      </c>
      <c r="P904" s="9">
        <f t="shared" si="347"/>
        <v>0</v>
      </c>
      <c r="Q904" s="9">
        <f t="shared" si="348"/>
        <v>0</v>
      </c>
      <c r="R904" s="9">
        <f t="shared" si="349"/>
        <v>0</v>
      </c>
      <c r="S904" s="9">
        <f t="shared" si="350"/>
        <v>0</v>
      </c>
      <c r="T904" s="9">
        <f t="shared" si="351"/>
        <v>0</v>
      </c>
      <c r="U904" s="9">
        <f t="shared" si="352"/>
        <v>0</v>
      </c>
      <c r="V904" s="9">
        <f t="shared" si="353"/>
        <v>0</v>
      </c>
      <c r="W904" s="9">
        <f t="shared" si="354"/>
        <v>0</v>
      </c>
      <c r="X904" s="9">
        <f t="shared" si="355"/>
        <v>0</v>
      </c>
      <c r="Y904" s="9">
        <f t="shared" si="356"/>
        <v>0</v>
      </c>
      <c r="Z904" s="9">
        <f t="shared" si="357"/>
        <v>0</v>
      </c>
      <c r="AA904" s="10">
        <f t="shared" si="358"/>
        <v>0</v>
      </c>
    </row>
    <row r="905" spans="1:27" x14ac:dyDescent="0.3">
      <c r="A905" s="4" t="s">
        <v>1305</v>
      </c>
      <c r="B905" s="4">
        <f t="shared" si="336"/>
        <v>0</v>
      </c>
      <c r="C905" s="4">
        <f t="shared" si="337"/>
        <v>0</v>
      </c>
      <c r="D905" s="4">
        <f t="shared" si="338"/>
        <v>0</v>
      </c>
      <c r="E905" s="4">
        <f t="shared" si="339"/>
        <v>0</v>
      </c>
      <c r="F905" s="4">
        <f t="shared" si="340"/>
        <v>0</v>
      </c>
      <c r="G905" s="4">
        <f t="shared" si="341"/>
        <v>1</v>
      </c>
      <c r="I905" s="8" t="s">
        <v>996</v>
      </c>
      <c r="J905" s="9">
        <f t="shared" si="342"/>
        <v>0</v>
      </c>
      <c r="K905" s="9">
        <f t="shared" si="359"/>
        <v>0</v>
      </c>
      <c r="L905" s="9">
        <f t="shared" si="343"/>
        <v>0</v>
      </c>
      <c r="M905" s="9">
        <f t="shared" si="344"/>
        <v>0</v>
      </c>
      <c r="N905" s="9">
        <f t="shared" si="345"/>
        <v>0</v>
      </c>
      <c r="O905" s="9">
        <f t="shared" si="346"/>
        <v>0</v>
      </c>
      <c r="P905" s="9">
        <f t="shared" si="347"/>
        <v>0</v>
      </c>
      <c r="Q905" s="9">
        <f t="shared" si="348"/>
        <v>1</v>
      </c>
      <c r="R905" s="9">
        <f t="shared" si="349"/>
        <v>0</v>
      </c>
      <c r="S905" s="9">
        <f t="shared" si="350"/>
        <v>0</v>
      </c>
      <c r="T905" s="9">
        <f t="shared" si="351"/>
        <v>0</v>
      </c>
      <c r="U905" s="9">
        <f t="shared" si="352"/>
        <v>0</v>
      </c>
      <c r="V905" s="9">
        <f t="shared" si="353"/>
        <v>0</v>
      </c>
      <c r="W905" s="9">
        <f t="shared" si="354"/>
        <v>0</v>
      </c>
      <c r="X905" s="9">
        <f t="shared" si="355"/>
        <v>0</v>
      </c>
      <c r="Y905" s="9">
        <f t="shared" si="356"/>
        <v>0</v>
      </c>
      <c r="Z905" s="9">
        <f t="shared" si="357"/>
        <v>0</v>
      </c>
      <c r="AA905" s="10">
        <f t="shared" si="358"/>
        <v>0</v>
      </c>
    </row>
    <row r="906" spans="1:27" x14ac:dyDescent="0.3">
      <c r="A906" s="18" t="s">
        <v>1305</v>
      </c>
      <c r="B906" s="4">
        <f t="shared" si="336"/>
        <v>0</v>
      </c>
      <c r="C906" s="4">
        <f t="shared" si="337"/>
        <v>0</v>
      </c>
      <c r="D906" s="4">
        <f t="shared" si="338"/>
        <v>0</v>
      </c>
      <c r="E906" s="4">
        <f t="shared" si="339"/>
        <v>0</v>
      </c>
      <c r="F906" s="4">
        <f t="shared" si="340"/>
        <v>0</v>
      </c>
      <c r="G906" s="4">
        <f t="shared" si="341"/>
        <v>1</v>
      </c>
      <c r="I906" s="11" t="s">
        <v>1044</v>
      </c>
      <c r="J906" s="9">
        <f t="shared" si="342"/>
        <v>0</v>
      </c>
      <c r="K906" s="9">
        <f t="shared" si="359"/>
        <v>0</v>
      </c>
      <c r="L906" s="9">
        <f t="shared" si="343"/>
        <v>0</v>
      </c>
      <c r="M906" s="9">
        <f t="shared" si="344"/>
        <v>0</v>
      </c>
      <c r="N906" s="9">
        <f t="shared" si="345"/>
        <v>0</v>
      </c>
      <c r="O906" s="9">
        <f t="shared" si="346"/>
        <v>0</v>
      </c>
      <c r="P906" s="9">
        <f t="shared" si="347"/>
        <v>0</v>
      </c>
      <c r="Q906" s="9">
        <f t="shared" si="348"/>
        <v>0</v>
      </c>
      <c r="R906" s="9">
        <f t="shared" si="349"/>
        <v>0</v>
      </c>
      <c r="S906" s="9">
        <f t="shared" si="350"/>
        <v>0</v>
      </c>
      <c r="T906" s="9">
        <f t="shared" si="351"/>
        <v>0</v>
      </c>
      <c r="U906" s="9">
        <f t="shared" si="352"/>
        <v>1</v>
      </c>
      <c r="V906" s="9">
        <f t="shared" si="353"/>
        <v>0</v>
      </c>
      <c r="W906" s="9">
        <f t="shared" si="354"/>
        <v>0</v>
      </c>
      <c r="X906" s="9">
        <f t="shared" si="355"/>
        <v>0</v>
      </c>
      <c r="Y906" s="9">
        <f t="shared" si="356"/>
        <v>0</v>
      </c>
      <c r="Z906" s="9">
        <f t="shared" si="357"/>
        <v>0</v>
      </c>
      <c r="AA906" s="10">
        <f t="shared" si="358"/>
        <v>0</v>
      </c>
    </row>
    <row r="907" spans="1:27" x14ac:dyDescent="0.3">
      <c r="A907" s="4" t="s">
        <v>1304</v>
      </c>
      <c r="B907" s="4">
        <f t="shared" si="336"/>
        <v>0</v>
      </c>
      <c r="C907" s="4">
        <f t="shared" si="337"/>
        <v>1</v>
      </c>
      <c r="D907" s="4">
        <f t="shared" si="338"/>
        <v>0</v>
      </c>
      <c r="E907" s="4">
        <f t="shared" si="339"/>
        <v>0</v>
      </c>
      <c r="F907" s="4">
        <f t="shared" si="340"/>
        <v>0</v>
      </c>
      <c r="G907" s="4">
        <f t="shared" si="341"/>
        <v>0</v>
      </c>
      <c r="I907" s="8" t="s">
        <v>994</v>
      </c>
      <c r="J907" s="9">
        <f t="shared" si="342"/>
        <v>0</v>
      </c>
      <c r="K907" s="9">
        <f t="shared" si="359"/>
        <v>0</v>
      </c>
      <c r="L907" s="9">
        <f t="shared" si="343"/>
        <v>0</v>
      </c>
      <c r="M907" s="9">
        <f t="shared" si="344"/>
        <v>0</v>
      </c>
      <c r="N907" s="9">
        <f t="shared" si="345"/>
        <v>0</v>
      </c>
      <c r="O907" s="9">
        <f t="shared" si="346"/>
        <v>0</v>
      </c>
      <c r="P907" s="9">
        <f t="shared" si="347"/>
        <v>1</v>
      </c>
      <c r="Q907" s="9">
        <f t="shared" si="348"/>
        <v>0</v>
      </c>
      <c r="R907" s="9">
        <f t="shared" si="349"/>
        <v>0</v>
      </c>
      <c r="S907" s="9">
        <f t="shared" si="350"/>
        <v>0</v>
      </c>
      <c r="T907" s="9">
        <f t="shared" si="351"/>
        <v>0</v>
      </c>
      <c r="U907" s="9">
        <f t="shared" si="352"/>
        <v>0</v>
      </c>
      <c r="V907" s="9">
        <f t="shared" si="353"/>
        <v>0</v>
      </c>
      <c r="W907" s="9">
        <f t="shared" si="354"/>
        <v>0</v>
      </c>
      <c r="X907" s="9">
        <f t="shared" si="355"/>
        <v>0</v>
      </c>
      <c r="Y907" s="9">
        <f t="shared" si="356"/>
        <v>0</v>
      </c>
      <c r="Z907" s="9">
        <f t="shared" si="357"/>
        <v>0</v>
      </c>
      <c r="AA907" s="10">
        <f t="shared" si="358"/>
        <v>0</v>
      </c>
    </row>
    <row r="908" spans="1:27" x14ac:dyDescent="0.3">
      <c r="A908" s="18" t="s">
        <v>1303</v>
      </c>
      <c r="B908" s="4">
        <f t="shared" si="336"/>
        <v>0</v>
      </c>
      <c r="C908" s="4">
        <f t="shared" si="337"/>
        <v>0</v>
      </c>
      <c r="D908" s="4">
        <f t="shared" si="338"/>
        <v>0</v>
      </c>
      <c r="E908" s="4">
        <f t="shared" si="339"/>
        <v>0</v>
      </c>
      <c r="F908" s="4">
        <f t="shared" si="340"/>
        <v>1</v>
      </c>
      <c r="G908" s="4">
        <f t="shared" si="341"/>
        <v>0</v>
      </c>
      <c r="I908" s="11" t="s">
        <v>977</v>
      </c>
      <c r="J908" s="9">
        <f t="shared" si="342"/>
        <v>1</v>
      </c>
      <c r="K908" s="9">
        <f t="shared" si="359"/>
        <v>0</v>
      </c>
      <c r="L908" s="9">
        <f t="shared" si="343"/>
        <v>0</v>
      </c>
      <c r="M908" s="9">
        <f t="shared" si="344"/>
        <v>0</v>
      </c>
      <c r="N908" s="9">
        <f t="shared" si="345"/>
        <v>0</v>
      </c>
      <c r="O908" s="9">
        <f t="shared" si="346"/>
        <v>0</v>
      </c>
      <c r="P908" s="9">
        <f t="shared" si="347"/>
        <v>0</v>
      </c>
      <c r="Q908" s="9">
        <f t="shared" si="348"/>
        <v>0</v>
      </c>
      <c r="R908" s="9">
        <f t="shared" si="349"/>
        <v>0</v>
      </c>
      <c r="S908" s="9">
        <f t="shared" si="350"/>
        <v>0</v>
      </c>
      <c r="T908" s="9">
        <f t="shared" si="351"/>
        <v>0</v>
      </c>
      <c r="U908" s="9">
        <f t="shared" si="352"/>
        <v>0</v>
      </c>
      <c r="V908" s="9">
        <f t="shared" si="353"/>
        <v>0</v>
      </c>
      <c r="W908" s="9">
        <f t="shared" si="354"/>
        <v>0</v>
      </c>
      <c r="X908" s="9">
        <f t="shared" si="355"/>
        <v>0</v>
      </c>
      <c r="Y908" s="9">
        <f t="shared" si="356"/>
        <v>0</v>
      </c>
      <c r="Z908" s="9">
        <f t="shared" si="357"/>
        <v>0</v>
      </c>
      <c r="AA908" s="10">
        <f t="shared" si="358"/>
        <v>0</v>
      </c>
    </row>
    <row r="909" spans="1:27" x14ac:dyDescent="0.3">
      <c r="A909" s="4" t="s">
        <v>1303</v>
      </c>
      <c r="B909" s="4">
        <f t="shared" si="336"/>
        <v>0</v>
      </c>
      <c r="C909" s="4">
        <f t="shared" si="337"/>
        <v>0</v>
      </c>
      <c r="D909" s="4">
        <f t="shared" si="338"/>
        <v>0</v>
      </c>
      <c r="E909" s="4">
        <f t="shared" si="339"/>
        <v>0</v>
      </c>
      <c r="F909" s="4">
        <f t="shared" si="340"/>
        <v>1</v>
      </c>
      <c r="G909" s="4">
        <f t="shared" si="341"/>
        <v>0</v>
      </c>
      <c r="I909" s="8" t="s">
        <v>977</v>
      </c>
      <c r="J909" s="9">
        <f t="shared" si="342"/>
        <v>1</v>
      </c>
      <c r="K909" s="9">
        <f t="shared" si="359"/>
        <v>0</v>
      </c>
      <c r="L909" s="9">
        <f t="shared" si="343"/>
        <v>0</v>
      </c>
      <c r="M909" s="9">
        <f t="shared" si="344"/>
        <v>0</v>
      </c>
      <c r="N909" s="9">
        <f t="shared" si="345"/>
        <v>0</v>
      </c>
      <c r="O909" s="9">
        <f t="shared" si="346"/>
        <v>0</v>
      </c>
      <c r="P909" s="9">
        <f t="shared" si="347"/>
        <v>0</v>
      </c>
      <c r="Q909" s="9">
        <f t="shared" si="348"/>
        <v>0</v>
      </c>
      <c r="R909" s="9">
        <f t="shared" si="349"/>
        <v>0</v>
      </c>
      <c r="S909" s="9">
        <f t="shared" si="350"/>
        <v>0</v>
      </c>
      <c r="T909" s="9">
        <f t="shared" si="351"/>
        <v>0</v>
      </c>
      <c r="U909" s="9">
        <f t="shared" si="352"/>
        <v>0</v>
      </c>
      <c r="V909" s="9">
        <f t="shared" si="353"/>
        <v>0</v>
      </c>
      <c r="W909" s="9">
        <f t="shared" si="354"/>
        <v>0</v>
      </c>
      <c r="X909" s="9">
        <f t="shared" si="355"/>
        <v>0</v>
      </c>
      <c r="Y909" s="9">
        <f t="shared" si="356"/>
        <v>0</v>
      </c>
      <c r="Z909" s="9">
        <f t="shared" si="357"/>
        <v>0</v>
      </c>
      <c r="AA909" s="10">
        <f t="shared" si="358"/>
        <v>0</v>
      </c>
    </row>
    <row r="910" spans="1:27" x14ac:dyDescent="0.3">
      <c r="A910" s="18" t="s">
        <v>1304</v>
      </c>
      <c r="B910" s="4">
        <f t="shared" si="336"/>
        <v>0</v>
      </c>
      <c r="C910" s="4">
        <f t="shared" si="337"/>
        <v>1</v>
      </c>
      <c r="D910" s="4">
        <f t="shared" si="338"/>
        <v>0</v>
      </c>
      <c r="E910" s="4">
        <f t="shared" si="339"/>
        <v>0</v>
      </c>
      <c r="F910" s="4">
        <f t="shared" si="340"/>
        <v>0</v>
      </c>
      <c r="G910" s="4">
        <f t="shared" si="341"/>
        <v>0</v>
      </c>
      <c r="I910" s="11" t="s">
        <v>994</v>
      </c>
      <c r="J910" s="9">
        <f t="shared" si="342"/>
        <v>0</v>
      </c>
      <c r="K910" s="9">
        <f t="shared" si="359"/>
        <v>0</v>
      </c>
      <c r="L910" s="9">
        <f t="shared" si="343"/>
        <v>0</v>
      </c>
      <c r="M910" s="9">
        <f t="shared" si="344"/>
        <v>0</v>
      </c>
      <c r="N910" s="9">
        <f t="shared" si="345"/>
        <v>0</v>
      </c>
      <c r="O910" s="9">
        <f t="shared" si="346"/>
        <v>0</v>
      </c>
      <c r="P910" s="9">
        <f t="shared" si="347"/>
        <v>1</v>
      </c>
      <c r="Q910" s="9">
        <f t="shared" si="348"/>
        <v>0</v>
      </c>
      <c r="R910" s="9">
        <f t="shared" si="349"/>
        <v>0</v>
      </c>
      <c r="S910" s="9">
        <f t="shared" si="350"/>
        <v>0</v>
      </c>
      <c r="T910" s="9">
        <f t="shared" si="351"/>
        <v>0</v>
      </c>
      <c r="U910" s="9">
        <f t="shared" si="352"/>
        <v>0</v>
      </c>
      <c r="V910" s="9">
        <f t="shared" si="353"/>
        <v>0</v>
      </c>
      <c r="W910" s="9">
        <f t="shared" si="354"/>
        <v>0</v>
      </c>
      <c r="X910" s="9">
        <f t="shared" si="355"/>
        <v>0</v>
      </c>
      <c r="Y910" s="9">
        <f t="shared" si="356"/>
        <v>0</v>
      </c>
      <c r="Z910" s="9">
        <f t="shared" si="357"/>
        <v>0</v>
      </c>
      <c r="AA910" s="10">
        <f t="shared" si="358"/>
        <v>0</v>
      </c>
    </row>
    <row r="911" spans="1:27" x14ac:dyDescent="0.3">
      <c r="A911" s="4" t="s">
        <v>1304</v>
      </c>
      <c r="B911" s="4">
        <f t="shared" si="336"/>
        <v>0</v>
      </c>
      <c r="C911" s="4">
        <f t="shared" si="337"/>
        <v>1</v>
      </c>
      <c r="D911" s="4">
        <f t="shared" si="338"/>
        <v>0</v>
      </c>
      <c r="E911" s="4">
        <f t="shared" si="339"/>
        <v>0</v>
      </c>
      <c r="F911" s="4">
        <f t="shared" si="340"/>
        <v>0</v>
      </c>
      <c r="G911" s="4">
        <f t="shared" si="341"/>
        <v>0</v>
      </c>
      <c r="I911" s="8" t="s">
        <v>996</v>
      </c>
      <c r="J911" s="9">
        <f t="shared" si="342"/>
        <v>0</v>
      </c>
      <c r="K911" s="9">
        <f t="shared" si="359"/>
        <v>0</v>
      </c>
      <c r="L911" s="9">
        <f t="shared" si="343"/>
        <v>0</v>
      </c>
      <c r="M911" s="9">
        <f t="shared" si="344"/>
        <v>0</v>
      </c>
      <c r="N911" s="9">
        <f t="shared" si="345"/>
        <v>0</v>
      </c>
      <c r="O911" s="9">
        <f t="shared" si="346"/>
        <v>0</v>
      </c>
      <c r="P911" s="9">
        <f t="shared" si="347"/>
        <v>0</v>
      </c>
      <c r="Q911" s="9">
        <f t="shared" si="348"/>
        <v>1</v>
      </c>
      <c r="R911" s="9">
        <f t="shared" si="349"/>
        <v>0</v>
      </c>
      <c r="S911" s="9">
        <f t="shared" si="350"/>
        <v>0</v>
      </c>
      <c r="T911" s="9">
        <f t="shared" si="351"/>
        <v>0</v>
      </c>
      <c r="U911" s="9">
        <f t="shared" si="352"/>
        <v>0</v>
      </c>
      <c r="V911" s="9">
        <f t="shared" si="353"/>
        <v>0</v>
      </c>
      <c r="W911" s="9">
        <f t="shared" si="354"/>
        <v>0</v>
      </c>
      <c r="X911" s="9">
        <f t="shared" si="355"/>
        <v>0</v>
      </c>
      <c r="Y911" s="9">
        <f t="shared" si="356"/>
        <v>0</v>
      </c>
      <c r="Z911" s="9">
        <f t="shared" si="357"/>
        <v>0</v>
      </c>
      <c r="AA911" s="10">
        <f t="shared" si="358"/>
        <v>0</v>
      </c>
    </row>
    <row r="912" spans="1:27" x14ac:dyDescent="0.3">
      <c r="A912" s="18" t="s">
        <v>1294</v>
      </c>
      <c r="B912" s="4">
        <f t="shared" si="336"/>
        <v>0</v>
      </c>
      <c r="C912" s="4">
        <f t="shared" si="337"/>
        <v>0</v>
      </c>
      <c r="D912" s="4">
        <f t="shared" si="338"/>
        <v>0</v>
      </c>
      <c r="E912" s="4">
        <f t="shared" si="339"/>
        <v>0</v>
      </c>
      <c r="F912" s="4">
        <f t="shared" si="340"/>
        <v>0</v>
      </c>
      <c r="G912" s="4">
        <f t="shared" si="341"/>
        <v>0</v>
      </c>
      <c r="I912" s="11" t="s">
        <v>977</v>
      </c>
      <c r="J912" s="9">
        <f t="shared" si="342"/>
        <v>1</v>
      </c>
      <c r="K912" s="9">
        <f t="shared" si="359"/>
        <v>0</v>
      </c>
      <c r="L912" s="9">
        <f t="shared" si="343"/>
        <v>0</v>
      </c>
      <c r="M912" s="9">
        <f t="shared" si="344"/>
        <v>0</v>
      </c>
      <c r="N912" s="9">
        <f t="shared" si="345"/>
        <v>0</v>
      </c>
      <c r="O912" s="9">
        <f t="shared" si="346"/>
        <v>0</v>
      </c>
      <c r="P912" s="9">
        <f t="shared" si="347"/>
        <v>0</v>
      </c>
      <c r="Q912" s="9">
        <f t="shared" si="348"/>
        <v>0</v>
      </c>
      <c r="R912" s="9">
        <f t="shared" si="349"/>
        <v>0</v>
      </c>
      <c r="S912" s="9">
        <f t="shared" si="350"/>
        <v>0</v>
      </c>
      <c r="T912" s="9">
        <f t="shared" si="351"/>
        <v>0</v>
      </c>
      <c r="U912" s="9">
        <f t="shared" si="352"/>
        <v>0</v>
      </c>
      <c r="V912" s="9">
        <f t="shared" si="353"/>
        <v>0</v>
      </c>
      <c r="W912" s="9">
        <f t="shared" si="354"/>
        <v>0</v>
      </c>
      <c r="X912" s="9">
        <f t="shared" si="355"/>
        <v>0</v>
      </c>
      <c r="Y912" s="9">
        <f t="shared" si="356"/>
        <v>0</v>
      </c>
      <c r="Z912" s="9">
        <f t="shared" si="357"/>
        <v>0</v>
      </c>
      <c r="AA912" s="10">
        <f t="shared" si="358"/>
        <v>0</v>
      </c>
    </row>
    <row r="913" spans="1:27" x14ac:dyDescent="0.3">
      <c r="A913" s="4" t="s">
        <v>1294</v>
      </c>
      <c r="B913" s="4">
        <f t="shared" si="336"/>
        <v>0</v>
      </c>
      <c r="C913" s="4">
        <f t="shared" si="337"/>
        <v>0</v>
      </c>
      <c r="D913" s="4">
        <f t="shared" si="338"/>
        <v>0</v>
      </c>
      <c r="E913" s="4">
        <f t="shared" si="339"/>
        <v>0</v>
      </c>
      <c r="F913" s="4">
        <f t="shared" si="340"/>
        <v>0</v>
      </c>
      <c r="G913" s="4">
        <f t="shared" si="341"/>
        <v>0</v>
      </c>
      <c r="I913" s="8" t="s">
        <v>994</v>
      </c>
      <c r="J913" s="9">
        <f t="shared" si="342"/>
        <v>0</v>
      </c>
      <c r="K913" s="9">
        <f t="shared" si="359"/>
        <v>0</v>
      </c>
      <c r="L913" s="9">
        <f t="shared" si="343"/>
        <v>0</v>
      </c>
      <c r="M913" s="9">
        <f t="shared" si="344"/>
        <v>0</v>
      </c>
      <c r="N913" s="9">
        <f t="shared" si="345"/>
        <v>0</v>
      </c>
      <c r="O913" s="9">
        <f t="shared" si="346"/>
        <v>0</v>
      </c>
      <c r="P913" s="9">
        <f t="shared" si="347"/>
        <v>1</v>
      </c>
      <c r="Q913" s="9">
        <f t="shared" si="348"/>
        <v>0</v>
      </c>
      <c r="R913" s="9">
        <f t="shared" si="349"/>
        <v>0</v>
      </c>
      <c r="S913" s="9">
        <f t="shared" si="350"/>
        <v>0</v>
      </c>
      <c r="T913" s="9">
        <f t="shared" si="351"/>
        <v>0</v>
      </c>
      <c r="U913" s="9">
        <f t="shared" si="352"/>
        <v>0</v>
      </c>
      <c r="V913" s="9">
        <f t="shared" si="353"/>
        <v>0</v>
      </c>
      <c r="W913" s="9">
        <f t="shared" si="354"/>
        <v>0</v>
      </c>
      <c r="X913" s="9">
        <f t="shared" si="355"/>
        <v>0</v>
      </c>
      <c r="Y913" s="9">
        <f t="shared" si="356"/>
        <v>0</v>
      </c>
      <c r="Z913" s="9">
        <f t="shared" si="357"/>
        <v>0</v>
      </c>
      <c r="AA913" s="10">
        <f t="shared" si="358"/>
        <v>0</v>
      </c>
    </row>
    <row r="914" spans="1:27" x14ac:dyDescent="0.3">
      <c r="A914" s="18" t="s">
        <v>1294</v>
      </c>
      <c r="B914" s="4">
        <f t="shared" si="336"/>
        <v>0</v>
      </c>
      <c r="C914" s="4">
        <f t="shared" si="337"/>
        <v>0</v>
      </c>
      <c r="D914" s="4">
        <f t="shared" si="338"/>
        <v>0</v>
      </c>
      <c r="E914" s="4">
        <f t="shared" si="339"/>
        <v>0</v>
      </c>
      <c r="F914" s="4">
        <f t="shared" si="340"/>
        <v>0</v>
      </c>
      <c r="G914" s="4">
        <f t="shared" si="341"/>
        <v>0</v>
      </c>
      <c r="I914" s="11" t="s">
        <v>1011</v>
      </c>
      <c r="J914" s="9">
        <f t="shared" si="342"/>
        <v>0</v>
      </c>
      <c r="K914" s="9">
        <f t="shared" si="359"/>
        <v>0</v>
      </c>
      <c r="L914" s="9">
        <f t="shared" si="343"/>
        <v>0</v>
      </c>
      <c r="M914" s="9">
        <f t="shared" si="344"/>
        <v>0</v>
      </c>
      <c r="N914" s="9">
        <f t="shared" si="345"/>
        <v>0</v>
      </c>
      <c r="O914" s="9">
        <f t="shared" si="346"/>
        <v>0</v>
      </c>
      <c r="P914" s="9">
        <f t="shared" si="347"/>
        <v>0</v>
      </c>
      <c r="Q914" s="9">
        <f t="shared" si="348"/>
        <v>0</v>
      </c>
      <c r="R914" s="9">
        <f t="shared" si="349"/>
        <v>0</v>
      </c>
      <c r="S914" s="9">
        <f t="shared" si="350"/>
        <v>1</v>
      </c>
      <c r="T914" s="9">
        <f t="shared" si="351"/>
        <v>0</v>
      </c>
      <c r="U914" s="9">
        <f t="shared" si="352"/>
        <v>0</v>
      </c>
      <c r="V914" s="9">
        <f t="shared" si="353"/>
        <v>0</v>
      </c>
      <c r="W914" s="9">
        <f t="shared" si="354"/>
        <v>0</v>
      </c>
      <c r="X914" s="9">
        <f t="shared" si="355"/>
        <v>0</v>
      </c>
      <c r="Y914" s="9">
        <f t="shared" si="356"/>
        <v>0</v>
      </c>
      <c r="Z914" s="9">
        <f t="shared" si="357"/>
        <v>0</v>
      </c>
      <c r="AA914" s="10">
        <f t="shared" si="358"/>
        <v>0</v>
      </c>
    </row>
    <row r="915" spans="1:27" x14ac:dyDescent="0.3">
      <c r="A915" s="4" t="s">
        <v>1302</v>
      </c>
      <c r="B915" s="4">
        <f t="shared" si="336"/>
        <v>1</v>
      </c>
      <c r="C915" s="4">
        <f t="shared" si="337"/>
        <v>0</v>
      </c>
      <c r="D915" s="4">
        <f t="shared" si="338"/>
        <v>0</v>
      </c>
      <c r="E915" s="4">
        <f t="shared" si="339"/>
        <v>0</v>
      </c>
      <c r="F915" s="4">
        <f t="shared" si="340"/>
        <v>0</v>
      </c>
      <c r="G915" s="4">
        <f t="shared" si="341"/>
        <v>0</v>
      </c>
      <c r="I915" s="8" t="s">
        <v>994</v>
      </c>
      <c r="J915" s="9">
        <f t="shared" si="342"/>
        <v>0</v>
      </c>
      <c r="K915" s="9">
        <f t="shared" si="359"/>
        <v>0</v>
      </c>
      <c r="L915" s="9">
        <f t="shared" si="343"/>
        <v>0</v>
      </c>
      <c r="M915" s="9">
        <f t="shared" si="344"/>
        <v>0</v>
      </c>
      <c r="N915" s="9">
        <f t="shared" si="345"/>
        <v>0</v>
      </c>
      <c r="O915" s="9">
        <f t="shared" si="346"/>
        <v>0</v>
      </c>
      <c r="P915" s="9">
        <f t="shared" si="347"/>
        <v>1</v>
      </c>
      <c r="Q915" s="9">
        <f t="shared" si="348"/>
        <v>0</v>
      </c>
      <c r="R915" s="9">
        <f t="shared" si="349"/>
        <v>0</v>
      </c>
      <c r="S915" s="9">
        <f t="shared" si="350"/>
        <v>0</v>
      </c>
      <c r="T915" s="9">
        <f t="shared" si="351"/>
        <v>0</v>
      </c>
      <c r="U915" s="9">
        <f t="shared" si="352"/>
        <v>0</v>
      </c>
      <c r="V915" s="9">
        <f t="shared" si="353"/>
        <v>0</v>
      </c>
      <c r="W915" s="9">
        <f t="shared" si="354"/>
        <v>0</v>
      </c>
      <c r="X915" s="9">
        <f t="shared" si="355"/>
        <v>0</v>
      </c>
      <c r="Y915" s="9">
        <f t="shared" si="356"/>
        <v>0</v>
      </c>
      <c r="Z915" s="9">
        <f t="shared" si="357"/>
        <v>0</v>
      </c>
      <c r="AA915" s="10">
        <f t="shared" si="358"/>
        <v>0</v>
      </c>
    </row>
    <row r="916" spans="1:27" x14ac:dyDescent="0.3">
      <c r="A916" s="18" t="s">
        <v>1302</v>
      </c>
      <c r="B916" s="4">
        <f t="shared" si="336"/>
        <v>1</v>
      </c>
      <c r="C916" s="4">
        <f t="shared" si="337"/>
        <v>0</v>
      </c>
      <c r="D916" s="4">
        <f t="shared" si="338"/>
        <v>0</v>
      </c>
      <c r="E916" s="4">
        <f t="shared" si="339"/>
        <v>0</v>
      </c>
      <c r="F916" s="4">
        <f t="shared" si="340"/>
        <v>0</v>
      </c>
      <c r="G916" s="4">
        <f t="shared" si="341"/>
        <v>0</v>
      </c>
      <c r="I916" s="11" t="s">
        <v>1044</v>
      </c>
      <c r="J916" s="9">
        <f t="shared" si="342"/>
        <v>0</v>
      </c>
      <c r="K916" s="9">
        <f t="shared" si="359"/>
        <v>0</v>
      </c>
      <c r="L916" s="9">
        <f t="shared" si="343"/>
        <v>0</v>
      </c>
      <c r="M916" s="9">
        <f t="shared" si="344"/>
        <v>0</v>
      </c>
      <c r="N916" s="9">
        <f t="shared" si="345"/>
        <v>0</v>
      </c>
      <c r="O916" s="9">
        <f t="shared" si="346"/>
        <v>0</v>
      </c>
      <c r="P916" s="9">
        <f t="shared" si="347"/>
        <v>0</v>
      </c>
      <c r="Q916" s="9">
        <f t="shared" si="348"/>
        <v>0</v>
      </c>
      <c r="R916" s="9">
        <f t="shared" si="349"/>
        <v>0</v>
      </c>
      <c r="S916" s="9">
        <f t="shared" si="350"/>
        <v>0</v>
      </c>
      <c r="T916" s="9">
        <f t="shared" si="351"/>
        <v>0</v>
      </c>
      <c r="U916" s="9">
        <f t="shared" si="352"/>
        <v>1</v>
      </c>
      <c r="V916" s="9">
        <f t="shared" si="353"/>
        <v>0</v>
      </c>
      <c r="W916" s="9">
        <f t="shared" si="354"/>
        <v>0</v>
      </c>
      <c r="X916" s="9">
        <f t="shared" si="355"/>
        <v>0</v>
      </c>
      <c r="Y916" s="9">
        <f t="shared" si="356"/>
        <v>0</v>
      </c>
      <c r="Z916" s="9">
        <f t="shared" si="357"/>
        <v>0</v>
      </c>
      <c r="AA916" s="10">
        <f t="shared" si="358"/>
        <v>0</v>
      </c>
    </row>
    <row r="917" spans="1:27" x14ac:dyDescent="0.3">
      <c r="A917" s="4" t="s">
        <v>1302</v>
      </c>
      <c r="B917" s="4">
        <f t="shared" si="336"/>
        <v>1</v>
      </c>
      <c r="C917" s="4">
        <f t="shared" si="337"/>
        <v>0</v>
      </c>
      <c r="D917" s="4">
        <f t="shared" si="338"/>
        <v>0</v>
      </c>
      <c r="E917" s="4">
        <f t="shared" si="339"/>
        <v>0</v>
      </c>
      <c r="F917" s="4">
        <f t="shared" si="340"/>
        <v>0</v>
      </c>
      <c r="G917" s="4">
        <f t="shared" si="341"/>
        <v>0</v>
      </c>
      <c r="I917" s="8" t="s">
        <v>988</v>
      </c>
      <c r="J917" s="9">
        <f t="shared" si="342"/>
        <v>0</v>
      </c>
      <c r="K917" s="9">
        <f t="shared" si="359"/>
        <v>0</v>
      </c>
      <c r="L917" s="9">
        <f t="shared" si="343"/>
        <v>1</v>
      </c>
      <c r="M917" s="9">
        <f t="shared" si="344"/>
        <v>0</v>
      </c>
      <c r="N917" s="9">
        <f t="shared" si="345"/>
        <v>0</v>
      </c>
      <c r="O917" s="9">
        <f t="shared" si="346"/>
        <v>0</v>
      </c>
      <c r="P917" s="9">
        <f t="shared" si="347"/>
        <v>0</v>
      </c>
      <c r="Q917" s="9">
        <f t="shared" si="348"/>
        <v>0</v>
      </c>
      <c r="R917" s="9">
        <f t="shared" si="349"/>
        <v>0</v>
      </c>
      <c r="S917" s="9">
        <f t="shared" si="350"/>
        <v>0</v>
      </c>
      <c r="T917" s="9">
        <f t="shared" si="351"/>
        <v>0</v>
      </c>
      <c r="U917" s="9">
        <f t="shared" si="352"/>
        <v>0</v>
      </c>
      <c r="V917" s="9">
        <f t="shared" si="353"/>
        <v>0</v>
      </c>
      <c r="W917" s="9">
        <f t="shared" si="354"/>
        <v>0</v>
      </c>
      <c r="X917" s="9">
        <f t="shared" si="355"/>
        <v>0</v>
      </c>
      <c r="Y917" s="9">
        <f t="shared" si="356"/>
        <v>0</v>
      </c>
      <c r="Z917" s="9">
        <f t="shared" si="357"/>
        <v>0</v>
      </c>
      <c r="AA917" s="10">
        <f t="shared" si="358"/>
        <v>0</v>
      </c>
    </row>
    <row r="918" spans="1:27" x14ac:dyDescent="0.3">
      <c r="A918" s="18" t="s">
        <v>1302</v>
      </c>
      <c r="B918" s="4">
        <f t="shared" si="336"/>
        <v>1</v>
      </c>
      <c r="C918" s="4">
        <f t="shared" si="337"/>
        <v>0</v>
      </c>
      <c r="D918" s="4">
        <f t="shared" si="338"/>
        <v>0</v>
      </c>
      <c r="E918" s="4">
        <f t="shared" si="339"/>
        <v>0</v>
      </c>
      <c r="F918" s="4">
        <f t="shared" si="340"/>
        <v>0</v>
      </c>
      <c r="G918" s="4">
        <f t="shared" si="341"/>
        <v>0</v>
      </c>
      <c r="I918" s="11" t="s">
        <v>1011</v>
      </c>
      <c r="J918" s="9">
        <f t="shared" si="342"/>
        <v>0</v>
      </c>
      <c r="K918" s="9">
        <f t="shared" si="359"/>
        <v>0</v>
      </c>
      <c r="L918" s="9">
        <f t="shared" si="343"/>
        <v>0</v>
      </c>
      <c r="M918" s="9">
        <f t="shared" si="344"/>
        <v>0</v>
      </c>
      <c r="N918" s="9">
        <f t="shared" si="345"/>
        <v>0</v>
      </c>
      <c r="O918" s="9">
        <f t="shared" si="346"/>
        <v>0</v>
      </c>
      <c r="P918" s="9">
        <f t="shared" si="347"/>
        <v>0</v>
      </c>
      <c r="Q918" s="9">
        <f t="shared" si="348"/>
        <v>0</v>
      </c>
      <c r="R918" s="9">
        <f t="shared" si="349"/>
        <v>0</v>
      </c>
      <c r="S918" s="9">
        <f t="shared" si="350"/>
        <v>1</v>
      </c>
      <c r="T918" s="9">
        <f t="shared" si="351"/>
        <v>0</v>
      </c>
      <c r="U918" s="9">
        <f t="shared" si="352"/>
        <v>0</v>
      </c>
      <c r="V918" s="9">
        <f t="shared" si="353"/>
        <v>0</v>
      </c>
      <c r="W918" s="9">
        <f t="shared" si="354"/>
        <v>0</v>
      </c>
      <c r="X918" s="9">
        <f t="shared" si="355"/>
        <v>0</v>
      </c>
      <c r="Y918" s="9">
        <f t="shared" si="356"/>
        <v>0</v>
      </c>
      <c r="Z918" s="9">
        <f t="shared" si="357"/>
        <v>0</v>
      </c>
      <c r="AA918" s="10">
        <f t="shared" si="358"/>
        <v>0</v>
      </c>
    </row>
    <row r="919" spans="1:27" x14ac:dyDescent="0.3">
      <c r="A919" s="4" t="s">
        <v>1302</v>
      </c>
      <c r="B919" s="4">
        <f t="shared" si="336"/>
        <v>1</v>
      </c>
      <c r="C919" s="4">
        <f t="shared" si="337"/>
        <v>0</v>
      </c>
      <c r="D919" s="4">
        <f t="shared" si="338"/>
        <v>0</v>
      </c>
      <c r="E919" s="4">
        <f t="shared" si="339"/>
        <v>0</v>
      </c>
      <c r="F919" s="4">
        <f t="shared" si="340"/>
        <v>0</v>
      </c>
      <c r="G919" s="4">
        <f t="shared" si="341"/>
        <v>0</v>
      </c>
      <c r="I919" s="8" t="s">
        <v>988</v>
      </c>
      <c r="J919" s="9">
        <f t="shared" si="342"/>
        <v>0</v>
      </c>
      <c r="K919" s="9">
        <f t="shared" si="359"/>
        <v>0</v>
      </c>
      <c r="L919" s="9">
        <f t="shared" si="343"/>
        <v>1</v>
      </c>
      <c r="M919" s="9">
        <f t="shared" si="344"/>
        <v>0</v>
      </c>
      <c r="N919" s="9">
        <f t="shared" si="345"/>
        <v>0</v>
      </c>
      <c r="O919" s="9">
        <f t="shared" si="346"/>
        <v>0</v>
      </c>
      <c r="P919" s="9">
        <f t="shared" si="347"/>
        <v>0</v>
      </c>
      <c r="Q919" s="9">
        <f t="shared" si="348"/>
        <v>0</v>
      </c>
      <c r="R919" s="9">
        <f t="shared" si="349"/>
        <v>0</v>
      </c>
      <c r="S919" s="9">
        <f t="shared" si="350"/>
        <v>0</v>
      </c>
      <c r="T919" s="9">
        <f t="shared" si="351"/>
        <v>0</v>
      </c>
      <c r="U919" s="9">
        <f t="shared" si="352"/>
        <v>0</v>
      </c>
      <c r="V919" s="9">
        <f t="shared" si="353"/>
        <v>0</v>
      </c>
      <c r="W919" s="9">
        <f t="shared" si="354"/>
        <v>0</v>
      </c>
      <c r="X919" s="9">
        <f t="shared" si="355"/>
        <v>0</v>
      </c>
      <c r="Y919" s="9">
        <f t="shared" si="356"/>
        <v>0</v>
      </c>
      <c r="Z919" s="9">
        <f t="shared" si="357"/>
        <v>0</v>
      </c>
      <c r="AA919" s="10">
        <f t="shared" si="358"/>
        <v>0</v>
      </c>
    </row>
    <row r="920" spans="1:27" x14ac:dyDescent="0.3">
      <c r="A920" s="18" t="s">
        <v>1302</v>
      </c>
      <c r="B920" s="4">
        <f t="shared" si="336"/>
        <v>1</v>
      </c>
      <c r="C920" s="4">
        <f t="shared" si="337"/>
        <v>0</v>
      </c>
      <c r="D920" s="4">
        <f t="shared" si="338"/>
        <v>0</v>
      </c>
      <c r="E920" s="4">
        <f t="shared" si="339"/>
        <v>0</v>
      </c>
      <c r="F920" s="4">
        <f t="shared" si="340"/>
        <v>0</v>
      </c>
      <c r="G920" s="4">
        <f t="shared" si="341"/>
        <v>0</v>
      </c>
      <c r="I920" s="11" t="s">
        <v>977</v>
      </c>
      <c r="J920" s="9">
        <f t="shared" si="342"/>
        <v>1</v>
      </c>
      <c r="K920" s="9">
        <f t="shared" si="359"/>
        <v>0</v>
      </c>
      <c r="L920" s="9">
        <f t="shared" si="343"/>
        <v>0</v>
      </c>
      <c r="M920" s="9">
        <f t="shared" si="344"/>
        <v>0</v>
      </c>
      <c r="N920" s="9">
        <f t="shared" si="345"/>
        <v>0</v>
      </c>
      <c r="O920" s="9">
        <f t="shared" si="346"/>
        <v>0</v>
      </c>
      <c r="P920" s="9">
        <f t="shared" si="347"/>
        <v>0</v>
      </c>
      <c r="Q920" s="9">
        <f t="shared" si="348"/>
        <v>0</v>
      </c>
      <c r="R920" s="9">
        <f t="shared" si="349"/>
        <v>0</v>
      </c>
      <c r="S920" s="9">
        <f t="shared" si="350"/>
        <v>0</v>
      </c>
      <c r="T920" s="9">
        <f t="shared" si="351"/>
        <v>0</v>
      </c>
      <c r="U920" s="9">
        <f t="shared" si="352"/>
        <v>0</v>
      </c>
      <c r="V920" s="9">
        <f t="shared" si="353"/>
        <v>0</v>
      </c>
      <c r="W920" s="9">
        <f t="shared" si="354"/>
        <v>0</v>
      </c>
      <c r="X920" s="9">
        <f t="shared" si="355"/>
        <v>0</v>
      </c>
      <c r="Y920" s="9">
        <f t="shared" si="356"/>
        <v>0</v>
      </c>
      <c r="Z920" s="9">
        <f t="shared" si="357"/>
        <v>0</v>
      </c>
      <c r="AA920" s="10">
        <f t="shared" si="358"/>
        <v>0</v>
      </c>
    </row>
    <row r="921" spans="1:27" x14ac:dyDescent="0.3">
      <c r="A921" s="4" t="s">
        <v>1302</v>
      </c>
      <c r="B921" s="4">
        <f t="shared" si="336"/>
        <v>1</v>
      </c>
      <c r="C921" s="4">
        <f t="shared" si="337"/>
        <v>0</v>
      </c>
      <c r="D921" s="4">
        <f t="shared" si="338"/>
        <v>0</v>
      </c>
      <c r="E921" s="4">
        <f t="shared" si="339"/>
        <v>0</v>
      </c>
      <c r="F921" s="4">
        <f t="shared" si="340"/>
        <v>0</v>
      </c>
      <c r="G921" s="4">
        <f t="shared" si="341"/>
        <v>0</v>
      </c>
      <c r="I921" s="8" t="s">
        <v>988</v>
      </c>
      <c r="J921" s="9">
        <f t="shared" si="342"/>
        <v>0</v>
      </c>
      <c r="K921" s="9">
        <f t="shared" si="359"/>
        <v>0</v>
      </c>
      <c r="L921" s="9">
        <f t="shared" si="343"/>
        <v>1</v>
      </c>
      <c r="M921" s="9">
        <f t="shared" si="344"/>
        <v>0</v>
      </c>
      <c r="N921" s="9">
        <f t="shared" si="345"/>
        <v>0</v>
      </c>
      <c r="O921" s="9">
        <f t="shared" si="346"/>
        <v>0</v>
      </c>
      <c r="P921" s="9">
        <f t="shared" si="347"/>
        <v>0</v>
      </c>
      <c r="Q921" s="9">
        <f t="shared" si="348"/>
        <v>0</v>
      </c>
      <c r="R921" s="9">
        <f t="shared" si="349"/>
        <v>0</v>
      </c>
      <c r="S921" s="9">
        <f t="shared" si="350"/>
        <v>0</v>
      </c>
      <c r="T921" s="9">
        <f t="shared" si="351"/>
        <v>0</v>
      </c>
      <c r="U921" s="9">
        <f t="shared" si="352"/>
        <v>0</v>
      </c>
      <c r="V921" s="9">
        <f t="shared" si="353"/>
        <v>0</v>
      </c>
      <c r="W921" s="9">
        <f t="shared" si="354"/>
        <v>0</v>
      </c>
      <c r="X921" s="9">
        <f t="shared" si="355"/>
        <v>0</v>
      </c>
      <c r="Y921" s="9">
        <f t="shared" si="356"/>
        <v>0</v>
      </c>
      <c r="Z921" s="9">
        <f t="shared" si="357"/>
        <v>0</v>
      </c>
      <c r="AA921" s="10">
        <f t="shared" si="358"/>
        <v>0</v>
      </c>
    </row>
    <row r="922" spans="1:27" x14ac:dyDescent="0.3">
      <c r="A922" s="18" t="s">
        <v>1303</v>
      </c>
      <c r="B922" s="4">
        <f t="shared" si="336"/>
        <v>0</v>
      </c>
      <c r="C922" s="4">
        <f t="shared" si="337"/>
        <v>0</v>
      </c>
      <c r="D922" s="4">
        <f t="shared" si="338"/>
        <v>0</v>
      </c>
      <c r="E922" s="4">
        <f t="shared" si="339"/>
        <v>0</v>
      </c>
      <c r="F922" s="4">
        <f t="shared" si="340"/>
        <v>1</v>
      </c>
      <c r="G922" s="4">
        <f t="shared" si="341"/>
        <v>0</v>
      </c>
      <c r="I922" s="11" t="s">
        <v>988</v>
      </c>
      <c r="J922" s="9">
        <f t="shared" si="342"/>
        <v>0</v>
      </c>
      <c r="K922" s="9">
        <f t="shared" si="359"/>
        <v>0</v>
      </c>
      <c r="L922" s="9">
        <f t="shared" si="343"/>
        <v>1</v>
      </c>
      <c r="M922" s="9">
        <f t="shared" si="344"/>
        <v>0</v>
      </c>
      <c r="N922" s="9">
        <f t="shared" si="345"/>
        <v>0</v>
      </c>
      <c r="O922" s="9">
        <f t="shared" si="346"/>
        <v>0</v>
      </c>
      <c r="P922" s="9">
        <f t="shared" si="347"/>
        <v>0</v>
      </c>
      <c r="Q922" s="9">
        <f t="shared" si="348"/>
        <v>0</v>
      </c>
      <c r="R922" s="9">
        <f t="shared" si="349"/>
        <v>0</v>
      </c>
      <c r="S922" s="9">
        <f t="shared" si="350"/>
        <v>0</v>
      </c>
      <c r="T922" s="9">
        <f t="shared" si="351"/>
        <v>0</v>
      </c>
      <c r="U922" s="9">
        <f t="shared" si="352"/>
        <v>0</v>
      </c>
      <c r="V922" s="9">
        <f t="shared" si="353"/>
        <v>0</v>
      </c>
      <c r="W922" s="9">
        <f t="shared" si="354"/>
        <v>0</v>
      </c>
      <c r="X922" s="9">
        <f t="shared" si="355"/>
        <v>0</v>
      </c>
      <c r="Y922" s="9">
        <f t="shared" si="356"/>
        <v>0</v>
      </c>
      <c r="Z922" s="9">
        <f t="shared" si="357"/>
        <v>0</v>
      </c>
      <c r="AA922" s="10">
        <f t="shared" si="358"/>
        <v>0</v>
      </c>
    </row>
    <row r="923" spans="1:27" x14ac:dyDescent="0.3">
      <c r="A923" s="4" t="s">
        <v>1303</v>
      </c>
      <c r="B923" s="4">
        <f t="shared" si="336"/>
        <v>0</v>
      </c>
      <c r="C923" s="4">
        <f t="shared" si="337"/>
        <v>0</v>
      </c>
      <c r="D923" s="4">
        <f t="shared" si="338"/>
        <v>0</v>
      </c>
      <c r="E923" s="4">
        <f t="shared" si="339"/>
        <v>0</v>
      </c>
      <c r="F923" s="4">
        <f t="shared" si="340"/>
        <v>1</v>
      </c>
      <c r="G923" s="4">
        <f t="shared" si="341"/>
        <v>0</v>
      </c>
      <c r="I923" s="8" t="s">
        <v>1294</v>
      </c>
      <c r="J923" s="9">
        <f t="shared" si="342"/>
        <v>0</v>
      </c>
      <c r="K923" s="9">
        <f t="shared" si="359"/>
        <v>0</v>
      </c>
      <c r="L923" s="9">
        <f t="shared" si="343"/>
        <v>0</v>
      </c>
      <c r="M923" s="9">
        <f t="shared" si="344"/>
        <v>0</v>
      </c>
      <c r="N923" s="9">
        <f t="shared" si="345"/>
        <v>0</v>
      </c>
      <c r="O923" s="9">
        <f t="shared" si="346"/>
        <v>0</v>
      </c>
      <c r="P923" s="9">
        <f t="shared" si="347"/>
        <v>0</v>
      </c>
      <c r="Q923" s="9">
        <f t="shared" si="348"/>
        <v>0</v>
      </c>
      <c r="R923" s="9">
        <f t="shared" si="349"/>
        <v>0</v>
      </c>
      <c r="S923" s="9">
        <f t="shared" si="350"/>
        <v>0</v>
      </c>
      <c r="T923" s="9">
        <f t="shared" si="351"/>
        <v>0</v>
      </c>
      <c r="U923" s="9">
        <f t="shared" si="352"/>
        <v>0</v>
      </c>
      <c r="V923" s="9">
        <f t="shared" si="353"/>
        <v>0</v>
      </c>
      <c r="W923" s="9">
        <f t="shared" si="354"/>
        <v>0</v>
      </c>
      <c r="X923" s="9">
        <f t="shared" si="355"/>
        <v>0</v>
      </c>
      <c r="Y923" s="9">
        <f t="shared" si="356"/>
        <v>0</v>
      </c>
      <c r="Z923" s="9">
        <f t="shared" si="357"/>
        <v>0</v>
      </c>
      <c r="AA923" s="10">
        <f t="shared" si="358"/>
        <v>0</v>
      </c>
    </row>
    <row r="924" spans="1:27" x14ac:dyDescent="0.3">
      <c r="A924" s="18" t="s">
        <v>1303</v>
      </c>
      <c r="B924" s="4">
        <f t="shared" si="336"/>
        <v>0</v>
      </c>
      <c r="C924" s="4">
        <f t="shared" si="337"/>
        <v>0</v>
      </c>
      <c r="D924" s="4">
        <f t="shared" si="338"/>
        <v>0</v>
      </c>
      <c r="E924" s="4">
        <f t="shared" si="339"/>
        <v>0</v>
      </c>
      <c r="F924" s="4">
        <f t="shared" si="340"/>
        <v>1</v>
      </c>
      <c r="G924" s="4">
        <f t="shared" si="341"/>
        <v>0</v>
      </c>
      <c r="I924" s="11" t="s">
        <v>1294</v>
      </c>
      <c r="J924" s="9">
        <f t="shared" si="342"/>
        <v>0</v>
      </c>
      <c r="K924" s="9">
        <f t="shared" si="359"/>
        <v>0</v>
      </c>
      <c r="L924" s="9">
        <f t="shared" si="343"/>
        <v>0</v>
      </c>
      <c r="M924" s="9">
        <f t="shared" si="344"/>
        <v>0</v>
      </c>
      <c r="N924" s="9">
        <f t="shared" si="345"/>
        <v>0</v>
      </c>
      <c r="O924" s="9">
        <f t="shared" si="346"/>
        <v>0</v>
      </c>
      <c r="P924" s="9">
        <f t="shared" si="347"/>
        <v>0</v>
      </c>
      <c r="Q924" s="9">
        <f t="shared" si="348"/>
        <v>0</v>
      </c>
      <c r="R924" s="9">
        <f t="shared" si="349"/>
        <v>0</v>
      </c>
      <c r="S924" s="9">
        <f t="shared" si="350"/>
        <v>0</v>
      </c>
      <c r="T924" s="9">
        <f t="shared" si="351"/>
        <v>0</v>
      </c>
      <c r="U924" s="9">
        <f t="shared" si="352"/>
        <v>0</v>
      </c>
      <c r="V924" s="9">
        <f t="shared" si="353"/>
        <v>0</v>
      </c>
      <c r="W924" s="9">
        <f t="shared" si="354"/>
        <v>0</v>
      </c>
      <c r="X924" s="9">
        <f t="shared" si="355"/>
        <v>0</v>
      </c>
      <c r="Y924" s="9">
        <f t="shared" si="356"/>
        <v>0</v>
      </c>
      <c r="Z924" s="9">
        <f t="shared" si="357"/>
        <v>0</v>
      </c>
      <c r="AA924" s="10">
        <f t="shared" si="358"/>
        <v>0</v>
      </c>
    </row>
    <row r="925" spans="1:27" x14ac:dyDescent="0.3">
      <c r="A925" s="4" t="s">
        <v>1303</v>
      </c>
      <c r="B925" s="4">
        <f t="shared" si="336"/>
        <v>0</v>
      </c>
      <c r="C925" s="4">
        <f t="shared" si="337"/>
        <v>0</v>
      </c>
      <c r="D925" s="4">
        <f t="shared" si="338"/>
        <v>0</v>
      </c>
      <c r="E925" s="4">
        <f t="shared" si="339"/>
        <v>0</v>
      </c>
      <c r="F925" s="4">
        <f t="shared" si="340"/>
        <v>1</v>
      </c>
      <c r="G925" s="4">
        <f t="shared" si="341"/>
        <v>0</v>
      </c>
      <c r="I925" s="8" t="s">
        <v>1011</v>
      </c>
      <c r="J925" s="9">
        <f t="shared" si="342"/>
        <v>0</v>
      </c>
      <c r="K925" s="9">
        <f t="shared" si="359"/>
        <v>0</v>
      </c>
      <c r="L925" s="9">
        <f t="shared" si="343"/>
        <v>0</v>
      </c>
      <c r="M925" s="9">
        <f t="shared" si="344"/>
        <v>0</v>
      </c>
      <c r="N925" s="9">
        <f t="shared" si="345"/>
        <v>0</v>
      </c>
      <c r="O925" s="9">
        <f t="shared" si="346"/>
        <v>0</v>
      </c>
      <c r="P925" s="9">
        <f t="shared" si="347"/>
        <v>0</v>
      </c>
      <c r="Q925" s="9">
        <f t="shared" si="348"/>
        <v>0</v>
      </c>
      <c r="R925" s="9">
        <f t="shared" si="349"/>
        <v>0</v>
      </c>
      <c r="S925" s="9">
        <f t="shared" si="350"/>
        <v>1</v>
      </c>
      <c r="T925" s="9">
        <f t="shared" si="351"/>
        <v>0</v>
      </c>
      <c r="U925" s="9">
        <f t="shared" si="352"/>
        <v>0</v>
      </c>
      <c r="V925" s="9">
        <f t="shared" si="353"/>
        <v>0</v>
      </c>
      <c r="W925" s="9">
        <f t="shared" si="354"/>
        <v>0</v>
      </c>
      <c r="X925" s="9">
        <f t="shared" si="355"/>
        <v>0</v>
      </c>
      <c r="Y925" s="9">
        <f t="shared" si="356"/>
        <v>0</v>
      </c>
      <c r="Z925" s="9">
        <f t="shared" si="357"/>
        <v>0</v>
      </c>
      <c r="AA925" s="10">
        <f t="shared" si="358"/>
        <v>0</v>
      </c>
    </row>
    <row r="926" spans="1:27" x14ac:dyDescent="0.3">
      <c r="A926" s="18" t="s">
        <v>1302</v>
      </c>
      <c r="B926" s="4">
        <f t="shared" si="336"/>
        <v>1</v>
      </c>
      <c r="C926" s="4">
        <f t="shared" si="337"/>
        <v>0</v>
      </c>
      <c r="D926" s="4">
        <f t="shared" si="338"/>
        <v>0</v>
      </c>
      <c r="E926" s="4">
        <f t="shared" si="339"/>
        <v>0</v>
      </c>
      <c r="F926" s="4">
        <f t="shared" si="340"/>
        <v>0</v>
      </c>
      <c r="G926" s="4">
        <f t="shared" si="341"/>
        <v>0</v>
      </c>
      <c r="I926" s="11" t="s">
        <v>988</v>
      </c>
      <c r="J926" s="9">
        <f t="shared" si="342"/>
        <v>0</v>
      </c>
      <c r="K926" s="9">
        <f t="shared" si="359"/>
        <v>0</v>
      </c>
      <c r="L926" s="9">
        <f t="shared" si="343"/>
        <v>1</v>
      </c>
      <c r="M926" s="9">
        <f t="shared" si="344"/>
        <v>0</v>
      </c>
      <c r="N926" s="9">
        <f t="shared" si="345"/>
        <v>0</v>
      </c>
      <c r="O926" s="9">
        <f t="shared" si="346"/>
        <v>0</v>
      </c>
      <c r="P926" s="9">
        <f t="shared" si="347"/>
        <v>0</v>
      </c>
      <c r="Q926" s="9">
        <f t="shared" si="348"/>
        <v>0</v>
      </c>
      <c r="R926" s="9">
        <f t="shared" si="349"/>
        <v>0</v>
      </c>
      <c r="S926" s="9">
        <f t="shared" si="350"/>
        <v>0</v>
      </c>
      <c r="T926" s="9">
        <f t="shared" si="351"/>
        <v>0</v>
      </c>
      <c r="U926" s="9">
        <f t="shared" si="352"/>
        <v>0</v>
      </c>
      <c r="V926" s="9">
        <f t="shared" si="353"/>
        <v>0</v>
      </c>
      <c r="W926" s="9">
        <f t="shared" si="354"/>
        <v>0</v>
      </c>
      <c r="X926" s="9">
        <f t="shared" si="355"/>
        <v>0</v>
      </c>
      <c r="Y926" s="9">
        <f t="shared" si="356"/>
        <v>0</v>
      </c>
      <c r="Z926" s="9">
        <f t="shared" si="357"/>
        <v>0</v>
      </c>
      <c r="AA926" s="10">
        <f t="shared" si="358"/>
        <v>0</v>
      </c>
    </row>
    <row r="927" spans="1:27" x14ac:dyDescent="0.3">
      <c r="A927" s="4" t="s">
        <v>1305</v>
      </c>
      <c r="B927" s="4">
        <f t="shared" si="336"/>
        <v>0</v>
      </c>
      <c r="C927" s="4">
        <f t="shared" si="337"/>
        <v>0</v>
      </c>
      <c r="D927" s="4">
        <f t="shared" si="338"/>
        <v>0</v>
      </c>
      <c r="E927" s="4">
        <f t="shared" si="339"/>
        <v>0</v>
      </c>
      <c r="F927" s="4">
        <f t="shared" si="340"/>
        <v>0</v>
      </c>
      <c r="G927" s="4">
        <f t="shared" si="341"/>
        <v>1</v>
      </c>
      <c r="I927" s="8" t="s">
        <v>1088</v>
      </c>
      <c r="J927" s="9">
        <f t="shared" si="342"/>
        <v>0</v>
      </c>
      <c r="K927" s="9">
        <f t="shared" si="359"/>
        <v>0</v>
      </c>
      <c r="L927" s="9">
        <f t="shared" si="343"/>
        <v>0</v>
      </c>
      <c r="M927" s="9">
        <f t="shared" si="344"/>
        <v>0</v>
      </c>
      <c r="N927" s="9">
        <f t="shared" si="345"/>
        <v>0</v>
      </c>
      <c r="O927" s="9">
        <f t="shared" si="346"/>
        <v>0</v>
      </c>
      <c r="P927" s="9">
        <f t="shared" si="347"/>
        <v>0</v>
      </c>
      <c r="Q927" s="9">
        <f t="shared" si="348"/>
        <v>0</v>
      </c>
      <c r="R927" s="9">
        <f t="shared" si="349"/>
        <v>0</v>
      </c>
      <c r="S927" s="9">
        <f t="shared" si="350"/>
        <v>0</v>
      </c>
      <c r="T927" s="9">
        <f t="shared" si="351"/>
        <v>0</v>
      </c>
      <c r="U927" s="9">
        <f t="shared" si="352"/>
        <v>0</v>
      </c>
      <c r="V927" s="9">
        <f t="shared" si="353"/>
        <v>0</v>
      </c>
      <c r="W927" s="9">
        <f t="shared" si="354"/>
        <v>0</v>
      </c>
      <c r="X927" s="9">
        <f t="shared" si="355"/>
        <v>0</v>
      </c>
      <c r="Y927" s="9">
        <f t="shared" si="356"/>
        <v>0</v>
      </c>
      <c r="Z927" s="9">
        <f t="shared" si="357"/>
        <v>1</v>
      </c>
      <c r="AA927" s="10">
        <f t="shared" si="358"/>
        <v>0</v>
      </c>
    </row>
    <row r="928" spans="1:27" x14ac:dyDescent="0.3">
      <c r="A928" s="18" t="s">
        <v>1305</v>
      </c>
      <c r="B928" s="4">
        <f t="shared" si="336"/>
        <v>0</v>
      </c>
      <c r="C928" s="4">
        <f t="shared" si="337"/>
        <v>0</v>
      </c>
      <c r="D928" s="4">
        <f t="shared" si="338"/>
        <v>0</v>
      </c>
      <c r="E928" s="4">
        <f t="shared" si="339"/>
        <v>0</v>
      </c>
      <c r="F928" s="4">
        <f t="shared" si="340"/>
        <v>0</v>
      </c>
      <c r="G928" s="4">
        <f t="shared" si="341"/>
        <v>1</v>
      </c>
      <c r="I928" s="11" t="s">
        <v>977</v>
      </c>
      <c r="J928" s="9">
        <f t="shared" si="342"/>
        <v>1</v>
      </c>
      <c r="K928" s="9">
        <f t="shared" si="359"/>
        <v>0</v>
      </c>
      <c r="L928" s="9">
        <f t="shared" si="343"/>
        <v>0</v>
      </c>
      <c r="M928" s="9">
        <f t="shared" si="344"/>
        <v>0</v>
      </c>
      <c r="N928" s="9">
        <f t="shared" si="345"/>
        <v>0</v>
      </c>
      <c r="O928" s="9">
        <f t="shared" si="346"/>
        <v>0</v>
      </c>
      <c r="P928" s="9">
        <f t="shared" si="347"/>
        <v>0</v>
      </c>
      <c r="Q928" s="9">
        <f t="shared" si="348"/>
        <v>0</v>
      </c>
      <c r="R928" s="9">
        <f t="shared" si="349"/>
        <v>0</v>
      </c>
      <c r="S928" s="9">
        <f t="shared" si="350"/>
        <v>0</v>
      </c>
      <c r="T928" s="9">
        <f t="shared" si="351"/>
        <v>0</v>
      </c>
      <c r="U928" s="9">
        <f t="shared" si="352"/>
        <v>0</v>
      </c>
      <c r="V928" s="9">
        <f t="shared" si="353"/>
        <v>0</v>
      </c>
      <c r="W928" s="9">
        <f t="shared" si="354"/>
        <v>0</v>
      </c>
      <c r="X928" s="9">
        <f t="shared" si="355"/>
        <v>0</v>
      </c>
      <c r="Y928" s="9">
        <f t="shared" si="356"/>
        <v>0</v>
      </c>
      <c r="Z928" s="9">
        <f t="shared" si="357"/>
        <v>0</v>
      </c>
      <c r="AA928" s="10">
        <f t="shared" si="358"/>
        <v>0</v>
      </c>
    </row>
    <row r="929" spans="1:27" x14ac:dyDescent="0.3">
      <c r="A929" s="4" t="s">
        <v>1305</v>
      </c>
      <c r="B929" s="4">
        <f t="shared" si="336"/>
        <v>0</v>
      </c>
      <c r="C929" s="4">
        <f t="shared" si="337"/>
        <v>0</v>
      </c>
      <c r="D929" s="4">
        <f t="shared" si="338"/>
        <v>0</v>
      </c>
      <c r="E929" s="4">
        <f t="shared" si="339"/>
        <v>0</v>
      </c>
      <c r="F929" s="4">
        <f t="shared" si="340"/>
        <v>0</v>
      </c>
      <c r="G929" s="4">
        <f t="shared" si="341"/>
        <v>1</v>
      </c>
      <c r="I929" s="8" t="s">
        <v>988</v>
      </c>
      <c r="J929" s="9">
        <f t="shared" si="342"/>
        <v>0</v>
      </c>
      <c r="K929" s="9">
        <f t="shared" si="359"/>
        <v>0</v>
      </c>
      <c r="L929" s="9">
        <f t="shared" si="343"/>
        <v>1</v>
      </c>
      <c r="M929" s="9">
        <f t="shared" si="344"/>
        <v>0</v>
      </c>
      <c r="N929" s="9">
        <f t="shared" si="345"/>
        <v>0</v>
      </c>
      <c r="O929" s="9">
        <f t="shared" si="346"/>
        <v>0</v>
      </c>
      <c r="P929" s="9">
        <f t="shared" si="347"/>
        <v>0</v>
      </c>
      <c r="Q929" s="9">
        <f t="shared" si="348"/>
        <v>0</v>
      </c>
      <c r="R929" s="9">
        <f t="shared" si="349"/>
        <v>0</v>
      </c>
      <c r="S929" s="9">
        <f t="shared" si="350"/>
        <v>0</v>
      </c>
      <c r="T929" s="9">
        <f t="shared" si="351"/>
        <v>0</v>
      </c>
      <c r="U929" s="9">
        <f t="shared" si="352"/>
        <v>0</v>
      </c>
      <c r="V929" s="9">
        <f t="shared" si="353"/>
        <v>0</v>
      </c>
      <c r="W929" s="9">
        <f t="shared" si="354"/>
        <v>0</v>
      </c>
      <c r="X929" s="9">
        <f t="shared" si="355"/>
        <v>0</v>
      </c>
      <c r="Y929" s="9">
        <f t="shared" si="356"/>
        <v>0</v>
      </c>
      <c r="Z929" s="9">
        <f t="shared" si="357"/>
        <v>0</v>
      </c>
      <c r="AA929" s="10">
        <f t="shared" si="358"/>
        <v>0</v>
      </c>
    </row>
    <row r="930" spans="1:27" x14ac:dyDescent="0.3">
      <c r="A930" s="18" t="s">
        <v>1305</v>
      </c>
      <c r="B930" s="4">
        <f t="shared" si="336"/>
        <v>0</v>
      </c>
      <c r="C930" s="4">
        <f t="shared" si="337"/>
        <v>0</v>
      </c>
      <c r="D930" s="4">
        <f t="shared" si="338"/>
        <v>0</v>
      </c>
      <c r="E930" s="4">
        <f t="shared" si="339"/>
        <v>0</v>
      </c>
      <c r="F930" s="4">
        <f t="shared" si="340"/>
        <v>0</v>
      </c>
      <c r="G930" s="4">
        <f t="shared" si="341"/>
        <v>1</v>
      </c>
      <c r="I930" s="11" t="s">
        <v>1285</v>
      </c>
      <c r="J930" s="9">
        <f t="shared" si="342"/>
        <v>0</v>
      </c>
      <c r="K930" s="9">
        <f t="shared" si="359"/>
        <v>0</v>
      </c>
      <c r="L930" s="9">
        <f t="shared" si="343"/>
        <v>0</v>
      </c>
      <c r="M930" s="9">
        <f t="shared" si="344"/>
        <v>0</v>
      </c>
      <c r="N930" s="9">
        <f t="shared" si="345"/>
        <v>0</v>
      </c>
      <c r="O930" s="9">
        <f t="shared" si="346"/>
        <v>0</v>
      </c>
      <c r="P930" s="9">
        <f t="shared" si="347"/>
        <v>0</v>
      </c>
      <c r="Q930" s="9">
        <f t="shared" si="348"/>
        <v>0</v>
      </c>
      <c r="R930" s="9">
        <f t="shared" si="349"/>
        <v>0</v>
      </c>
      <c r="S930" s="9">
        <f t="shared" si="350"/>
        <v>0</v>
      </c>
      <c r="T930" s="9">
        <f t="shared" si="351"/>
        <v>0</v>
      </c>
      <c r="U930" s="9">
        <f t="shared" si="352"/>
        <v>0</v>
      </c>
      <c r="V930" s="9">
        <f t="shared" si="353"/>
        <v>0</v>
      </c>
      <c r="W930" s="9">
        <f t="shared" si="354"/>
        <v>0</v>
      </c>
      <c r="X930" s="9">
        <f t="shared" si="355"/>
        <v>0</v>
      </c>
      <c r="Y930" s="9">
        <f t="shared" si="356"/>
        <v>0</v>
      </c>
      <c r="Z930" s="9">
        <f t="shared" si="357"/>
        <v>0</v>
      </c>
      <c r="AA930" s="10">
        <f t="shared" si="358"/>
        <v>1</v>
      </c>
    </row>
    <row r="931" spans="1:27" x14ac:dyDescent="0.3">
      <c r="A931" s="4" t="s">
        <v>1305</v>
      </c>
      <c r="B931" s="4">
        <f t="shared" si="336"/>
        <v>0</v>
      </c>
      <c r="C931" s="4">
        <f t="shared" si="337"/>
        <v>0</v>
      </c>
      <c r="D931" s="4">
        <f t="shared" si="338"/>
        <v>0</v>
      </c>
      <c r="E931" s="4">
        <f t="shared" si="339"/>
        <v>0</v>
      </c>
      <c r="F931" s="4">
        <f t="shared" si="340"/>
        <v>0</v>
      </c>
      <c r="G931" s="4">
        <f t="shared" si="341"/>
        <v>1</v>
      </c>
      <c r="I931" s="8" t="s">
        <v>996</v>
      </c>
      <c r="J931" s="9">
        <f t="shared" si="342"/>
        <v>0</v>
      </c>
      <c r="K931" s="9">
        <f t="shared" si="359"/>
        <v>0</v>
      </c>
      <c r="L931" s="9">
        <f t="shared" si="343"/>
        <v>0</v>
      </c>
      <c r="M931" s="9">
        <f t="shared" si="344"/>
        <v>0</v>
      </c>
      <c r="N931" s="9">
        <f t="shared" si="345"/>
        <v>0</v>
      </c>
      <c r="O931" s="9">
        <f t="shared" si="346"/>
        <v>0</v>
      </c>
      <c r="P931" s="9">
        <f t="shared" si="347"/>
        <v>0</v>
      </c>
      <c r="Q931" s="9">
        <f t="shared" si="348"/>
        <v>1</v>
      </c>
      <c r="R931" s="9">
        <f t="shared" si="349"/>
        <v>0</v>
      </c>
      <c r="S931" s="9">
        <f t="shared" si="350"/>
        <v>0</v>
      </c>
      <c r="T931" s="9">
        <f t="shared" si="351"/>
        <v>0</v>
      </c>
      <c r="U931" s="9">
        <f t="shared" si="352"/>
        <v>0</v>
      </c>
      <c r="V931" s="9">
        <f t="shared" si="353"/>
        <v>0</v>
      </c>
      <c r="W931" s="9">
        <f t="shared" si="354"/>
        <v>0</v>
      </c>
      <c r="X931" s="9">
        <f t="shared" si="355"/>
        <v>0</v>
      </c>
      <c r="Y931" s="9">
        <f t="shared" si="356"/>
        <v>0</v>
      </c>
      <c r="Z931" s="9">
        <f t="shared" si="357"/>
        <v>0</v>
      </c>
      <c r="AA931" s="10">
        <f t="shared" si="358"/>
        <v>0</v>
      </c>
    </row>
    <row r="932" spans="1:27" x14ac:dyDescent="0.3">
      <c r="A932" s="18" t="s">
        <v>1304</v>
      </c>
      <c r="B932" s="4">
        <f t="shared" si="336"/>
        <v>0</v>
      </c>
      <c r="C932" s="4">
        <f t="shared" si="337"/>
        <v>1</v>
      </c>
      <c r="D932" s="4">
        <f t="shared" si="338"/>
        <v>0</v>
      </c>
      <c r="E932" s="4">
        <f t="shared" si="339"/>
        <v>0</v>
      </c>
      <c r="F932" s="4">
        <f t="shared" si="340"/>
        <v>0</v>
      </c>
      <c r="G932" s="4">
        <f t="shared" si="341"/>
        <v>0</v>
      </c>
      <c r="I932" s="11" t="s">
        <v>977</v>
      </c>
      <c r="J932" s="9">
        <f t="shared" si="342"/>
        <v>1</v>
      </c>
      <c r="K932" s="9">
        <f t="shared" si="359"/>
        <v>0</v>
      </c>
      <c r="L932" s="9">
        <f t="shared" si="343"/>
        <v>0</v>
      </c>
      <c r="M932" s="9">
        <f t="shared" si="344"/>
        <v>0</v>
      </c>
      <c r="N932" s="9">
        <f t="shared" si="345"/>
        <v>0</v>
      </c>
      <c r="O932" s="9">
        <f t="shared" si="346"/>
        <v>0</v>
      </c>
      <c r="P932" s="9">
        <f t="shared" si="347"/>
        <v>0</v>
      </c>
      <c r="Q932" s="9">
        <f t="shared" si="348"/>
        <v>0</v>
      </c>
      <c r="R932" s="9">
        <f t="shared" si="349"/>
        <v>0</v>
      </c>
      <c r="S932" s="9">
        <f t="shared" si="350"/>
        <v>0</v>
      </c>
      <c r="T932" s="9">
        <f t="shared" si="351"/>
        <v>0</v>
      </c>
      <c r="U932" s="9">
        <f t="shared" si="352"/>
        <v>0</v>
      </c>
      <c r="V932" s="9">
        <f t="shared" si="353"/>
        <v>0</v>
      </c>
      <c r="W932" s="9">
        <f t="shared" si="354"/>
        <v>0</v>
      </c>
      <c r="X932" s="9">
        <f t="shared" si="355"/>
        <v>0</v>
      </c>
      <c r="Y932" s="9">
        <f t="shared" si="356"/>
        <v>0</v>
      </c>
      <c r="Z932" s="9">
        <f t="shared" si="357"/>
        <v>0</v>
      </c>
      <c r="AA932" s="10">
        <f t="shared" si="358"/>
        <v>0</v>
      </c>
    </row>
    <row r="933" spans="1:27" x14ac:dyDescent="0.3">
      <c r="A933" s="4" t="s">
        <v>1304</v>
      </c>
      <c r="B933" s="4">
        <f t="shared" si="336"/>
        <v>0</v>
      </c>
      <c r="C933" s="4">
        <f t="shared" si="337"/>
        <v>1</v>
      </c>
      <c r="D933" s="4">
        <f t="shared" si="338"/>
        <v>0</v>
      </c>
      <c r="E933" s="4">
        <f t="shared" si="339"/>
        <v>0</v>
      </c>
      <c r="F933" s="4">
        <f t="shared" si="340"/>
        <v>0</v>
      </c>
      <c r="G933" s="4">
        <f t="shared" si="341"/>
        <v>0</v>
      </c>
      <c r="I933" s="8" t="s">
        <v>988</v>
      </c>
      <c r="J933" s="9">
        <f t="shared" si="342"/>
        <v>0</v>
      </c>
      <c r="K933" s="9">
        <f t="shared" si="359"/>
        <v>0</v>
      </c>
      <c r="L933" s="9">
        <f t="shared" si="343"/>
        <v>1</v>
      </c>
      <c r="M933" s="9">
        <f t="shared" si="344"/>
        <v>0</v>
      </c>
      <c r="N933" s="9">
        <f t="shared" si="345"/>
        <v>0</v>
      </c>
      <c r="O933" s="9">
        <f t="shared" si="346"/>
        <v>0</v>
      </c>
      <c r="P933" s="9">
        <f t="shared" si="347"/>
        <v>0</v>
      </c>
      <c r="Q933" s="9">
        <f t="shared" si="348"/>
        <v>0</v>
      </c>
      <c r="R933" s="9">
        <f t="shared" si="349"/>
        <v>0</v>
      </c>
      <c r="S933" s="9">
        <f t="shared" si="350"/>
        <v>0</v>
      </c>
      <c r="T933" s="9">
        <f t="shared" si="351"/>
        <v>0</v>
      </c>
      <c r="U933" s="9">
        <f t="shared" si="352"/>
        <v>0</v>
      </c>
      <c r="V933" s="9">
        <f t="shared" si="353"/>
        <v>0</v>
      </c>
      <c r="W933" s="9">
        <f t="shared" si="354"/>
        <v>0</v>
      </c>
      <c r="X933" s="9">
        <f t="shared" si="355"/>
        <v>0</v>
      </c>
      <c r="Y933" s="9">
        <f t="shared" si="356"/>
        <v>0</v>
      </c>
      <c r="Z933" s="9">
        <f t="shared" si="357"/>
        <v>0</v>
      </c>
      <c r="AA933" s="10">
        <f t="shared" si="358"/>
        <v>0</v>
      </c>
    </row>
    <row r="934" spans="1:27" x14ac:dyDescent="0.3">
      <c r="A934" s="18" t="s">
        <v>1294</v>
      </c>
      <c r="B934" s="4">
        <f t="shared" si="336"/>
        <v>0</v>
      </c>
      <c r="C934" s="4">
        <f t="shared" si="337"/>
        <v>0</v>
      </c>
      <c r="D934" s="4">
        <f t="shared" si="338"/>
        <v>0</v>
      </c>
      <c r="E934" s="4">
        <f t="shared" si="339"/>
        <v>0</v>
      </c>
      <c r="F934" s="4">
        <f t="shared" si="340"/>
        <v>0</v>
      </c>
      <c r="G934" s="4">
        <f t="shared" si="341"/>
        <v>0</v>
      </c>
      <c r="I934" s="12" t="s">
        <v>990</v>
      </c>
      <c r="J934" s="4">
        <f t="shared" si="342"/>
        <v>0</v>
      </c>
      <c r="K934" s="4">
        <f t="shared" si="359"/>
        <v>0</v>
      </c>
      <c r="L934" s="4">
        <f t="shared" si="343"/>
        <v>0</v>
      </c>
      <c r="M934" s="4">
        <f t="shared" si="344"/>
        <v>0</v>
      </c>
      <c r="N934" s="4">
        <f t="shared" si="345"/>
        <v>1</v>
      </c>
      <c r="O934" s="4">
        <f t="shared" si="346"/>
        <v>0</v>
      </c>
      <c r="P934" s="4">
        <f t="shared" si="347"/>
        <v>0</v>
      </c>
      <c r="Q934" s="4">
        <f t="shared" si="348"/>
        <v>0</v>
      </c>
      <c r="R934" s="4">
        <f t="shared" si="349"/>
        <v>0</v>
      </c>
      <c r="S934" s="4">
        <f t="shared" si="350"/>
        <v>0</v>
      </c>
      <c r="T934" s="4">
        <f t="shared" si="351"/>
        <v>0</v>
      </c>
      <c r="U934" s="4">
        <f t="shared" si="352"/>
        <v>0</v>
      </c>
      <c r="V934" s="4">
        <f t="shared" si="353"/>
        <v>0</v>
      </c>
      <c r="W934" s="4">
        <f t="shared" si="354"/>
        <v>0</v>
      </c>
      <c r="X934" s="4">
        <f t="shared" si="355"/>
        <v>0</v>
      </c>
      <c r="Y934" s="4">
        <f t="shared" si="356"/>
        <v>0</v>
      </c>
      <c r="Z934" s="4">
        <f t="shared" si="357"/>
        <v>0</v>
      </c>
      <c r="AA934" s="13">
        <f t="shared" si="358"/>
        <v>0</v>
      </c>
    </row>
    <row r="935" spans="1:27" x14ac:dyDescent="0.3">
      <c r="A935" s="4" t="s">
        <v>1294</v>
      </c>
      <c r="B935" s="4">
        <f t="shared" si="336"/>
        <v>0</v>
      </c>
      <c r="C935" s="4">
        <f t="shared" si="337"/>
        <v>0</v>
      </c>
      <c r="D935" s="4">
        <f t="shared" si="338"/>
        <v>0</v>
      </c>
      <c r="E935" s="4">
        <f t="shared" si="339"/>
        <v>0</v>
      </c>
      <c r="F935" s="4">
        <f t="shared" si="340"/>
        <v>0</v>
      </c>
      <c r="G935" s="4">
        <f t="shared" si="341"/>
        <v>0</v>
      </c>
      <c r="I935" s="14" t="s">
        <v>994</v>
      </c>
      <c r="J935" s="4">
        <f t="shared" si="342"/>
        <v>0</v>
      </c>
      <c r="K935" s="4">
        <f t="shared" si="359"/>
        <v>0</v>
      </c>
      <c r="L935" s="4">
        <f t="shared" si="343"/>
        <v>0</v>
      </c>
      <c r="M935" s="4">
        <f t="shared" si="344"/>
        <v>0</v>
      </c>
      <c r="N935" s="4">
        <f t="shared" si="345"/>
        <v>0</v>
      </c>
      <c r="O935" s="4">
        <f t="shared" si="346"/>
        <v>0</v>
      </c>
      <c r="P935" s="4">
        <f t="shared" si="347"/>
        <v>1</v>
      </c>
      <c r="Q935" s="4">
        <f t="shared" si="348"/>
        <v>0</v>
      </c>
      <c r="R935" s="4">
        <f t="shared" si="349"/>
        <v>0</v>
      </c>
      <c r="S935" s="4">
        <f t="shared" si="350"/>
        <v>0</v>
      </c>
      <c r="T935" s="4">
        <f t="shared" si="351"/>
        <v>0</v>
      </c>
      <c r="U935" s="4">
        <f t="shared" si="352"/>
        <v>0</v>
      </c>
      <c r="V935" s="4">
        <f t="shared" si="353"/>
        <v>0</v>
      </c>
      <c r="W935" s="4">
        <f t="shared" si="354"/>
        <v>0</v>
      </c>
      <c r="X935" s="4">
        <f t="shared" si="355"/>
        <v>0</v>
      </c>
      <c r="Y935" s="4">
        <f t="shared" si="356"/>
        <v>0</v>
      </c>
      <c r="Z935" s="4">
        <f t="shared" si="357"/>
        <v>0</v>
      </c>
      <c r="AA935" s="13">
        <f t="shared" si="358"/>
        <v>0</v>
      </c>
    </row>
    <row r="936" spans="1:27" x14ac:dyDescent="0.3">
      <c r="A936" s="18" t="s">
        <v>1294</v>
      </c>
      <c r="B936" s="4">
        <f t="shared" si="336"/>
        <v>0</v>
      </c>
      <c r="C936" s="4">
        <f t="shared" si="337"/>
        <v>0</v>
      </c>
      <c r="D936" s="4">
        <f t="shared" si="338"/>
        <v>0</v>
      </c>
      <c r="E936" s="4">
        <f t="shared" si="339"/>
        <v>0</v>
      </c>
      <c r="F936" s="4">
        <f t="shared" si="340"/>
        <v>0</v>
      </c>
      <c r="G936" s="4">
        <f t="shared" si="341"/>
        <v>0</v>
      </c>
      <c r="I936" s="12" t="s">
        <v>990</v>
      </c>
      <c r="J936" s="4">
        <f t="shared" si="342"/>
        <v>0</v>
      </c>
      <c r="K936" s="4">
        <f t="shared" si="359"/>
        <v>0</v>
      </c>
      <c r="L936" s="4">
        <f t="shared" si="343"/>
        <v>0</v>
      </c>
      <c r="M936" s="4">
        <f t="shared" si="344"/>
        <v>0</v>
      </c>
      <c r="N936" s="4">
        <f t="shared" si="345"/>
        <v>1</v>
      </c>
      <c r="O936" s="4">
        <f t="shared" si="346"/>
        <v>0</v>
      </c>
      <c r="P936" s="4">
        <f t="shared" si="347"/>
        <v>0</v>
      </c>
      <c r="Q936" s="4">
        <f t="shared" si="348"/>
        <v>0</v>
      </c>
      <c r="R936" s="4">
        <f t="shared" si="349"/>
        <v>0</v>
      </c>
      <c r="S936" s="4">
        <f t="shared" si="350"/>
        <v>0</v>
      </c>
      <c r="T936" s="4">
        <f t="shared" si="351"/>
        <v>0</v>
      </c>
      <c r="U936" s="4">
        <f t="shared" si="352"/>
        <v>0</v>
      </c>
      <c r="V936" s="4">
        <f t="shared" si="353"/>
        <v>0</v>
      </c>
      <c r="W936" s="4">
        <f t="shared" si="354"/>
        <v>0</v>
      </c>
      <c r="X936" s="4">
        <f t="shared" si="355"/>
        <v>0</v>
      </c>
      <c r="Y936" s="4">
        <f t="shared" si="356"/>
        <v>0</v>
      </c>
      <c r="Z936" s="4">
        <f t="shared" si="357"/>
        <v>0</v>
      </c>
      <c r="AA936" s="13">
        <f t="shared" si="358"/>
        <v>0</v>
      </c>
    </row>
    <row r="937" spans="1:27" x14ac:dyDescent="0.3">
      <c r="A937" s="4" t="s">
        <v>1302</v>
      </c>
      <c r="B937" s="4">
        <f t="shared" si="336"/>
        <v>1</v>
      </c>
      <c r="C937" s="4">
        <f t="shared" si="337"/>
        <v>0</v>
      </c>
      <c r="D937" s="4">
        <f t="shared" si="338"/>
        <v>0</v>
      </c>
      <c r="E937" s="4">
        <f t="shared" si="339"/>
        <v>0</v>
      </c>
      <c r="F937" s="4">
        <f t="shared" si="340"/>
        <v>0</v>
      </c>
      <c r="G937" s="4">
        <f t="shared" si="341"/>
        <v>0</v>
      </c>
      <c r="I937" s="14" t="s">
        <v>994</v>
      </c>
      <c r="J937" s="4">
        <f t="shared" si="342"/>
        <v>0</v>
      </c>
      <c r="K937" s="4">
        <f t="shared" si="359"/>
        <v>0</v>
      </c>
      <c r="L937" s="4">
        <f t="shared" si="343"/>
        <v>0</v>
      </c>
      <c r="M937" s="4">
        <f t="shared" si="344"/>
        <v>0</v>
      </c>
      <c r="N937" s="4">
        <f t="shared" si="345"/>
        <v>0</v>
      </c>
      <c r="O937" s="4">
        <f t="shared" si="346"/>
        <v>0</v>
      </c>
      <c r="P937" s="4">
        <f t="shared" si="347"/>
        <v>1</v>
      </c>
      <c r="Q937" s="4">
        <f t="shared" si="348"/>
        <v>0</v>
      </c>
      <c r="R937" s="4">
        <f t="shared" si="349"/>
        <v>0</v>
      </c>
      <c r="S937" s="4">
        <f t="shared" si="350"/>
        <v>0</v>
      </c>
      <c r="T937" s="4">
        <f t="shared" si="351"/>
        <v>0</v>
      </c>
      <c r="U937" s="4">
        <f t="shared" si="352"/>
        <v>0</v>
      </c>
      <c r="V937" s="4">
        <f t="shared" si="353"/>
        <v>0</v>
      </c>
      <c r="W937" s="4">
        <f t="shared" si="354"/>
        <v>0</v>
      </c>
      <c r="X937" s="4">
        <f t="shared" si="355"/>
        <v>0</v>
      </c>
      <c r="Y937" s="4">
        <f t="shared" si="356"/>
        <v>0</v>
      </c>
      <c r="Z937" s="4">
        <f t="shared" si="357"/>
        <v>0</v>
      </c>
      <c r="AA937" s="13">
        <f t="shared" si="358"/>
        <v>0</v>
      </c>
    </row>
    <row r="938" spans="1:27" x14ac:dyDescent="0.3">
      <c r="A938" s="18" t="s">
        <v>1302</v>
      </c>
      <c r="B938" s="4">
        <f t="shared" si="336"/>
        <v>1</v>
      </c>
      <c r="C938" s="4">
        <f t="shared" si="337"/>
        <v>0</v>
      </c>
      <c r="D938" s="4">
        <f t="shared" si="338"/>
        <v>0</v>
      </c>
      <c r="E938" s="4">
        <f t="shared" si="339"/>
        <v>0</v>
      </c>
      <c r="F938" s="4">
        <f t="shared" si="340"/>
        <v>0</v>
      </c>
      <c r="G938" s="4">
        <f t="shared" si="341"/>
        <v>0</v>
      </c>
      <c r="I938" s="12" t="s">
        <v>994</v>
      </c>
      <c r="J938" s="4">
        <f t="shared" si="342"/>
        <v>0</v>
      </c>
      <c r="K938" s="4">
        <f t="shared" si="359"/>
        <v>0</v>
      </c>
      <c r="L938" s="4">
        <f t="shared" si="343"/>
        <v>0</v>
      </c>
      <c r="M938" s="4">
        <f t="shared" si="344"/>
        <v>0</v>
      </c>
      <c r="N938" s="4">
        <f t="shared" si="345"/>
        <v>0</v>
      </c>
      <c r="O938" s="4">
        <f t="shared" si="346"/>
        <v>0</v>
      </c>
      <c r="P938" s="4">
        <f t="shared" si="347"/>
        <v>1</v>
      </c>
      <c r="Q938" s="4">
        <f t="shared" si="348"/>
        <v>0</v>
      </c>
      <c r="R938" s="4">
        <f t="shared" si="349"/>
        <v>0</v>
      </c>
      <c r="S938" s="4">
        <f t="shared" si="350"/>
        <v>0</v>
      </c>
      <c r="T938" s="4">
        <f t="shared" si="351"/>
        <v>0</v>
      </c>
      <c r="U938" s="4">
        <f t="shared" si="352"/>
        <v>0</v>
      </c>
      <c r="V938" s="4">
        <f t="shared" si="353"/>
        <v>0</v>
      </c>
      <c r="W938" s="4">
        <f t="shared" si="354"/>
        <v>0</v>
      </c>
      <c r="X938" s="4">
        <f t="shared" si="355"/>
        <v>0</v>
      </c>
      <c r="Y938" s="4">
        <f t="shared" si="356"/>
        <v>0</v>
      </c>
      <c r="Z938" s="4">
        <f t="shared" si="357"/>
        <v>0</v>
      </c>
      <c r="AA938" s="13">
        <f t="shared" si="358"/>
        <v>0</v>
      </c>
    </row>
    <row r="939" spans="1:27" x14ac:dyDescent="0.3">
      <c r="A939" s="4" t="s">
        <v>1302</v>
      </c>
      <c r="B939" s="4">
        <f t="shared" si="336"/>
        <v>1</v>
      </c>
      <c r="C939" s="4">
        <f t="shared" si="337"/>
        <v>0</v>
      </c>
      <c r="D939" s="4">
        <f t="shared" si="338"/>
        <v>0</v>
      </c>
      <c r="E939" s="4">
        <f t="shared" si="339"/>
        <v>0</v>
      </c>
      <c r="F939" s="4">
        <f t="shared" si="340"/>
        <v>0</v>
      </c>
      <c r="G939" s="4">
        <f t="shared" si="341"/>
        <v>0</v>
      </c>
      <c r="I939" s="14" t="s">
        <v>1011</v>
      </c>
      <c r="J939" s="4">
        <f t="shared" si="342"/>
        <v>0</v>
      </c>
      <c r="K939" s="4">
        <f t="shared" si="359"/>
        <v>0</v>
      </c>
      <c r="L939" s="4">
        <f t="shared" si="343"/>
        <v>0</v>
      </c>
      <c r="M939" s="4">
        <f t="shared" si="344"/>
        <v>0</v>
      </c>
      <c r="N939" s="4">
        <f t="shared" si="345"/>
        <v>0</v>
      </c>
      <c r="O939" s="4">
        <f t="shared" si="346"/>
        <v>0</v>
      </c>
      <c r="P939" s="4">
        <f t="shared" si="347"/>
        <v>0</v>
      </c>
      <c r="Q939" s="4">
        <f t="shared" si="348"/>
        <v>0</v>
      </c>
      <c r="R939" s="4">
        <f t="shared" si="349"/>
        <v>0</v>
      </c>
      <c r="S939" s="4">
        <f t="shared" si="350"/>
        <v>1</v>
      </c>
      <c r="T939" s="4">
        <f t="shared" si="351"/>
        <v>0</v>
      </c>
      <c r="U939" s="4">
        <f t="shared" si="352"/>
        <v>0</v>
      </c>
      <c r="V939" s="4">
        <f t="shared" si="353"/>
        <v>0</v>
      </c>
      <c r="W939" s="4">
        <f t="shared" si="354"/>
        <v>0</v>
      </c>
      <c r="X939" s="4">
        <f t="shared" si="355"/>
        <v>0</v>
      </c>
      <c r="Y939" s="4">
        <f t="shared" si="356"/>
        <v>0</v>
      </c>
      <c r="Z939" s="4">
        <f t="shared" si="357"/>
        <v>0</v>
      </c>
      <c r="AA939" s="13">
        <f t="shared" si="358"/>
        <v>0</v>
      </c>
    </row>
    <row r="940" spans="1:27" x14ac:dyDescent="0.3">
      <c r="A940" s="18" t="s">
        <v>1302</v>
      </c>
      <c r="B940" s="4">
        <f t="shared" si="336"/>
        <v>1</v>
      </c>
      <c r="C940" s="4">
        <f t="shared" si="337"/>
        <v>0</v>
      </c>
      <c r="D940" s="4">
        <f t="shared" si="338"/>
        <v>0</v>
      </c>
      <c r="E940" s="4">
        <f t="shared" si="339"/>
        <v>0</v>
      </c>
      <c r="F940" s="4">
        <f t="shared" si="340"/>
        <v>0</v>
      </c>
      <c r="G940" s="4">
        <f t="shared" si="341"/>
        <v>0</v>
      </c>
      <c r="I940" s="12" t="s">
        <v>1294</v>
      </c>
      <c r="J940" s="4">
        <f t="shared" si="342"/>
        <v>0</v>
      </c>
      <c r="K940" s="4">
        <f t="shared" si="359"/>
        <v>0</v>
      </c>
      <c r="L940" s="4">
        <f t="shared" si="343"/>
        <v>0</v>
      </c>
      <c r="M940" s="4">
        <f t="shared" si="344"/>
        <v>0</v>
      </c>
      <c r="N940" s="4">
        <f t="shared" si="345"/>
        <v>0</v>
      </c>
      <c r="O940" s="4">
        <f t="shared" si="346"/>
        <v>0</v>
      </c>
      <c r="P940" s="4">
        <f t="shared" si="347"/>
        <v>0</v>
      </c>
      <c r="Q940" s="4">
        <f t="shared" si="348"/>
        <v>0</v>
      </c>
      <c r="R940" s="4">
        <f t="shared" si="349"/>
        <v>0</v>
      </c>
      <c r="S940" s="4">
        <f t="shared" si="350"/>
        <v>0</v>
      </c>
      <c r="T940" s="4">
        <f t="shared" si="351"/>
        <v>0</v>
      </c>
      <c r="U940" s="4">
        <f t="shared" si="352"/>
        <v>0</v>
      </c>
      <c r="V940" s="4">
        <f t="shared" si="353"/>
        <v>0</v>
      </c>
      <c r="W940" s="4">
        <f t="shared" si="354"/>
        <v>0</v>
      </c>
      <c r="X940" s="4">
        <f t="shared" si="355"/>
        <v>0</v>
      </c>
      <c r="Y940" s="4">
        <f t="shared" si="356"/>
        <v>0</v>
      </c>
      <c r="Z940" s="4">
        <f t="shared" si="357"/>
        <v>0</v>
      </c>
      <c r="AA940" s="13">
        <f t="shared" si="358"/>
        <v>0</v>
      </c>
    </row>
    <row r="941" spans="1:27" x14ac:dyDescent="0.3">
      <c r="A941" s="4" t="s">
        <v>1303</v>
      </c>
      <c r="B941" s="4">
        <f t="shared" si="336"/>
        <v>0</v>
      </c>
      <c r="C941" s="4">
        <f t="shared" si="337"/>
        <v>0</v>
      </c>
      <c r="D941" s="4">
        <f t="shared" si="338"/>
        <v>0</v>
      </c>
      <c r="E941" s="4">
        <f t="shared" si="339"/>
        <v>0</v>
      </c>
      <c r="F941" s="4">
        <f t="shared" si="340"/>
        <v>1</v>
      </c>
      <c r="G941" s="4">
        <f t="shared" si="341"/>
        <v>0</v>
      </c>
      <c r="I941" s="14" t="s">
        <v>982</v>
      </c>
      <c r="J941" s="4">
        <f t="shared" si="342"/>
        <v>0</v>
      </c>
      <c r="K941" s="4">
        <f t="shared" si="359"/>
        <v>1</v>
      </c>
      <c r="L941" s="4">
        <f t="shared" si="343"/>
        <v>0</v>
      </c>
      <c r="M941" s="4">
        <f t="shared" si="344"/>
        <v>0</v>
      </c>
      <c r="N941" s="4">
        <f t="shared" si="345"/>
        <v>0</v>
      </c>
      <c r="O941" s="4">
        <f t="shared" si="346"/>
        <v>0</v>
      </c>
      <c r="P941" s="4">
        <f t="shared" si="347"/>
        <v>0</v>
      </c>
      <c r="Q941" s="4">
        <f t="shared" si="348"/>
        <v>0</v>
      </c>
      <c r="R941" s="4">
        <f t="shared" si="349"/>
        <v>0</v>
      </c>
      <c r="S941" s="4">
        <f t="shared" si="350"/>
        <v>0</v>
      </c>
      <c r="T941" s="4">
        <f t="shared" si="351"/>
        <v>0</v>
      </c>
      <c r="U941" s="4">
        <f t="shared" si="352"/>
        <v>0</v>
      </c>
      <c r="V941" s="4">
        <f t="shared" si="353"/>
        <v>0</v>
      </c>
      <c r="W941" s="4">
        <f t="shared" si="354"/>
        <v>0</v>
      </c>
      <c r="X941" s="4">
        <f t="shared" si="355"/>
        <v>0</v>
      </c>
      <c r="Y941" s="4">
        <f t="shared" si="356"/>
        <v>0</v>
      </c>
      <c r="Z941" s="4">
        <f t="shared" si="357"/>
        <v>0</v>
      </c>
      <c r="AA941" s="13">
        <f t="shared" si="358"/>
        <v>0</v>
      </c>
    </row>
    <row r="942" spans="1:27" x14ac:dyDescent="0.3">
      <c r="A942" s="18" t="s">
        <v>1303</v>
      </c>
      <c r="B942" s="4">
        <f t="shared" si="336"/>
        <v>0</v>
      </c>
      <c r="C942" s="4">
        <f t="shared" si="337"/>
        <v>0</v>
      </c>
      <c r="D942" s="4">
        <f t="shared" si="338"/>
        <v>0</v>
      </c>
      <c r="E942" s="4">
        <f t="shared" si="339"/>
        <v>0</v>
      </c>
      <c r="F942" s="4">
        <f t="shared" si="340"/>
        <v>1</v>
      </c>
      <c r="G942" s="4">
        <f t="shared" si="341"/>
        <v>0</v>
      </c>
      <c r="I942" s="12" t="s">
        <v>1044</v>
      </c>
      <c r="J942" s="4">
        <f t="shared" si="342"/>
        <v>0</v>
      </c>
      <c r="K942" s="4">
        <f t="shared" si="359"/>
        <v>0</v>
      </c>
      <c r="L942" s="4">
        <f t="shared" si="343"/>
        <v>0</v>
      </c>
      <c r="M942" s="4">
        <f t="shared" si="344"/>
        <v>0</v>
      </c>
      <c r="N942" s="4">
        <f t="shared" si="345"/>
        <v>0</v>
      </c>
      <c r="O942" s="4">
        <f t="shared" si="346"/>
        <v>0</v>
      </c>
      <c r="P942" s="4">
        <f t="shared" si="347"/>
        <v>0</v>
      </c>
      <c r="Q942" s="4">
        <f t="shared" si="348"/>
        <v>0</v>
      </c>
      <c r="R942" s="4">
        <f t="shared" si="349"/>
        <v>0</v>
      </c>
      <c r="S942" s="4">
        <f t="shared" si="350"/>
        <v>0</v>
      </c>
      <c r="T942" s="4">
        <f t="shared" si="351"/>
        <v>0</v>
      </c>
      <c r="U942" s="4">
        <f t="shared" si="352"/>
        <v>1</v>
      </c>
      <c r="V942" s="4">
        <f t="shared" si="353"/>
        <v>0</v>
      </c>
      <c r="W942" s="4">
        <f t="shared" si="354"/>
        <v>0</v>
      </c>
      <c r="X942" s="4">
        <f t="shared" si="355"/>
        <v>0</v>
      </c>
      <c r="Y942" s="4">
        <f t="shared" si="356"/>
        <v>0</v>
      </c>
      <c r="Z942" s="4">
        <f t="shared" si="357"/>
        <v>0</v>
      </c>
      <c r="AA942" s="13">
        <f t="shared" si="358"/>
        <v>0</v>
      </c>
    </row>
    <row r="943" spans="1:27" x14ac:dyDescent="0.3">
      <c r="A943" s="4" t="s">
        <v>1303</v>
      </c>
      <c r="B943" s="4">
        <f t="shared" si="336"/>
        <v>0</v>
      </c>
      <c r="C943" s="4">
        <f t="shared" si="337"/>
        <v>0</v>
      </c>
      <c r="D943" s="4">
        <f t="shared" si="338"/>
        <v>0</v>
      </c>
      <c r="E943" s="4">
        <f t="shared" si="339"/>
        <v>0</v>
      </c>
      <c r="F943" s="4">
        <f t="shared" si="340"/>
        <v>1</v>
      </c>
      <c r="G943" s="4">
        <f t="shared" si="341"/>
        <v>0</v>
      </c>
      <c r="I943" s="14" t="s">
        <v>1044</v>
      </c>
      <c r="J943" s="4">
        <f t="shared" si="342"/>
        <v>0</v>
      </c>
      <c r="K943" s="4">
        <f t="shared" si="359"/>
        <v>0</v>
      </c>
      <c r="L943" s="4">
        <f t="shared" si="343"/>
        <v>0</v>
      </c>
      <c r="M943" s="4">
        <f t="shared" si="344"/>
        <v>0</v>
      </c>
      <c r="N943" s="4">
        <f t="shared" si="345"/>
        <v>0</v>
      </c>
      <c r="O943" s="4">
        <f t="shared" si="346"/>
        <v>0</v>
      </c>
      <c r="P943" s="4">
        <f t="shared" si="347"/>
        <v>0</v>
      </c>
      <c r="Q943" s="4">
        <f t="shared" si="348"/>
        <v>0</v>
      </c>
      <c r="R943" s="4">
        <f t="shared" si="349"/>
        <v>0</v>
      </c>
      <c r="S943" s="4">
        <f t="shared" si="350"/>
        <v>0</v>
      </c>
      <c r="T943" s="4">
        <f t="shared" si="351"/>
        <v>0</v>
      </c>
      <c r="U943" s="4">
        <f t="shared" si="352"/>
        <v>1</v>
      </c>
      <c r="V943" s="4">
        <f t="shared" si="353"/>
        <v>0</v>
      </c>
      <c r="W943" s="4">
        <f t="shared" si="354"/>
        <v>0</v>
      </c>
      <c r="X943" s="4">
        <f t="shared" si="355"/>
        <v>0</v>
      </c>
      <c r="Y943" s="4">
        <f t="shared" si="356"/>
        <v>0</v>
      </c>
      <c r="Z943" s="4">
        <f t="shared" si="357"/>
        <v>0</v>
      </c>
      <c r="AA943" s="13">
        <f t="shared" si="358"/>
        <v>0</v>
      </c>
    </row>
    <row r="944" spans="1:27" x14ac:dyDescent="0.3">
      <c r="A944" s="18" t="s">
        <v>1303</v>
      </c>
      <c r="B944" s="4">
        <f t="shared" si="336"/>
        <v>0</v>
      </c>
      <c r="C944" s="4">
        <f t="shared" si="337"/>
        <v>0</v>
      </c>
      <c r="D944" s="4">
        <f t="shared" si="338"/>
        <v>0</v>
      </c>
      <c r="E944" s="4">
        <f t="shared" si="339"/>
        <v>0</v>
      </c>
      <c r="F944" s="4">
        <f t="shared" si="340"/>
        <v>1</v>
      </c>
      <c r="G944" s="4">
        <f t="shared" si="341"/>
        <v>0</v>
      </c>
      <c r="I944" s="12" t="s">
        <v>990</v>
      </c>
      <c r="J944" s="4">
        <f t="shared" si="342"/>
        <v>0</v>
      </c>
      <c r="K944" s="4">
        <f t="shared" si="359"/>
        <v>0</v>
      </c>
      <c r="L944" s="4">
        <f t="shared" si="343"/>
        <v>0</v>
      </c>
      <c r="M944" s="4">
        <f t="shared" si="344"/>
        <v>0</v>
      </c>
      <c r="N944" s="4">
        <f t="shared" si="345"/>
        <v>1</v>
      </c>
      <c r="O944" s="4">
        <f t="shared" si="346"/>
        <v>0</v>
      </c>
      <c r="P944" s="4">
        <f t="shared" si="347"/>
        <v>0</v>
      </c>
      <c r="Q944" s="4">
        <f t="shared" si="348"/>
        <v>0</v>
      </c>
      <c r="R944" s="4">
        <f t="shared" si="349"/>
        <v>0</v>
      </c>
      <c r="S944" s="4">
        <f t="shared" si="350"/>
        <v>0</v>
      </c>
      <c r="T944" s="4">
        <f t="shared" si="351"/>
        <v>0</v>
      </c>
      <c r="U944" s="4">
        <f t="shared" si="352"/>
        <v>0</v>
      </c>
      <c r="V944" s="4">
        <f t="shared" si="353"/>
        <v>0</v>
      </c>
      <c r="W944" s="4">
        <f t="shared" si="354"/>
        <v>0</v>
      </c>
      <c r="X944" s="4">
        <f t="shared" si="355"/>
        <v>0</v>
      </c>
      <c r="Y944" s="4">
        <f t="shared" si="356"/>
        <v>0</v>
      </c>
      <c r="Z944" s="4">
        <f t="shared" si="357"/>
        <v>0</v>
      </c>
      <c r="AA944" s="13">
        <f t="shared" si="358"/>
        <v>0</v>
      </c>
    </row>
    <row r="945" spans="1:27" x14ac:dyDescent="0.3">
      <c r="A945" s="4" t="s">
        <v>1303</v>
      </c>
      <c r="B945" s="4">
        <f t="shared" si="336"/>
        <v>0</v>
      </c>
      <c r="C945" s="4">
        <f t="shared" si="337"/>
        <v>0</v>
      </c>
      <c r="D945" s="4">
        <f t="shared" si="338"/>
        <v>0</v>
      </c>
      <c r="E945" s="4">
        <f t="shared" si="339"/>
        <v>0</v>
      </c>
      <c r="F945" s="4">
        <f t="shared" si="340"/>
        <v>1</v>
      </c>
      <c r="G945" s="4">
        <f t="shared" si="341"/>
        <v>0</v>
      </c>
      <c r="I945" s="14" t="s">
        <v>977</v>
      </c>
      <c r="J945" s="4">
        <f t="shared" si="342"/>
        <v>1</v>
      </c>
      <c r="K945" s="4">
        <f t="shared" si="359"/>
        <v>0</v>
      </c>
      <c r="L945" s="4">
        <f t="shared" si="343"/>
        <v>0</v>
      </c>
      <c r="M945" s="4">
        <f t="shared" si="344"/>
        <v>0</v>
      </c>
      <c r="N945" s="4">
        <f t="shared" si="345"/>
        <v>0</v>
      </c>
      <c r="O945" s="4">
        <f t="shared" si="346"/>
        <v>0</v>
      </c>
      <c r="P945" s="4">
        <f t="shared" si="347"/>
        <v>0</v>
      </c>
      <c r="Q945" s="4">
        <f t="shared" si="348"/>
        <v>0</v>
      </c>
      <c r="R945" s="4">
        <f t="shared" si="349"/>
        <v>0</v>
      </c>
      <c r="S945" s="4">
        <f t="shared" si="350"/>
        <v>0</v>
      </c>
      <c r="T945" s="4">
        <f t="shared" si="351"/>
        <v>0</v>
      </c>
      <c r="U945" s="4">
        <f t="shared" si="352"/>
        <v>0</v>
      </c>
      <c r="V945" s="4">
        <f t="shared" si="353"/>
        <v>0</v>
      </c>
      <c r="W945" s="4">
        <f t="shared" si="354"/>
        <v>0</v>
      </c>
      <c r="X945" s="4">
        <f t="shared" si="355"/>
        <v>0</v>
      </c>
      <c r="Y945" s="4">
        <f t="shared" si="356"/>
        <v>0</v>
      </c>
      <c r="Z945" s="4">
        <f t="shared" si="357"/>
        <v>0</v>
      </c>
      <c r="AA945" s="13">
        <f t="shared" si="358"/>
        <v>0</v>
      </c>
    </row>
    <row r="946" spans="1:27" x14ac:dyDescent="0.3">
      <c r="A946" s="18" t="s">
        <v>1303</v>
      </c>
      <c r="B946" s="4">
        <f t="shared" si="336"/>
        <v>0</v>
      </c>
      <c r="C946" s="4">
        <f t="shared" si="337"/>
        <v>0</v>
      </c>
      <c r="D946" s="4">
        <f t="shared" si="338"/>
        <v>0</v>
      </c>
      <c r="E946" s="4">
        <f t="shared" si="339"/>
        <v>0</v>
      </c>
      <c r="F946" s="4">
        <f t="shared" si="340"/>
        <v>1</v>
      </c>
      <c r="G946" s="4">
        <f t="shared" si="341"/>
        <v>0</v>
      </c>
      <c r="I946" s="12" t="s">
        <v>996</v>
      </c>
      <c r="J946" s="4">
        <f t="shared" si="342"/>
        <v>0</v>
      </c>
      <c r="K946" s="4">
        <f t="shared" si="359"/>
        <v>0</v>
      </c>
      <c r="L946" s="4">
        <f t="shared" si="343"/>
        <v>0</v>
      </c>
      <c r="M946" s="4">
        <f t="shared" si="344"/>
        <v>0</v>
      </c>
      <c r="N946" s="4">
        <f t="shared" si="345"/>
        <v>0</v>
      </c>
      <c r="O946" s="4">
        <f t="shared" si="346"/>
        <v>0</v>
      </c>
      <c r="P946" s="4">
        <f t="shared" si="347"/>
        <v>0</v>
      </c>
      <c r="Q946" s="4">
        <f t="shared" si="348"/>
        <v>1</v>
      </c>
      <c r="R946" s="4">
        <f t="shared" si="349"/>
        <v>0</v>
      </c>
      <c r="S946" s="4">
        <f t="shared" si="350"/>
        <v>0</v>
      </c>
      <c r="T946" s="4">
        <f t="shared" si="351"/>
        <v>0</v>
      </c>
      <c r="U946" s="4">
        <f t="shared" si="352"/>
        <v>0</v>
      </c>
      <c r="V946" s="4">
        <f t="shared" si="353"/>
        <v>0</v>
      </c>
      <c r="W946" s="4">
        <f t="shared" si="354"/>
        <v>0</v>
      </c>
      <c r="X946" s="4">
        <f t="shared" si="355"/>
        <v>0</v>
      </c>
      <c r="Y946" s="4">
        <f t="shared" si="356"/>
        <v>0</v>
      </c>
      <c r="Z946" s="4">
        <f t="shared" si="357"/>
        <v>0</v>
      </c>
      <c r="AA946" s="13">
        <f t="shared" si="358"/>
        <v>0</v>
      </c>
    </row>
    <row r="947" spans="1:27" x14ac:dyDescent="0.3">
      <c r="A947" s="4" t="s">
        <v>1302</v>
      </c>
      <c r="B947" s="4">
        <f t="shared" si="336"/>
        <v>1</v>
      </c>
      <c r="C947" s="4">
        <f t="shared" si="337"/>
        <v>0</v>
      </c>
      <c r="D947" s="4">
        <f t="shared" si="338"/>
        <v>0</v>
      </c>
      <c r="E947" s="4">
        <f t="shared" si="339"/>
        <v>0</v>
      </c>
      <c r="F947" s="4">
        <f t="shared" si="340"/>
        <v>0</v>
      </c>
      <c r="G947" s="4">
        <f t="shared" si="341"/>
        <v>0</v>
      </c>
      <c r="I947" s="14" t="s">
        <v>977</v>
      </c>
      <c r="J947" s="4">
        <f t="shared" si="342"/>
        <v>1</v>
      </c>
      <c r="K947" s="4">
        <f t="shared" si="359"/>
        <v>0</v>
      </c>
      <c r="L947" s="4">
        <f t="shared" si="343"/>
        <v>0</v>
      </c>
      <c r="M947" s="4">
        <f t="shared" si="344"/>
        <v>0</v>
      </c>
      <c r="N947" s="4">
        <f t="shared" si="345"/>
        <v>0</v>
      </c>
      <c r="O947" s="4">
        <f t="shared" si="346"/>
        <v>0</v>
      </c>
      <c r="P947" s="4">
        <f t="shared" si="347"/>
        <v>0</v>
      </c>
      <c r="Q947" s="4">
        <f t="shared" si="348"/>
        <v>0</v>
      </c>
      <c r="R947" s="4">
        <f t="shared" si="349"/>
        <v>0</v>
      </c>
      <c r="S947" s="4">
        <f t="shared" si="350"/>
        <v>0</v>
      </c>
      <c r="T947" s="4">
        <f t="shared" si="351"/>
        <v>0</v>
      </c>
      <c r="U947" s="4">
        <f t="shared" si="352"/>
        <v>0</v>
      </c>
      <c r="V947" s="4">
        <f t="shared" si="353"/>
        <v>0</v>
      </c>
      <c r="W947" s="4">
        <f t="shared" si="354"/>
        <v>0</v>
      </c>
      <c r="X947" s="4">
        <f t="shared" si="355"/>
        <v>0</v>
      </c>
      <c r="Y947" s="4">
        <f t="shared" si="356"/>
        <v>0</v>
      </c>
      <c r="Z947" s="4">
        <f t="shared" si="357"/>
        <v>0</v>
      </c>
      <c r="AA947" s="13">
        <f t="shared" si="358"/>
        <v>0</v>
      </c>
    </row>
    <row r="948" spans="1:27" x14ac:dyDescent="0.3">
      <c r="A948" s="18" t="s">
        <v>1305</v>
      </c>
      <c r="B948" s="4">
        <f t="shared" si="336"/>
        <v>0</v>
      </c>
      <c r="C948" s="4">
        <f t="shared" si="337"/>
        <v>0</v>
      </c>
      <c r="D948" s="4">
        <f t="shared" si="338"/>
        <v>0</v>
      </c>
      <c r="E948" s="4">
        <f t="shared" si="339"/>
        <v>0</v>
      </c>
      <c r="F948" s="4">
        <f t="shared" si="340"/>
        <v>0</v>
      </c>
      <c r="G948" s="4">
        <f t="shared" si="341"/>
        <v>1</v>
      </c>
      <c r="I948" s="12" t="s">
        <v>988</v>
      </c>
      <c r="J948" s="4">
        <f t="shared" si="342"/>
        <v>0</v>
      </c>
      <c r="K948" s="4">
        <f t="shared" si="359"/>
        <v>0</v>
      </c>
      <c r="L948" s="4">
        <f t="shared" si="343"/>
        <v>1</v>
      </c>
      <c r="M948" s="4">
        <f t="shared" si="344"/>
        <v>0</v>
      </c>
      <c r="N948" s="4">
        <f t="shared" si="345"/>
        <v>0</v>
      </c>
      <c r="O948" s="4">
        <f t="shared" si="346"/>
        <v>0</v>
      </c>
      <c r="P948" s="4">
        <f t="shared" si="347"/>
        <v>0</v>
      </c>
      <c r="Q948" s="4">
        <f t="shared" si="348"/>
        <v>0</v>
      </c>
      <c r="R948" s="4">
        <f t="shared" si="349"/>
        <v>0</v>
      </c>
      <c r="S948" s="4">
        <f t="shared" si="350"/>
        <v>0</v>
      </c>
      <c r="T948" s="4">
        <f t="shared" si="351"/>
        <v>0</v>
      </c>
      <c r="U948" s="4">
        <f t="shared" si="352"/>
        <v>0</v>
      </c>
      <c r="V948" s="4">
        <f t="shared" si="353"/>
        <v>0</v>
      </c>
      <c r="W948" s="4">
        <f t="shared" si="354"/>
        <v>0</v>
      </c>
      <c r="X948" s="4">
        <f t="shared" si="355"/>
        <v>0</v>
      </c>
      <c r="Y948" s="4">
        <f t="shared" si="356"/>
        <v>0</v>
      </c>
      <c r="Z948" s="4">
        <f t="shared" si="357"/>
        <v>0</v>
      </c>
      <c r="AA948" s="13">
        <f t="shared" si="358"/>
        <v>0</v>
      </c>
    </row>
    <row r="949" spans="1:27" x14ac:dyDescent="0.3">
      <c r="A949" s="4" t="s">
        <v>1305</v>
      </c>
      <c r="B949" s="4">
        <f t="shared" si="336"/>
        <v>0</v>
      </c>
      <c r="C949" s="4">
        <f t="shared" si="337"/>
        <v>0</v>
      </c>
      <c r="D949" s="4">
        <f t="shared" si="338"/>
        <v>0</v>
      </c>
      <c r="E949" s="4">
        <f t="shared" si="339"/>
        <v>0</v>
      </c>
      <c r="F949" s="4">
        <f t="shared" si="340"/>
        <v>0</v>
      </c>
      <c r="G949" s="4">
        <f t="shared" si="341"/>
        <v>1</v>
      </c>
      <c r="I949" s="14" t="s">
        <v>1044</v>
      </c>
      <c r="J949" s="4">
        <f t="shared" si="342"/>
        <v>0</v>
      </c>
      <c r="K949" s="4">
        <f t="shared" si="359"/>
        <v>0</v>
      </c>
      <c r="L949" s="4">
        <f t="shared" si="343"/>
        <v>0</v>
      </c>
      <c r="M949" s="4">
        <f t="shared" si="344"/>
        <v>0</v>
      </c>
      <c r="N949" s="4">
        <f t="shared" si="345"/>
        <v>0</v>
      </c>
      <c r="O949" s="4">
        <f t="shared" si="346"/>
        <v>0</v>
      </c>
      <c r="P949" s="4">
        <f t="shared" si="347"/>
        <v>0</v>
      </c>
      <c r="Q949" s="4">
        <f t="shared" si="348"/>
        <v>0</v>
      </c>
      <c r="R949" s="4">
        <f t="shared" si="349"/>
        <v>0</v>
      </c>
      <c r="S949" s="4">
        <f t="shared" si="350"/>
        <v>0</v>
      </c>
      <c r="T949" s="4">
        <f t="shared" si="351"/>
        <v>0</v>
      </c>
      <c r="U949" s="4">
        <f t="shared" si="352"/>
        <v>1</v>
      </c>
      <c r="V949" s="4">
        <f t="shared" si="353"/>
        <v>0</v>
      </c>
      <c r="W949" s="4">
        <f t="shared" si="354"/>
        <v>0</v>
      </c>
      <c r="X949" s="4">
        <f t="shared" si="355"/>
        <v>0</v>
      </c>
      <c r="Y949" s="4">
        <f t="shared" si="356"/>
        <v>0</v>
      </c>
      <c r="Z949" s="4">
        <f t="shared" si="357"/>
        <v>0</v>
      </c>
      <c r="AA949" s="13">
        <f t="shared" si="358"/>
        <v>0</v>
      </c>
    </row>
    <row r="950" spans="1:27" x14ac:dyDescent="0.3">
      <c r="A950" s="18" t="s">
        <v>1304</v>
      </c>
      <c r="B950" s="4">
        <f t="shared" si="336"/>
        <v>0</v>
      </c>
      <c r="C950" s="4">
        <f t="shared" si="337"/>
        <v>1</v>
      </c>
      <c r="D950" s="4">
        <f t="shared" si="338"/>
        <v>0</v>
      </c>
      <c r="E950" s="4">
        <f t="shared" si="339"/>
        <v>0</v>
      </c>
      <c r="F950" s="4">
        <f t="shared" si="340"/>
        <v>0</v>
      </c>
      <c r="G950" s="4">
        <f t="shared" si="341"/>
        <v>0</v>
      </c>
      <c r="I950" s="12" t="s">
        <v>994</v>
      </c>
      <c r="J950" s="4">
        <f t="shared" si="342"/>
        <v>0</v>
      </c>
      <c r="K950" s="4">
        <f t="shared" si="359"/>
        <v>0</v>
      </c>
      <c r="L950" s="4">
        <f t="shared" si="343"/>
        <v>0</v>
      </c>
      <c r="M950" s="4">
        <f t="shared" si="344"/>
        <v>0</v>
      </c>
      <c r="N950" s="4">
        <f t="shared" si="345"/>
        <v>0</v>
      </c>
      <c r="O950" s="4">
        <f t="shared" si="346"/>
        <v>0</v>
      </c>
      <c r="P950" s="4">
        <f t="shared" si="347"/>
        <v>1</v>
      </c>
      <c r="Q950" s="4">
        <f t="shared" si="348"/>
        <v>0</v>
      </c>
      <c r="R950" s="4">
        <f t="shared" si="349"/>
        <v>0</v>
      </c>
      <c r="S950" s="4">
        <f t="shared" si="350"/>
        <v>0</v>
      </c>
      <c r="T950" s="4">
        <f t="shared" si="351"/>
        <v>0</v>
      </c>
      <c r="U950" s="4">
        <f t="shared" si="352"/>
        <v>0</v>
      </c>
      <c r="V950" s="4">
        <f t="shared" si="353"/>
        <v>0</v>
      </c>
      <c r="W950" s="4">
        <f t="shared" si="354"/>
        <v>0</v>
      </c>
      <c r="X950" s="4">
        <f t="shared" si="355"/>
        <v>0</v>
      </c>
      <c r="Y950" s="4">
        <f t="shared" si="356"/>
        <v>0</v>
      </c>
      <c r="Z950" s="4">
        <f t="shared" si="357"/>
        <v>0</v>
      </c>
      <c r="AA950" s="13">
        <f t="shared" si="358"/>
        <v>0</v>
      </c>
    </row>
    <row r="951" spans="1:27" x14ac:dyDescent="0.3">
      <c r="A951" s="4" t="s">
        <v>1304</v>
      </c>
      <c r="B951" s="4">
        <f t="shared" si="336"/>
        <v>0</v>
      </c>
      <c r="C951" s="4">
        <f t="shared" si="337"/>
        <v>1</v>
      </c>
      <c r="D951" s="4">
        <f t="shared" si="338"/>
        <v>0</v>
      </c>
      <c r="E951" s="4">
        <f t="shared" si="339"/>
        <v>0</v>
      </c>
      <c r="F951" s="4">
        <f t="shared" si="340"/>
        <v>0</v>
      </c>
      <c r="G951" s="4">
        <f t="shared" si="341"/>
        <v>0</v>
      </c>
      <c r="I951" s="14" t="s">
        <v>977</v>
      </c>
      <c r="J951" s="4">
        <f t="shared" si="342"/>
        <v>1</v>
      </c>
      <c r="K951" s="4">
        <f t="shared" si="359"/>
        <v>0</v>
      </c>
      <c r="L951" s="4">
        <f t="shared" si="343"/>
        <v>0</v>
      </c>
      <c r="M951" s="4">
        <f t="shared" si="344"/>
        <v>0</v>
      </c>
      <c r="N951" s="4">
        <f t="shared" si="345"/>
        <v>0</v>
      </c>
      <c r="O951" s="4">
        <f t="shared" si="346"/>
        <v>0</v>
      </c>
      <c r="P951" s="4">
        <f t="shared" si="347"/>
        <v>0</v>
      </c>
      <c r="Q951" s="4">
        <f t="shared" si="348"/>
        <v>0</v>
      </c>
      <c r="R951" s="4">
        <f t="shared" si="349"/>
        <v>0</v>
      </c>
      <c r="S951" s="4">
        <f t="shared" si="350"/>
        <v>0</v>
      </c>
      <c r="T951" s="4">
        <f t="shared" si="351"/>
        <v>0</v>
      </c>
      <c r="U951" s="4">
        <f t="shared" si="352"/>
        <v>0</v>
      </c>
      <c r="V951" s="4">
        <f t="shared" si="353"/>
        <v>0</v>
      </c>
      <c r="W951" s="4">
        <f t="shared" si="354"/>
        <v>0</v>
      </c>
      <c r="X951" s="4">
        <f t="shared" si="355"/>
        <v>0</v>
      </c>
      <c r="Y951" s="4">
        <f t="shared" si="356"/>
        <v>0</v>
      </c>
      <c r="Z951" s="4">
        <f t="shared" si="357"/>
        <v>0</v>
      </c>
      <c r="AA951" s="13">
        <f t="shared" si="358"/>
        <v>0</v>
      </c>
    </row>
    <row r="952" spans="1:27" x14ac:dyDescent="0.3">
      <c r="A952" s="18" t="s">
        <v>1304</v>
      </c>
      <c r="B952" s="4">
        <f t="shared" si="336"/>
        <v>0</v>
      </c>
      <c r="C952" s="4">
        <f t="shared" si="337"/>
        <v>1</v>
      </c>
      <c r="D952" s="4">
        <f t="shared" si="338"/>
        <v>0</v>
      </c>
      <c r="E952" s="4">
        <f t="shared" si="339"/>
        <v>0</v>
      </c>
      <c r="F952" s="4">
        <f t="shared" si="340"/>
        <v>0</v>
      </c>
      <c r="G952" s="4">
        <f t="shared" si="341"/>
        <v>0</v>
      </c>
      <c r="I952" s="12" t="s">
        <v>996</v>
      </c>
      <c r="J952" s="4">
        <f t="shared" si="342"/>
        <v>0</v>
      </c>
      <c r="K952" s="4">
        <f t="shared" si="359"/>
        <v>0</v>
      </c>
      <c r="L952" s="4">
        <f t="shared" si="343"/>
        <v>0</v>
      </c>
      <c r="M952" s="4">
        <f t="shared" si="344"/>
        <v>0</v>
      </c>
      <c r="N952" s="4">
        <f t="shared" si="345"/>
        <v>0</v>
      </c>
      <c r="O952" s="4">
        <f t="shared" si="346"/>
        <v>0</v>
      </c>
      <c r="P952" s="4">
        <f t="shared" si="347"/>
        <v>0</v>
      </c>
      <c r="Q952" s="4">
        <f t="shared" si="348"/>
        <v>1</v>
      </c>
      <c r="R952" s="4">
        <f t="shared" si="349"/>
        <v>0</v>
      </c>
      <c r="S952" s="4">
        <f t="shared" si="350"/>
        <v>0</v>
      </c>
      <c r="T952" s="4">
        <f t="shared" si="351"/>
        <v>0</v>
      </c>
      <c r="U952" s="4">
        <f t="shared" si="352"/>
        <v>0</v>
      </c>
      <c r="V952" s="4">
        <f t="shared" si="353"/>
        <v>0</v>
      </c>
      <c r="W952" s="4">
        <f t="shared" si="354"/>
        <v>0</v>
      </c>
      <c r="X952" s="4">
        <f t="shared" si="355"/>
        <v>0</v>
      </c>
      <c r="Y952" s="4">
        <f t="shared" si="356"/>
        <v>0</v>
      </c>
      <c r="Z952" s="4">
        <f t="shared" si="357"/>
        <v>0</v>
      </c>
      <c r="AA952" s="13">
        <f t="shared" si="358"/>
        <v>0</v>
      </c>
    </row>
    <row r="953" spans="1:27" x14ac:dyDescent="0.3">
      <c r="A953" s="4" t="s">
        <v>1303</v>
      </c>
      <c r="B953" s="4">
        <f t="shared" si="336"/>
        <v>0</v>
      </c>
      <c r="C953" s="4">
        <f t="shared" si="337"/>
        <v>0</v>
      </c>
      <c r="D953" s="4">
        <f t="shared" si="338"/>
        <v>0</v>
      </c>
      <c r="E953" s="4">
        <f t="shared" si="339"/>
        <v>0</v>
      </c>
      <c r="F953" s="4">
        <f t="shared" si="340"/>
        <v>1</v>
      </c>
      <c r="G953" s="4">
        <f t="shared" si="341"/>
        <v>0</v>
      </c>
      <c r="I953" s="14" t="s">
        <v>996</v>
      </c>
      <c r="J953" s="4">
        <f t="shared" si="342"/>
        <v>0</v>
      </c>
      <c r="K953" s="4">
        <f t="shared" si="359"/>
        <v>0</v>
      </c>
      <c r="L953" s="4">
        <f t="shared" si="343"/>
        <v>0</v>
      </c>
      <c r="M953" s="4">
        <f t="shared" si="344"/>
        <v>0</v>
      </c>
      <c r="N953" s="4">
        <f t="shared" si="345"/>
        <v>0</v>
      </c>
      <c r="O953" s="4">
        <f t="shared" si="346"/>
        <v>0</v>
      </c>
      <c r="P953" s="4">
        <f t="shared" si="347"/>
        <v>0</v>
      </c>
      <c r="Q953" s="4">
        <f t="shared" si="348"/>
        <v>1</v>
      </c>
      <c r="R953" s="4">
        <f t="shared" si="349"/>
        <v>0</v>
      </c>
      <c r="S953" s="4">
        <f t="shared" si="350"/>
        <v>0</v>
      </c>
      <c r="T953" s="4">
        <f t="shared" si="351"/>
        <v>0</v>
      </c>
      <c r="U953" s="4">
        <f t="shared" si="352"/>
        <v>0</v>
      </c>
      <c r="V953" s="4">
        <f t="shared" si="353"/>
        <v>0</v>
      </c>
      <c r="W953" s="4">
        <f t="shared" si="354"/>
        <v>0</v>
      </c>
      <c r="X953" s="4">
        <f t="shared" si="355"/>
        <v>0</v>
      </c>
      <c r="Y953" s="4">
        <f t="shared" si="356"/>
        <v>0</v>
      </c>
      <c r="Z953" s="4">
        <f t="shared" si="357"/>
        <v>0</v>
      </c>
      <c r="AA953" s="13">
        <f t="shared" si="358"/>
        <v>0</v>
      </c>
    </row>
    <row r="954" spans="1:27" x14ac:dyDescent="0.3">
      <c r="A954" s="18" t="s">
        <v>1302</v>
      </c>
      <c r="B954" s="4">
        <f t="shared" si="336"/>
        <v>1</v>
      </c>
      <c r="C954" s="4">
        <f t="shared" si="337"/>
        <v>0</v>
      </c>
      <c r="D954" s="4">
        <f t="shared" si="338"/>
        <v>0</v>
      </c>
      <c r="E954" s="4">
        <f t="shared" si="339"/>
        <v>0</v>
      </c>
      <c r="F954" s="4">
        <f t="shared" si="340"/>
        <v>0</v>
      </c>
      <c r="G954" s="4">
        <f t="shared" si="341"/>
        <v>0</v>
      </c>
      <c r="I954" s="12" t="s">
        <v>988</v>
      </c>
      <c r="J954" s="4">
        <f t="shared" si="342"/>
        <v>0</v>
      </c>
      <c r="K954" s="4">
        <f t="shared" si="359"/>
        <v>0</v>
      </c>
      <c r="L954" s="4">
        <f t="shared" si="343"/>
        <v>1</v>
      </c>
      <c r="M954" s="4">
        <f t="shared" si="344"/>
        <v>0</v>
      </c>
      <c r="N954" s="4">
        <f t="shared" si="345"/>
        <v>0</v>
      </c>
      <c r="O954" s="4">
        <f t="shared" si="346"/>
        <v>0</v>
      </c>
      <c r="P954" s="4">
        <f t="shared" si="347"/>
        <v>0</v>
      </c>
      <c r="Q954" s="4">
        <f t="shared" si="348"/>
        <v>0</v>
      </c>
      <c r="R954" s="4">
        <f t="shared" si="349"/>
        <v>0</v>
      </c>
      <c r="S954" s="4">
        <f t="shared" si="350"/>
        <v>0</v>
      </c>
      <c r="T954" s="4">
        <f t="shared" si="351"/>
        <v>0</v>
      </c>
      <c r="U954" s="4">
        <f t="shared" si="352"/>
        <v>0</v>
      </c>
      <c r="V954" s="4">
        <f t="shared" si="353"/>
        <v>0</v>
      </c>
      <c r="W954" s="4">
        <f t="shared" si="354"/>
        <v>0</v>
      </c>
      <c r="X954" s="4">
        <f t="shared" si="355"/>
        <v>0</v>
      </c>
      <c r="Y954" s="4">
        <f t="shared" si="356"/>
        <v>0</v>
      </c>
      <c r="Z954" s="4">
        <f t="shared" si="357"/>
        <v>0</v>
      </c>
      <c r="AA954" s="13">
        <f t="shared" si="358"/>
        <v>0</v>
      </c>
    </row>
    <row r="955" spans="1:27" x14ac:dyDescent="0.3">
      <c r="A955" s="4" t="s">
        <v>1302</v>
      </c>
      <c r="B955" s="4">
        <f t="shared" si="336"/>
        <v>1</v>
      </c>
      <c r="C955" s="4">
        <f t="shared" si="337"/>
        <v>0</v>
      </c>
      <c r="D955" s="4">
        <f t="shared" si="338"/>
        <v>0</v>
      </c>
      <c r="E955" s="4">
        <f t="shared" si="339"/>
        <v>0</v>
      </c>
      <c r="F955" s="4">
        <f t="shared" si="340"/>
        <v>0</v>
      </c>
      <c r="G955" s="4">
        <f t="shared" si="341"/>
        <v>0</v>
      </c>
      <c r="I955" s="14" t="s">
        <v>994</v>
      </c>
      <c r="J955" s="4">
        <f t="shared" si="342"/>
        <v>0</v>
      </c>
      <c r="K955" s="4">
        <f t="shared" si="359"/>
        <v>0</v>
      </c>
      <c r="L955" s="4">
        <f t="shared" si="343"/>
        <v>0</v>
      </c>
      <c r="M955" s="4">
        <f t="shared" si="344"/>
        <v>0</v>
      </c>
      <c r="N955" s="4">
        <f t="shared" si="345"/>
        <v>0</v>
      </c>
      <c r="O955" s="4">
        <f t="shared" si="346"/>
        <v>0</v>
      </c>
      <c r="P955" s="4">
        <f t="shared" si="347"/>
        <v>1</v>
      </c>
      <c r="Q955" s="4">
        <f t="shared" si="348"/>
        <v>0</v>
      </c>
      <c r="R955" s="4">
        <f t="shared" si="349"/>
        <v>0</v>
      </c>
      <c r="S955" s="4">
        <f t="shared" si="350"/>
        <v>0</v>
      </c>
      <c r="T955" s="4">
        <f t="shared" si="351"/>
        <v>0</v>
      </c>
      <c r="U955" s="4">
        <f t="shared" si="352"/>
        <v>0</v>
      </c>
      <c r="V955" s="4">
        <f t="shared" si="353"/>
        <v>0</v>
      </c>
      <c r="W955" s="4">
        <f t="shared" si="354"/>
        <v>0</v>
      </c>
      <c r="X955" s="4">
        <f t="shared" si="355"/>
        <v>0</v>
      </c>
      <c r="Y955" s="4">
        <f t="shared" si="356"/>
        <v>0</v>
      </c>
      <c r="Z955" s="4">
        <f t="shared" si="357"/>
        <v>0</v>
      </c>
      <c r="AA955" s="13">
        <f t="shared" si="358"/>
        <v>0</v>
      </c>
    </row>
    <row r="956" spans="1:27" x14ac:dyDescent="0.3">
      <c r="A956" s="18" t="s">
        <v>1305</v>
      </c>
      <c r="B956" s="4">
        <f t="shared" si="336"/>
        <v>0</v>
      </c>
      <c r="C956" s="4">
        <f t="shared" si="337"/>
        <v>0</v>
      </c>
      <c r="D956" s="4">
        <f t="shared" si="338"/>
        <v>0</v>
      </c>
      <c r="E956" s="4">
        <f t="shared" si="339"/>
        <v>0</v>
      </c>
      <c r="F956" s="4">
        <f t="shared" si="340"/>
        <v>0</v>
      </c>
      <c r="G956" s="4">
        <f t="shared" si="341"/>
        <v>1</v>
      </c>
      <c r="I956" s="12" t="s">
        <v>1044</v>
      </c>
      <c r="J956" s="4">
        <f t="shared" si="342"/>
        <v>0</v>
      </c>
      <c r="K956" s="4">
        <f t="shared" si="359"/>
        <v>0</v>
      </c>
      <c r="L956" s="4">
        <f t="shared" si="343"/>
        <v>0</v>
      </c>
      <c r="M956" s="4">
        <f t="shared" si="344"/>
        <v>0</v>
      </c>
      <c r="N956" s="4">
        <f t="shared" si="345"/>
        <v>0</v>
      </c>
      <c r="O956" s="4">
        <f t="shared" si="346"/>
        <v>0</v>
      </c>
      <c r="P956" s="4">
        <f t="shared" si="347"/>
        <v>0</v>
      </c>
      <c r="Q956" s="4">
        <f t="shared" si="348"/>
        <v>0</v>
      </c>
      <c r="R956" s="4">
        <f t="shared" si="349"/>
        <v>0</v>
      </c>
      <c r="S956" s="4">
        <f t="shared" si="350"/>
        <v>0</v>
      </c>
      <c r="T956" s="4">
        <f t="shared" si="351"/>
        <v>0</v>
      </c>
      <c r="U956" s="4">
        <f t="shared" si="352"/>
        <v>1</v>
      </c>
      <c r="V956" s="4">
        <f t="shared" si="353"/>
        <v>0</v>
      </c>
      <c r="W956" s="4">
        <f t="shared" si="354"/>
        <v>0</v>
      </c>
      <c r="X956" s="4">
        <f t="shared" si="355"/>
        <v>0</v>
      </c>
      <c r="Y956" s="4">
        <f t="shared" si="356"/>
        <v>0</v>
      </c>
      <c r="Z956" s="4">
        <f t="shared" si="357"/>
        <v>0</v>
      </c>
      <c r="AA956" s="13">
        <f t="shared" si="358"/>
        <v>0</v>
      </c>
    </row>
    <row r="957" spans="1:27" x14ac:dyDescent="0.3">
      <c r="A957" s="4" t="s">
        <v>1304</v>
      </c>
      <c r="B957" s="4">
        <f t="shared" si="336"/>
        <v>0</v>
      </c>
      <c r="C957" s="4">
        <f t="shared" si="337"/>
        <v>1</v>
      </c>
      <c r="D957" s="4">
        <f t="shared" si="338"/>
        <v>0</v>
      </c>
      <c r="E957" s="4">
        <f t="shared" si="339"/>
        <v>0</v>
      </c>
      <c r="F957" s="4">
        <f t="shared" si="340"/>
        <v>0</v>
      </c>
      <c r="G957" s="4">
        <f t="shared" si="341"/>
        <v>0</v>
      </c>
      <c r="I957" s="14" t="s">
        <v>1004</v>
      </c>
      <c r="J957" s="4">
        <f t="shared" si="342"/>
        <v>0</v>
      </c>
      <c r="K957" s="4">
        <f t="shared" si="359"/>
        <v>0</v>
      </c>
      <c r="L957" s="4">
        <f t="shared" si="343"/>
        <v>0</v>
      </c>
      <c r="M957" s="4">
        <f t="shared" si="344"/>
        <v>0</v>
      </c>
      <c r="N957" s="4">
        <f t="shared" si="345"/>
        <v>0</v>
      </c>
      <c r="O957" s="4">
        <f t="shared" si="346"/>
        <v>0</v>
      </c>
      <c r="P957" s="4">
        <f t="shared" si="347"/>
        <v>0</v>
      </c>
      <c r="Q957" s="4">
        <f t="shared" si="348"/>
        <v>0</v>
      </c>
      <c r="R957" s="4">
        <f t="shared" si="349"/>
        <v>1</v>
      </c>
      <c r="S957" s="4">
        <f t="shared" si="350"/>
        <v>0</v>
      </c>
      <c r="T957" s="4">
        <f t="shared" si="351"/>
        <v>0</v>
      </c>
      <c r="U957" s="4">
        <f t="shared" si="352"/>
        <v>0</v>
      </c>
      <c r="V957" s="4">
        <f t="shared" si="353"/>
        <v>0</v>
      </c>
      <c r="W957" s="4">
        <f t="shared" si="354"/>
        <v>0</v>
      </c>
      <c r="X957" s="4">
        <f t="shared" si="355"/>
        <v>0</v>
      </c>
      <c r="Y957" s="4">
        <f t="shared" si="356"/>
        <v>0</v>
      </c>
      <c r="Z957" s="4">
        <f t="shared" si="357"/>
        <v>0</v>
      </c>
      <c r="AA957" s="13">
        <f t="shared" si="358"/>
        <v>0</v>
      </c>
    </row>
    <row r="958" spans="1:27" x14ac:dyDescent="0.3">
      <c r="A958" s="18" t="s">
        <v>1304</v>
      </c>
      <c r="B958" s="4">
        <f t="shared" si="336"/>
        <v>0</v>
      </c>
      <c r="C958" s="4">
        <f t="shared" si="337"/>
        <v>1</v>
      </c>
      <c r="D958" s="4">
        <f t="shared" si="338"/>
        <v>0</v>
      </c>
      <c r="E958" s="4">
        <f t="shared" si="339"/>
        <v>0</v>
      </c>
      <c r="F958" s="4">
        <f t="shared" si="340"/>
        <v>0</v>
      </c>
      <c r="G958" s="4">
        <f t="shared" si="341"/>
        <v>0</v>
      </c>
      <c r="I958" s="12" t="s">
        <v>1294</v>
      </c>
      <c r="J958" s="4">
        <f t="shared" si="342"/>
        <v>0</v>
      </c>
      <c r="K958" s="4">
        <f t="shared" si="359"/>
        <v>0</v>
      </c>
      <c r="L958" s="4">
        <f t="shared" si="343"/>
        <v>0</v>
      </c>
      <c r="M958" s="4">
        <f t="shared" si="344"/>
        <v>0</v>
      </c>
      <c r="N958" s="4">
        <f t="shared" si="345"/>
        <v>0</v>
      </c>
      <c r="O958" s="4">
        <f t="shared" si="346"/>
        <v>0</v>
      </c>
      <c r="P958" s="4">
        <f t="shared" si="347"/>
        <v>0</v>
      </c>
      <c r="Q958" s="4">
        <f t="shared" si="348"/>
        <v>0</v>
      </c>
      <c r="R958" s="4">
        <f t="shared" si="349"/>
        <v>0</v>
      </c>
      <c r="S958" s="4">
        <f t="shared" si="350"/>
        <v>0</v>
      </c>
      <c r="T958" s="4">
        <f t="shared" si="351"/>
        <v>0</v>
      </c>
      <c r="U958" s="4">
        <f t="shared" si="352"/>
        <v>0</v>
      </c>
      <c r="V958" s="4">
        <f t="shared" si="353"/>
        <v>0</v>
      </c>
      <c r="W958" s="4">
        <f t="shared" si="354"/>
        <v>0</v>
      </c>
      <c r="X958" s="4">
        <f t="shared" si="355"/>
        <v>0</v>
      </c>
      <c r="Y958" s="4">
        <f t="shared" si="356"/>
        <v>0</v>
      </c>
      <c r="Z958" s="4">
        <f t="shared" si="357"/>
        <v>0</v>
      </c>
      <c r="AA958" s="13">
        <f t="shared" si="358"/>
        <v>0</v>
      </c>
    </row>
    <row r="959" spans="1:27" x14ac:dyDescent="0.3">
      <c r="I959" s="15" t="s">
        <v>996</v>
      </c>
      <c r="J959" s="16">
        <f t="shared" si="342"/>
        <v>0</v>
      </c>
      <c r="K959" s="16">
        <f t="shared" si="359"/>
        <v>0</v>
      </c>
      <c r="L959" s="16">
        <f t="shared" si="343"/>
        <v>0</v>
      </c>
      <c r="M959" s="16">
        <f t="shared" si="344"/>
        <v>0</v>
      </c>
      <c r="N959" s="16">
        <f t="shared" si="345"/>
        <v>0</v>
      </c>
      <c r="O959" s="16">
        <f t="shared" si="346"/>
        <v>0</v>
      </c>
      <c r="P959" s="16">
        <f t="shared" si="347"/>
        <v>0</v>
      </c>
      <c r="Q959" s="16">
        <f t="shared" si="348"/>
        <v>1</v>
      </c>
      <c r="R959" s="16">
        <f t="shared" si="349"/>
        <v>0</v>
      </c>
      <c r="S959" s="16">
        <f t="shared" si="350"/>
        <v>0</v>
      </c>
      <c r="T959" s="16">
        <f t="shared" si="351"/>
        <v>0</v>
      </c>
      <c r="U959" s="16">
        <f t="shared" si="352"/>
        <v>0</v>
      </c>
      <c r="V959" s="16">
        <f t="shared" si="353"/>
        <v>0</v>
      </c>
      <c r="W959" s="16">
        <f t="shared" si="354"/>
        <v>0</v>
      </c>
      <c r="X959" s="16">
        <f t="shared" si="355"/>
        <v>0</v>
      </c>
      <c r="Y959" s="16">
        <f t="shared" si="356"/>
        <v>0</v>
      </c>
      <c r="Z959" s="16">
        <f t="shared" si="357"/>
        <v>0</v>
      </c>
      <c r="AA959" s="17">
        <f t="shared" si="358"/>
        <v>0</v>
      </c>
    </row>
  </sheetData>
  <mergeCells count="2">
    <mergeCell ref="A1:G1"/>
    <mergeCell ref="I1:AD1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C071-610F-4093-B986-18EA293D5F20}">
  <dimension ref="A1:Q958"/>
  <sheetViews>
    <sheetView workbookViewId="0">
      <selection activeCell="F9" sqref="F9"/>
    </sheetView>
  </sheetViews>
  <sheetFormatPr defaultRowHeight="14.4" x14ac:dyDescent="0.3"/>
  <cols>
    <col min="1" max="1" width="12.44140625" customWidth="1"/>
    <col min="2" max="2" width="9.77734375" customWidth="1"/>
    <col min="3" max="3" width="23.21875" customWidth="1"/>
    <col min="4" max="4" width="18.44140625" customWidth="1"/>
    <col min="7" max="7" width="16.5546875" bestFit="1" customWidth="1"/>
    <col min="8" max="8" width="12" bestFit="1" customWidth="1"/>
    <col min="10" max="10" width="16.5546875" bestFit="1" customWidth="1"/>
    <col min="11" max="11" width="12" bestFit="1" customWidth="1"/>
    <col min="13" max="13" width="16.5546875" bestFit="1" customWidth="1"/>
    <col min="14" max="14" width="12" bestFit="1" customWidth="1"/>
    <col min="16" max="16" width="16.5546875" bestFit="1" customWidth="1"/>
    <col min="17" max="17" width="12" customWidth="1"/>
  </cols>
  <sheetData>
    <row r="1" spans="1:17" x14ac:dyDescent="0.3">
      <c r="A1" s="28" t="s">
        <v>1297</v>
      </c>
      <c r="B1" s="28" t="s">
        <v>1300</v>
      </c>
      <c r="C1" s="28" t="s">
        <v>966</v>
      </c>
      <c r="D1" s="28" t="s">
        <v>1298</v>
      </c>
    </row>
    <row r="2" spans="1:17" x14ac:dyDescent="0.3">
      <c r="A2">
        <v>245000000</v>
      </c>
      <c r="B2">
        <v>20082</v>
      </c>
      <c r="C2">
        <v>108400000</v>
      </c>
      <c r="D2" s="1">
        <v>228000000000</v>
      </c>
    </row>
    <row r="3" spans="1:17" ht="15" thickBot="1" x14ac:dyDescent="0.35">
      <c r="A3">
        <v>170000000</v>
      </c>
      <c r="B3">
        <v>1</v>
      </c>
      <c r="C3">
        <v>0.57999999999999996</v>
      </c>
      <c r="D3">
        <v>0</v>
      </c>
    </row>
    <row r="4" spans="1:17" x14ac:dyDescent="0.3">
      <c r="A4">
        <v>166000000</v>
      </c>
      <c r="B4">
        <v>741</v>
      </c>
      <c r="C4">
        <v>64700000</v>
      </c>
      <c r="D4">
        <v>28368841870</v>
      </c>
      <c r="G4" s="21" t="s">
        <v>1297</v>
      </c>
      <c r="H4" s="21"/>
      <c r="J4" s="21" t="s">
        <v>1300</v>
      </c>
      <c r="K4" s="21"/>
      <c r="M4" s="21" t="s">
        <v>966</v>
      </c>
      <c r="N4" s="21"/>
      <c r="P4" s="21" t="s">
        <v>1298</v>
      </c>
      <c r="Q4" s="21"/>
    </row>
    <row r="5" spans="1:17" x14ac:dyDescent="0.3">
      <c r="A5">
        <v>162000000</v>
      </c>
      <c r="B5">
        <v>966</v>
      </c>
      <c r="C5">
        <v>94800000</v>
      </c>
      <c r="D5" s="1">
        <v>164000000000</v>
      </c>
    </row>
    <row r="6" spans="1:17" x14ac:dyDescent="0.3">
      <c r="A6">
        <v>159000000</v>
      </c>
      <c r="B6">
        <v>116536</v>
      </c>
      <c r="C6">
        <v>87500000</v>
      </c>
      <c r="D6" s="1">
        <v>148000000000</v>
      </c>
      <c r="G6" t="s">
        <v>1309</v>
      </c>
      <c r="H6">
        <v>23149111.807732496</v>
      </c>
      <c r="J6" t="s">
        <v>1309</v>
      </c>
      <c r="K6">
        <v>9354.7304075235115</v>
      </c>
      <c r="M6" t="s">
        <v>1309</v>
      </c>
      <c r="N6">
        <v>7078378.040679208</v>
      </c>
      <c r="P6" t="s">
        <v>1309</v>
      </c>
      <c r="Q6">
        <v>11121520146.566353</v>
      </c>
    </row>
    <row r="7" spans="1:17" x14ac:dyDescent="0.3">
      <c r="A7">
        <v>119000000</v>
      </c>
      <c r="B7">
        <v>0</v>
      </c>
      <c r="C7">
        <v>0</v>
      </c>
      <c r="D7">
        <v>0</v>
      </c>
      <c r="G7" t="s">
        <v>1310</v>
      </c>
      <c r="H7">
        <v>574971.12843579415</v>
      </c>
      <c r="J7" t="s">
        <v>1310</v>
      </c>
      <c r="K7">
        <v>1118.6561890086443</v>
      </c>
      <c r="M7" t="s">
        <v>1310</v>
      </c>
      <c r="N7">
        <v>423087.45833184372</v>
      </c>
      <c r="P7" t="s">
        <v>1310</v>
      </c>
      <c r="Q7">
        <v>462004004.82364851</v>
      </c>
    </row>
    <row r="8" spans="1:17" x14ac:dyDescent="0.3">
      <c r="A8">
        <v>112000000</v>
      </c>
      <c r="B8">
        <v>1111</v>
      </c>
      <c r="C8">
        <v>35100000</v>
      </c>
      <c r="D8">
        <v>93247040539</v>
      </c>
      <c r="G8" t="s">
        <v>1311</v>
      </c>
      <c r="H8">
        <v>17900000</v>
      </c>
      <c r="J8" t="s">
        <v>1311</v>
      </c>
      <c r="K8">
        <v>739</v>
      </c>
      <c r="M8" t="s">
        <v>1311</v>
      </c>
      <c r="N8">
        <v>2600000</v>
      </c>
      <c r="P8" t="s">
        <v>1311</v>
      </c>
      <c r="Q8">
        <v>7762905663</v>
      </c>
    </row>
    <row r="9" spans="1:17" x14ac:dyDescent="0.3">
      <c r="A9">
        <v>111000000</v>
      </c>
      <c r="B9">
        <v>4716</v>
      </c>
      <c r="C9">
        <v>1900000</v>
      </c>
      <c r="D9">
        <v>29058044447</v>
      </c>
      <c r="G9" t="s">
        <v>1312</v>
      </c>
      <c r="H9">
        <v>12500000</v>
      </c>
      <c r="J9" t="s">
        <v>1312</v>
      </c>
      <c r="K9">
        <v>0</v>
      </c>
      <c r="M9" t="s">
        <v>1312</v>
      </c>
      <c r="N9">
        <v>0</v>
      </c>
      <c r="P9" t="s">
        <v>1312</v>
      </c>
      <c r="Q9">
        <v>0</v>
      </c>
    </row>
    <row r="10" spans="1:17" x14ac:dyDescent="0.3">
      <c r="A10">
        <v>106000000</v>
      </c>
      <c r="B10">
        <v>493</v>
      </c>
      <c r="C10">
        <v>2300000</v>
      </c>
      <c r="D10">
        <v>90479060027</v>
      </c>
      <c r="G10" t="s">
        <v>1313</v>
      </c>
      <c r="H10">
        <v>17786971.38913022</v>
      </c>
      <c r="J10" t="s">
        <v>1313</v>
      </c>
      <c r="K10">
        <v>34606.0952352534</v>
      </c>
      <c r="M10" t="s">
        <v>1313</v>
      </c>
      <c r="N10">
        <v>13088386.780256705</v>
      </c>
      <c r="P10" t="s">
        <v>1313</v>
      </c>
      <c r="Q10">
        <v>14292286358.478373</v>
      </c>
    </row>
    <row r="11" spans="1:17" x14ac:dyDescent="0.3">
      <c r="A11">
        <v>98900000</v>
      </c>
      <c r="B11">
        <v>574</v>
      </c>
      <c r="C11">
        <v>27900000</v>
      </c>
      <c r="D11">
        <v>77180169894</v>
      </c>
      <c r="G11" t="s">
        <v>1314</v>
      </c>
      <c r="H11">
        <v>316376351197737</v>
      </c>
      <c r="J11" t="s">
        <v>1314</v>
      </c>
      <c r="K11">
        <v>1197581827.431428</v>
      </c>
      <c r="M11" t="s">
        <v>1314</v>
      </c>
      <c r="N11">
        <v>171305868509598</v>
      </c>
      <c r="P11" t="s">
        <v>1314</v>
      </c>
      <c r="Q11">
        <v>2.0426944935274699E+20</v>
      </c>
    </row>
    <row r="12" spans="1:17" x14ac:dyDescent="0.3">
      <c r="A12">
        <v>96700000</v>
      </c>
      <c r="B12">
        <v>8548</v>
      </c>
      <c r="C12">
        <v>38600000</v>
      </c>
      <c r="D12">
        <v>57856289381</v>
      </c>
      <c r="G12" t="s">
        <v>1315</v>
      </c>
      <c r="H12">
        <v>44.575055984918833</v>
      </c>
      <c r="J12" t="s">
        <v>1315</v>
      </c>
      <c r="K12">
        <v>34.892862358653851</v>
      </c>
      <c r="M12" t="s">
        <v>1315</v>
      </c>
      <c r="N12">
        <v>20.578893132314668</v>
      </c>
      <c r="P12" t="s">
        <v>1315</v>
      </c>
      <c r="Q12">
        <v>81.76425139429891</v>
      </c>
    </row>
    <row r="13" spans="1:17" x14ac:dyDescent="0.3">
      <c r="A13">
        <v>96000000</v>
      </c>
      <c r="B13">
        <v>70127</v>
      </c>
      <c r="C13">
        <v>34300000</v>
      </c>
      <c r="D13">
        <v>77428473662</v>
      </c>
      <c r="G13" t="s">
        <v>1316</v>
      </c>
      <c r="H13">
        <v>5.4564546486676102</v>
      </c>
      <c r="J13" t="s">
        <v>1316</v>
      </c>
      <c r="K13">
        <v>5.6172751667932106</v>
      </c>
      <c r="M13" t="s">
        <v>1316</v>
      </c>
      <c r="N13">
        <v>4.0614109859618219</v>
      </c>
      <c r="P13" t="s">
        <v>1316</v>
      </c>
      <c r="Q13">
        <v>7.1914994868862721</v>
      </c>
    </row>
    <row r="14" spans="1:17" x14ac:dyDescent="0.3">
      <c r="A14">
        <v>93600000</v>
      </c>
      <c r="B14">
        <v>0</v>
      </c>
      <c r="C14">
        <v>0</v>
      </c>
      <c r="D14">
        <v>0</v>
      </c>
      <c r="G14" t="s">
        <v>1317</v>
      </c>
      <c r="H14">
        <v>232700000</v>
      </c>
      <c r="J14" t="s">
        <v>1317</v>
      </c>
      <c r="K14">
        <v>301308</v>
      </c>
      <c r="M14" t="s">
        <v>1317</v>
      </c>
      <c r="N14">
        <v>110600000</v>
      </c>
      <c r="P14" t="s">
        <v>1317</v>
      </c>
      <c r="Q14">
        <v>228000000000</v>
      </c>
    </row>
    <row r="15" spans="1:17" x14ac:dyDescent="0.3">
      <c r="A15">
        <v>89800000</v>
      </c>
      <c r="B15">
        <v>543</v>
      </c>
      <c r="C15">
        <v>23900000</v>
      </c>
      <c r="D15">
        <v>32144597566</v>
      </c>
      <c r="G15" t="s">
        <v>1318</v>
      </c>
      <c r="H15">
        <v>12300000</v>
      </c>
      <c r="J15" t="s">
        <v>1318</v>
      </c>
      <c r="K15">
        <v>0</v>
      </c>
      <c r="M15" t="s">
        <v>1318</v>
      </c>
      <c r="N15">
        <v>0</v>
      </c>
      <c r="P15" t="s">
        <v>1318</v>
      </c>
      <c r="Q15">
        <v>0</v>
      </c>
    </row>
    <row r="16" spans="1:17" x14ac:dyDescent="0.3">
      <c r="A16">
        <v>86900000</v>
      </c>
      <c r="B16">
        <v>1</v>
      </c>
      <c r="C16">
        <v>0.86</v>
      </c>
      <c r="D16">
        <v>24118230580</v>
      </c>
      <c r="G16" t="s">
        <v>1319</v>
      </c>
      <c r="H16">
        <v>245000000</v>
      </c>
      <c r="J16" t="s">
        <v>1319</v>
      </c>
      <c r="K16">
        <v>301308</v>
      </c>
      <c r="M16" t="s">
        <v>1319</v>
      </c>
      <c r="N16">
        <v>110600000</v>
      </c>
      <c r="P16" t="s">
        <v>1319</v>
      </c>
      <c r="Q16">
        <v>228000000000</v>
      </c>
    </row>
    <row r="17" spans="1:17" x14ac:dyDescent="0.3">
      <c r="A17">
        <v>83000000</v>
      </c>
      <c r="B17">
        <v>71270</v>
      </c>
      <c r="C17">
        <v>79600000</v>
      </c>
      <c r="D17" s="1">
        <v>101000000000</v>
      </c>
      <c r="G17" t="s">
        <v>1320</v>
      </c>
      <c r="H17">
        <v>22153700000</v>
      </c>
      <c r="J17" t="s">
        <v>1320</v>
      </c>
      <c r="K17">
        <v>8952477</v>
      </c>
      <c r="M17" t="s">
        <v>1320</v>
      </c>
      <c r="N17">
        <v>6774007784.9300022</v>
      </c>
      <c r="P17" t="s">
        <v>1320</v>
      </c>
      <c r="Q17">
        <v>10643294780264</v>
      </c>
    </row>
    <row r="18" spans="1:17" x14ac:dyDescent="0.3">
      <c r="A18">
        <v>80100000</v>
      </c>
      <c r="B18">
        <v>1</v>
      </c>
      <c r="C18">
        <v>0.05</v>
      </c>
      <c r="D18">
        <v>26236790209</v>
      </c>
      <c r="G18" t="s">
        <v>1321</v>
      </c>
      <c r="H18">
        <v>957</v>
      </c>
      <c r="J18" t="s">
        <v>1321</v>
      </c>
      <c r="K18">
        <v>957</v>
      </c>
      <c r="M18" t="s">
        <v>1321</v>
      </c>
      <c r="N18">
        <v>957</v>
      </c>
      <c r="P18" t="s">
        <v>1321</v>
      </c>
      <c r="Q18">
        <v>957</v>
      </c>
    </row>
    <row r="19" spans="1:17" x14ac:dyDescent="0.3">
      <c r="A19">
        <v>75600000</v>
      </c>
      <c r="B19">
        <v>2281</v>
      </c>
      <c r="C19">
        <v>8100000</v>
      </c>
      <c r="D19">
        <v>20826993957</v>
      </c>
      <c r="G19" t="s">
        <v>1322</v>
      </c>
      <c r="H19">
        <v>245000000</v>
      </c>
      <c r="J19" t="s">
        <v>1322</v>
      </c>
      <c r="K19">
        <v>301308</v>
      </c>
      <c r="M19" t="s">
        <v>1322</v>
      </c>
      <c r="N19">
        <v>110600000</v>
      </c>
      <c r="P19" t="s">
        <v>1322</v>
      </c>
      <c r="Q19">
        <v>228000000000</v>
      </c>
    </row>
    <row r="20" spans="1:17" ht="15" thickBot="1" x14ac:dyDescent="0.35">
      <c r="A20">
        <v>75000000</v>
      </c>
      <c r="B20">
        <v>3</v>
      </c>
      <c r="C20">
        <v>0.77</v>
      </c>
      <c r="D20">
        <v>0</v>
      </c>
      <c r="G20" s="19" t="s">
        <v>1323</v>
      </c>
      <c r="H20" s="19">
        <v>12300000</v>
      </c>
      <c r="J20" s="19" t="s">
        <v>1323</v>
      </c>
      <c r="K20" s="19">
        <v>0</v>
      </c>
      <c r="M20" s="19" t="s">
        <v>1323</v>
      </c>
      <c r="N20" s="19">
        <v>0</v>
      </c>
      <c r="P20" s="19" t="s">
        <v>1323</v>
      </c>
      <c r="Q20" s="19">
        <v>0</v>
      </c>
    </row>
    <row r="21" spans="1:17" x14ac:dyDescent="0.3">
      <c r="A21">
        <v>71600000</v>
      </c>
      <c r="B21">
        <v>249</v>
      </c>
      <c r="C21">
        <v>8500000</v>
      </c>
      <c r="D21">
        <v>30608119724</v>
      </c>
    </row>
    <row r="22" spans="1:17" x14ac:dyDescent="0.3">
      <c r="A22">
        <v>71300000</v>
      </c>
      <c r="B22">
        <v>1337</v>
      </c>
      <c r="C22">
        <v>28700000</v>
      </c>
      <c r="D22">
        <v>28634566938</v>
      </c>
    </row>
    <row r="23" spans="1:17" x14ac:dyDescent="0.3">
      <c r="A23">
        <v>70500000</v>
      </c>
      <c r="B23">
        <v>129204</v>
      </c>
      <c r="C23">
        <v>81900000</v>
      </c>
      <c r="D23">
        <v>73139054467</v>
      </c>
    </row>
    <row r="24" spans="1:17" x14ac:dyDescent="0.3">
      <c r="A24">
        <v>68200000</v>
      </c>
      <c r="B24">
        <v>2865</v>
      </c>
      <c r="C24">
        <v>22700000</v>
      </c>
      <c r="D24">
        <v>38843229963</v>
      </c>
    </row>
    <row r="25" spans="1:17" x14ac:dyDescent="0.3">
      <c r="A25">
        <v>66500000</v>
      </c>
      <c r="B25">
        <v>2572</v>
      </c>
      <c r="C25">
        <v>0</v>
      </c>
      <c r="D25">
        <v>36775585925</v>
      </c>
    </row>
    <row r="26" spans="1:17" x14ac:dyDescent="0.3">
      <c r="A26">
        <v>65900000</v>
      </c>
      <c r="B26">
        <v>633</v>
      </c>
      <c r="C26">
        <v>20200000</v>
      </c>
      <c r="D26">
        <v>45757850229</v>
      </c>
    </row>
    <row r="27" spans="1:17" x14ac:dyDescent="0.3">
      <c r="A27">
        <v>65600000</v>
      </c>
      <c r="B27">
        <v>8502</v>
      </c>
      <c r="C27">
        <v>12200000</v>
      </c>
      <c r="D27">
        <v>28648024439</v>
      </c>
    </row>
    <row r="28" spans="1:17" x14ac:dyDescent="0.3">
      <c r="A28">
        <v>64600000</v>
      </c>
      <c r="B28">
        <v>112915</v>
      </c>
      <c r="C28">
        <v>57000000</v>
      </c>
      <c r="D28">
        <v>61510906457</v>
      </c>
    </row>
    <row r="29" spans="1:17" x14ac:dyDescent="0.3">
      <c r="A29">
        <v>61000000</v>
      </c>
      <c r="B29">
        <v>13</v>
      </c>
      <c r="C29">
        <v>0.48</v>
      </c>
      <c r="D29">
        <v>29533230328</v>
      </c>
    </row>
    <row r="30" spans="1:17" x14ac:dyDescent="0.3">
      <c r="A30">
        <v>59500000</v>
      </c>
      <c r="B30">
        <v>389</v>
      </c>
      <c r="C30">
        <v>6800000</v>
      </c>
      <c r="D30">
        <v>16241549158</v>
      </c>
    </row>
    <row r="31" spans="1:17" x14ac:dyDescent="0.3">
      <c r="A31">
        <v>59500000</v>
      </c>
      <c r="B31">
        <v>39113</v>
      </c>
      <c r="C31">
        <v>5500000</v>
      </c>
      <c r="D31">
        <v>59316472754</v>
      </c>
    </row>
    <row r="32" spans="1:17" x14ac:dyDescent="0.3">
      <c r="A32">
        <v>59300000</v>
      </c>
      <c r="B32">
        <v>4741</v>
      </c>
      <c r="C32">
        <v>20300000</v>
      </c>
      <c r="D32">
        <v>33431802698</v>
      </c>
    </row>
    <row r="33" spans="1:4" x14ac:dyDescent="0.3">
      <c r="A33">
        <v>58400000</v>
      </c>
      <c r="B33">
        <v>1510</v>
      </c>
      <c r="C33">
        <v>29400000</v>
      </c>
      <c r="D33">
        <v>57271630846</v>
      </c>
    </row>
    <row r="34" spans="1:4" x14ac:dyDescent="0.3">
      <c r="A34">
        <v>58000000</v>
      </c>
      <c r="B34">
        <v>19487</v>
      </c>
      <c r="C34">
        <v>11100000</v>
      </c>
      <c r="D34">
        <v>40602020243</v>
      </c>
    </row>
    <row r="35" spans="1:4" x14ac:dyDescent="0.3">
      <c r="A35">
        <v>57600000</v>
      </c>
      <c r="B35">
        <v>283775</v>
      </c>
      <c r="C35">
        <v>22100000</v>
      </c>
      <c r="D35">
        <v>25307753534</v>
      </c>
    </row>
    <row r="36" spans="1:4" x14ac:dyDescent="0.3">
      <c r="A36">
        <v>57200000</v>
      </c>
      <c r="B36">
        <v>3882</v>
      </c>
      <c r="C36">
        <v>12400000</v>
      </c>
      <c r="D36">
        <v>28837144516</v>
      </c>
    </row>
    <row r="37" spans="1:4" x14ac:dyDescent="0.3">
      <c r="A37">
        <v>56900000</v>
      </c>
      <c r="B37">
        <v>156</v>
      </c>
      <c r="C37">
        <v>12500000</v>
      </c>
      <c r="D37">
        <v>27073872856</v>
      </c>
    </row>
    <row r="38" spans="1:4" x14ac:dyDescent="0.3">
      <c r="A38">
        <v>56400000</v>
      </c>
      <c r="B38">
        <v>436</v>
      </c>
      <c r="C38">
        <v>5400000</v>
      </c>
      <c r="D38">
        <v>14696003229</v>
      </c>
    </row>
    <row r="39" spans="1:4" x14ac:dyDescent="0.3">
      <c r="A39">
        <v>54600000</v>
      </c>
      <c r="B39">
        <v>3707</v>
      </c>
      <c r="C39">
        <v>24600000</v>
      </c>
      <c r="D39">
        <v>35302243691</v>
      </c>
    </row>
    <row r="40" spans="1:4" x14ac:dyDescent="0.3">
      <c r="A40">
        <v>54000000</v>
      </c>
      <c r="B40">
        <v>11</v>
      </c>
      <c r="C40">
        <v>8</v>
      </c>
      <c r="D40">
        <v>32312431239</v>
      </c>
    </row>
    <row r="41" spans="1:4" x14ac:dyDescent="0.3">
      <c r="A41">
        <v>53500000</v>
      </c>
      <c r="B41">
        <v>383</v>
      </c>
      <c r="C41">
        <v>9700000</v>
      </c>
      <c r="D41">
        <v>30367676736</v>
      </c>
    </row>
    <row r="42" spans="1:4" x14ac:dyDescent="0.3">
      <c r="A42">
        <v>53300000</v>
      </c>
      <c r="B42">
        <v>577</v>
      </c>
      <c r="C42">
        <v>39200000</v>
      </c>
      <c r="D42">
        <v>30516172739</v>
      </c>
    </row>
    <row r="43" spans="1:4" x14ac:dyDescent="0.3">
      <c r="A43">
        <v>52900000</v>
      </c>
      <c r="B43">
        <v>216</v>
      </c>
      <c r="C43">
        <v>25400000</v>
      </c>
      <c r="D43">
        <v>29884657286</v>
      </c>
    </row>
    <row r="44" spans="1:4" x14ac:dyDescent="0.3">
      <c r="A44">
        <v>52700000</v>
      </c>
      <c r="B44">
        <v>147</v>
      </c>
      <c r="C44">
        <v>7700000</v>
      </c>
      <c r="D44">
        <v>24004842608</v>
      </c>
    </row>
    <row r="45" spans="1:4" x14ac:dyDescent="0.3">
      <c r="A45">
        <v>52200000</v>
      </c>
      <c r="B45">
        <v>847</v>
      </c>
      <c r="C45">
        <v>12800000</v>
      </c>
      <c r="D45">
        <v>9877365274</v>
      </c>
    </row>
    <row r="46" spans="1:4" x14ac:dyDescent="0.3">
      <c r="A46">
        <v>48100000</v>
      </c>
      <c r="B46">
        <v>2052</v>
      </c>
      <c r="C46">
        <v>3200000</v>
      </c>
      <c r="D46">
        <v>14631710289</v>
      </c>
    </row>
    <row r="47" spans="1:4" x14ac:dyDescent="0.3">
      <c r="A47">
        <v>47900000</v>
      </c>
      <c r="B47">
        <v>65</v>
      </c>
      <c r="C47">
        <v>7000000</v>
      </c>
      <c r="D47">
        <v>13626331061</v>
      </c>
    </row>
    <row r="48" spans="1:4" x14ac:dyDescent="0.3">
      <c r="A48">
        <v>47500000</v>
      </c>
      <c r="B48">
        <v>3322</v>
      </c>
      <c r="C48">
        <v>14700000</v>
      </c>
      <c r="D48">
        <v>30788679536</v>
      </c>
    </row>
    <row r="49" spans="1:4" x14ac:dyDescent="0.3">
      <c r="A49">
        <v>47400000</v>
      </c>
      <c r="B49">
        <v>11451</v>
      </c>
      <c r="C49">
        <v>11200000</v>
      </c>
      <c r="D49">
        <v>22519705183</v>
      </c>
    </row>
    <row r="50" spans="1:4" x14ac:dyDescent="0.3">
      <c r="A50">
        <v>46800000</v>
      </c>
      <c r="B50">
        <v>1</v>
      </c>
      <c r="C50">
        <v>21</v>
      </c>
      <c r="D50">
        <v>19398045702</v>
      </c>
    </row>
    <row r="51" spans="1:4" x14ac:dyDescent="0.3">
      <c r="A51">
        <v>46600000</v>
      </c>
      <c r="B51">
        <v>3444</v>
      </c>
      <c r="C51">
        <v>15100000</v>
      </c>
      <c r="D51">
        <v>27286058807</v>
      </c>
    </row>
    <row r="52" spans="1:4" x14ac:dyDescent="0.3">
      <c r="A52">
        <v>46300000</v>
      </c>
      <c r="B52">
        <v>1</v>
      </c>
      <c r="C52">
        <v>5</v>
      </c>
      <c r="D52">
        <v>22936630813</v>
      </c>
    </row>
    <row r="53" spans="1:4" x14ac:dyDescent="0.3">
      <c r="A53">
        <v>46100000</v>
      </c>
      <c r="B53">
        <v>1</v>
      </c>
      <c r="C53">
        <v>0.05</v>
      </c>
      <c r="D53">
        <v>30686342319</v>
      </c>
    </row>
    <row r="54" spans="1:4" x14ac:dyDescent="0.3">
      <c r="A54">
        <v>46100000</v>
      </c>
      <c r="B54">
        <v>543</v>
      </c>
      <c r="C54">
        <v>1600000</v>
      </c>
      <c r="D54">
        <v>10323391593</v>
      </c>
    </row>
    <row r="55" spans="1:4" x14ac:dyDescent="0.3">
      <c r="A55">
        <v>45500000</v>
      </c>
      <c r="B55">
        <v>4660</v>
      </c>
      <c r="C55">
        <v>11200000</v>
      </c>
      <c r="D55">
        <v>21388725229</v>
      </c>
    </row>
    <row r="56" spans="1:4" x14ac:dyDescent="0.3">
      <c r="A56">
        <v>45200000</v>
      </c>
      <c r="B56">
        <v>4331</v>
      </c>
      <c r="C56">
        <v>6300000</v>
      </c>
      <c r="D56">
        <v>16602198273</v>
      </c>
    </row>
    <row r="57" spans="1:4" x14ac:dyDescent="0.3">
      <c r="A57">
        <v>44700000</v>
      </c>
      <c r="B57">
        <v>1558</v>
      </c>
      <c r="C57">
        <v>2300000</v>
      </c>
      <c r="D57">
        <v>7828610828</v>
      </c>
    </row>
    <row r="58" spans="1:4" x14ac:dyDescent="0.3">
      <c r="A58">
        <v>44600000</v>
      </c>
      <c r="B58">
        <v>100755</v>
      </c>
      <c r="C58">
        <v>64200000</v>
      </c>
      <c r="D58">
        <v>41139050371</v>
      </c>
    </row>
    <row r="59" spans="1:4" x14ac:dyDescent="0.3">
      <c r="A59">
        <v>44500000</v>
      </c>
      <c r="B59">
        <v>0</v>
      </c>
      <c r="C59">
        <v>0</v>
      </c>
      <c r="D59">
        <v>10708531817</v>
      </c>
    </row>
    <row r="60" spans="1:4" x14ac:dyDescent="0.3">
      <c r="A60">
        <v>44200000</v>
      </c>
      <c r="B60">
        <v>128</v>
      </c>
      <c r="C60">
        <v>6400000</v>
      </c>
      <c r="D60">
        <v>25458952022</v>
      </c>
    </row>
    <row r="61" spans="1:4" x14ac:dyDescent="0.3">
      <c r="A61">
        <v>44200000</v>
      </c>
      <c r="B61">
        <v>558</v>
      </c>
      <c r="C61">
        <v>1300000</v>
      </c>
      <c r="D61">
        <v>4274709210</v>
      </c>
    </row>
    <row r="62" spans="1:4" x14ac:dyDescent="0.3">
      <c r="A62">
        <v>44200000</v>
      </c>
      <c r="B62">
        <v>193890</v>
      </c>
      <c r="C62">
        <v>8500000</v>
      </c>
      <c r="D62">
        <v>50292540392</v>
      </c>
    </row>
    <row r="63" spans="1:4" x14ac:dyDescent="0.3">
      <c r="A63">
        <v>43700000</v>
      </c>
      <c r="B63">
        <v>8</v>
      </c>
      <c r="C63">
        <v>1</v>
      </c>
      <c r="D63">
        <v>12884264778</v>
      </c>
    </row>
    <row r="64" spans="1:4" x14ac:dyDescent="0.3">
      <c r="A64">
        <v>43600000</v>
      </c>
      <c r="B64">
        <v>6</v>
      </c>
      <c r="C64">
        <v>0.19</v>
      </c>
      <c r="D64">
        <v>4831311245</v>
      </c>
    </row>
    <row r="65" spans="1:4" x14ac:dyDescent="0.3">
      <c r="A65">
        <v>43500000</v>
      </c>
      <c r="B65">
        <v>326</v>
      </c>
      <c r="C65">
        <v>17000000</v>
      </c>
      <c r="D65">
        <v>27568757295</v>
      </c>
    </row>
    <row r="66" spans="1:4" x14ac:dyDescent="0.3">
      <c r="A66">
        <v>43200000</v>
      </c>
      <c r="B66">
        <v>109871</v>
      </c>
      <c r="C66">
        <v>55200000</v>
      </c>
      <c r="D66">
        <v>37939780685</v>
      </c>
    </row>
    <row r="67" spans="1:4" x14ac:dyDescent="0.3">
      <c r="A67">
        <v>42500000</v>
      </c>
      <c r="B67">
        <v>10938</v>
      </c>
      <c r="C67">
        <v>7700000</v>
      </c>
      <c r="D67">
        <v>26820902622</v>
      </c>
    </row>
    <row r="68" spans="1:4" x14ac:dyDescent="0.3">
      <c r="A68">
        <v>42400000</v>
      </c>
      <c r="B68">
        <v>618</v>
      </c>
      <c r="C68">
        <v>2600000</v>
      </c>
      <c r="D68">
        <v>19547696190</v>
      </c>
    </row>
    <row r="69" spans="1:4" x14ac:dyDescent="0.3">
      <c r="A69">
        <v>42400000</v>
      </c>
      <c r="B69">
        <v>1218</v>
      </c>
      <c r="C69">
        <v>32200000</v>
      </c>
      <c r="D69">
        <v>24519022988</v>
      </c>
    </row>
    <row r="70" spans="1:4" x14ac:dyDescent="0.3">
      <c r="A70">
        <v>41900000</v>
      </c>
      <c r="B70">
        <v>84</v>
      </c>
      <c r="C70">
        <v>8800000</v>
      </c>
      <c r="D70">
        <v>22477745835</v>
      </c>
    </row>
    <row r="71" spans="1:4" x14ac:dyDescent="0.3">
      <c r="A71">
        <v>41400000</v>
      </c>
      <c r="B71">
        <v>4510</v>
      </c>
      <c r="C71">
        <v>8700000</v>
      </c>
      <c r="D71">
        <v>17608931161</v>
      </c>
    </row>
    <row r="72" spans="1:4" x14ac:dyDescent="0.3">
      <c r="A72">
        <v>41300000</v>
      </c>
      <c r="B72">
        <v>291</v>
      </c>
      <c r="C72">
        <v>6600000</v>
      </c>
      <c r="D72">
        <v>5603111948</v>
      </c>
    </row>
    <row r="73" spans="1:4" x14ac:dyDescent="0.3">
      <c r="A73">
        <v>40900000</v>
      </c>
      <c r="B73">
        <v>2423</v>
      </c>
      <c r="C73">
        <v>4700000</v>
      </c>
      <c r="D73">
        <v>39450824833</v>
      </c>
    </row>
    <row r="74" spans="1:4" x14ac:dyDescent="0.3">
      <c r="A74">
        <v>40600000</v>
      </c>
      <c r="B74">
        <v>0</v>
      </c>
      <c r="C74">
        <v>0</v>
      </c>
      <c r="D74">
        <v>8670473639</v>
      </c>
    </row>
    <row r="75" spans="1:4" x14ac:dyDescent="0.3">
      <c r="A75">
        <v>40400000</v>
      </c>
      <c r="B75">
        <v>703</v>
      </c>
      <c r="C75">
        <v>277100</v>
      </c>
      <c r="D75">
        <v>7410536668</v>
      </c>
    </row>
    <row r="76" spans="1:4" x14ac:dyDescent="0.3">
      <c r="A76">
        <v>40300000</v>
      </c>
      <c r="B76">
        <v>4</v>
      </c>
      <c r="C76">
        <v>0.24</v>
      </c>
      <c r="D76">
        <v>47005053156</v>
      </c>
    </row>
    <row r="77" spans="1:4" x14ac:dyDescent="0.3">
      <c r="A77">
        <v>39700000</v>
      </c>
      <c r="B77">
        <v>1596</v>
      </c>
      <c r="C77">
        <v>11900000</v>
      </c>
      <c r="D77">
        <v>23884824160</v>
      </c>
    </row>
    <row r="78" spans="1:4" x14ac:dyDescent="0.3">
      <c r="A78">
        <v>39400000</v>
      </c>
      <c r="B78">
        <v>1</v>
      </c>
      <c r="C78">
        <v>0.1</v>
      </c>
      <c r="D78">
        <v>22302547082</v>
      </c>
    </row>
    <row r="79" spans="1:4" x14ac:dyDescent="0.3">
      <c r="A79">
        <v>39200000</v>
      </c>
      <c r="B79">
        <v>186</v>
      </c>
      <c r="C79">
        <v>3800000</v>
      </c>
      <c r="D79">
        <v>3294013141</v>
      </c>
    </row>
    <row r="80" spans="1:4" x14ac:dyDescent="0.3">
      <c r="A80">
        <v>39200000</v>
      </c>
      <c r="B80">
        <v>133</v>
      </c>
      <c r="C80">
        <v>2800000</v>
      </c>
      <c r="D80">
        <v>10507474316</v>
      </c>
    </row>
    <row r="81" spans="1:4" x14ac:dyDescent="0.3">
      <c r="A81">
        <v>39200000</v>
      </c>
      <c r="B81">
        <v>744</v>
      </c>
      <c r="C81">
        <v>26900000</v>
      </c>
      <c r="D81">
        <v>44900897958</v>
      </c>
    </row>
    <row r="82" spans="1:4" x14ac:dyDescent="0.3">
      <c r="A82">
        <v>39100000</v>
      </c>
      <c r="B82">
        <v>1876</v>
      </c>
      <c r="C82">
        <v>12700000</v>
      </c>
      <c r="D82">
        <v>16118181673</v>
      </c>
    </row>
    <row r="83" spans="1:4" x14ac:dyDescent="0.3">
      <c r="A83">
        <v>39000000</v>
      </c>
      <c r="B83">
        <v>72580</v>
      </c>
      <c r="C83">
        <v>6300000</v>
      </c>
      <c r="D83">
        <v>36131228583</v>
      </c>
    </row>
    <row r="84" spans="1:4" x14ac:dyDescent="0.3">
      <c r="A84">
        <v>38900000</v>
      </c>
      <c r="B84">
        <v>3043</v>
      </c>
      <c r="C84">
        <v>78500000</v>
      </c>
      <c r="D84">
        <v>25154232306</v>
      </c>
    </row>
    <row r="85" spans="1:4" x14ac:dyDescent="0.3">
      <c r="A85">
        <v>38600000</v>
      </c>
      <c r="B85">
        <v>200933</v>
      </c>
      <c r="C85">
        <v>2200000</v>
      </c>
      <c r="D85">
        <v>7339333120</v>
      </c>
    </row>
    <row r="86" spans="1:4" x14ac:dyDescent="0.3">
      <c r="A86">
        <v>38300000</v>
      </c>
      <c r="B86">
        <v>3532</v>
      </c>
      <c r="C86">
        <v>39100000</v>
      </c>
      <c r="D86">
        <v>16718192386</v>
      </c>
    </row>
    <row r="87" spans="1:4" x14ac:dyDescent="0.3">
      <c r="A87">
        <v>38200000</v>
      </c>
      <c r="B87">
        <v>24089</v>
      </c>
      <c r="C87">
        <v>20000000</v>
      </c>
      <c r="D87">
        <v>28519339489</v>
      </c>
    </row>
    <row r="88" spans="1:4" x14ac:dyDescent="0.3">
      <c r="A88">
        <v>38200000</v>
      </c>
      <c r="B88">
        <v>11</v>
      </c>
      <c r="C88">
        <v>305</v>
      </c>
      <c r="D88">
        <v>13598903820</v>
      </c>
    </row>
    <row r="89" spans="1:4" x14ac:dyDescent="0.3">
      <c r="A89">
        <v>38200000</v>
      </c>
      <c r="B89">
        <v>15672</v>
      </c>
      <c r="C89">
        <v>1000000</v>
      </c>
      <c r="D89">
        <v>22756581750</v>
      </c>
    </row>
    <row r="90" spans="1:4" x14ac:dyDescent="0.3">
      <c r="A90">
        <v>38000000</v>
      </c>
      <c r="B90">
        <v>505</v>
      </c>
      <c r="C90">
        <v>9900000</v>
      </c>
      <c r="D90">
        <v>22731415608</v>
      </c>
    </row>
    <row r="91" spans="1:4" x14ac:dyDescent="0.3">
      <c r="A91">
        <v>37900000</v>
      </c>
      <c r="B91">
        <v>515</v>
      </c>
      <c r="C91">
        <v>11700000</v>
      </c>
      <c r="D91">
        <v>23510152352</v>
      </c>
    </row>
    <row r="92" spans="1:4" x14ac:dyDescent="0.3">
      <c r="A92">
        <v>37600000</v>
      </c>
      <c r="B92">
        <v>743</v>
      </c>
      <c r="C92">
        <v>15400000</v>
      </c>
      <c r="D92">
        <v>18208196857</v>
      </c>
    </row>
    <row r="93" spans="1:4" x14ac:dyDescent="0.3">
      <c r="A93">
        <v>37200000</v>
      </c>
      <c r="B93">
        <v>220</v>
      </c>
      <c r="C93">
        <v>2400000</v>
      </c>
      <c r="D93">
        <v>16402066717</v>
      </c>
    </row>
    <row r="94" spans="1:4" x14ac:dyDescent="0.3">
      <c r="A94">
        <v>37000000</v>
      </c>
      <c r="B94">
        <v>301308</v>
      </c>
      <c r="C94">
        <v>12800000</v>
      </c>
      <c r="D94">
        <v>13102611515</v>
      </c>
    </row>
    <row r="95" spans="1:4" x14ac:dyDescent="0.3">
      <c r="A95">
        <v>37000000</v>
      </c>
      <c r="B95">
        <v>744</v>
      </c>
      <c r="C95">
        <v>12100000</v>
      </c>
      <c r="D95">
        <v>24188861917</v>
      </c>
    </row>
    <row r="96" spans="1:4" x14ac:dyDescent="0.3">
      <c r="A96">
        <v>36700000</v>
      </c>
      <c r="B96">
        <v>99</v>
      </c>
      <c r="C96">
        <v>8400000</v>
      </c>
      <c r="D96">
        <v>19378155425</v>
      </c>
    </row>
    <row r="97" spans="1:4" x14ac:dyDescent="0.3">
      <c r="A97">
        <v>36600000</v>
      </c>
      <c r="B97">
        <v>9168</v>
      </c>
      <c r="C97">
        <v>0</v>
      </c>
      <c r="D97">
        <v>15653786446</v>
      </c>
    </row>
    <row r="98" spans="1:4" x14ac:dyDescent="0.3">
      <c r="A98">
        <v>36600000</v>
      </c>
      <c r="B98">
        <v>171</v>
      </c>
      <c r="C98">
        <v>7300000</v>
      </c>
      <c r="D98">
        <v>22553923546</v>
      </c>
    </row>
    <row r="99" spans="1:4" x14ac:dyDescent="0.3">
      <c r="A99">
        <v>36500000</v>
      </c>
      <c r="B99">
        <v>5621</v>
      </c>
      <c r="C99">
        <v>15300000</v>
      </c>
      <c r="D99">
        <v>18961241905</v>
      </c>
    </row>
    <row r="100" spans="1:4" x14ac:dyDescent="0.3">
      <c r="A100">
        <v>36300000</v>
      </c>
      <c r="B100">
        <v>0</v>
      </c>
      <c r="C100">
        <v>0</v>
      </c>
      <c r="D100">
        <v>0</v>
      </c>
    </row>
    <row r="101" spans="1:4" x14ac:dyDescent="0.3">
      <c r="A101">
        <v>36300000</v>
      </c>
      <c r="B101">
        <v>744</v>
      </c>
      <c r="C101">
        <v>1000000</v>
      </c>
      <c r="D101">
        <v>3010784935</v>
      </c>
    </row>
    <row r="102" spans="1:4" x14ac:dyDescent="0.3">
      <c r="A102">
        <v>36200000</v>
      </c>
      <c r="B102">
        <v>196</v>
      </c>
      <c r="C102">
        <v>8100000</v>
      </c>
      <c r="D102">
        <v>23355801606</v>
      </c>
    </row>
    <row r="103" spans="1:4" x14ac:dyDescent="0.3">
      <c r="A103">
        <v>36100000</v>
      </c>
      <c r="B103">
        <v>5</v>
      </c>
      <c r="C103">
        <v>2</v>
      </c>
      <c r="D103">
        <v>6331332547</v>
      </c>
    </row>
    <row r="104" spans="1:4" x14ac:dyDescent="0.3">
      <c r="A104">
        <v>35700000</v>
      </c>
      <c r="B104">
        <v>654</v>
      </c>
      <c r="C104">
        <v>14500000</v>
      </c>
      <c r="D104">
        <v>27118354077</v>
      </c>
    </row>
    <row r="105" spans="1:4" x14ac:dyDescent="0.3">
      <c r="A105">
        <v>35500000</v>
      </c>
      <c r="B105">
        <v>7566</v>
      </c>
      <c r="C105">
        <v>25600000</v>
      </c>
      <c r="D105">
        <v>15657673422</v>
      </c>
    </row>
    <row r="106" spans="1:4" x14ac:dyDescent="0.3">
      <c r="A106">
        <v>35500000</v>
      </c>
      <c r="B106">
        <v>273255</v>
      </c>
      <c r="C106">
        <v>14000000</v>
      </c>
      <c r="D106">
        <v>16105023749</v>
      </c>
    </row>
    <row r="107" spans="1:4" x14ac:dyDescent="0.3">
      <c r="A107">
        <v>35400000</v>
      </c>
      <c r="B107">
        <v>1</v>
      </c>
      <c r="C107">
        <v>3</v>
      </c>
      <c r="D107">
        <v>5556364230</v>
      </c>
    </row>
    <row r="108" spans="1:4" x14ac:dyDescent="0.3">
      <c r="A108">
        <v>35400000</v>
      </c>
      <c r="B108">
        <v>2010</v>
      </c>
      <c r="C108">
        <v>15900000</v>
      </c>
      <c r="D108">
        <v>22637783517</v>
      </c>
    </row>
    <row r="109" spans="1:4" x14ac:dyDescent="0.3">
      <c r="A109">
        <v>35200000</v>
      </c>
      <c r="B109">
        <v>2453</v>
      </c>
      <c r="C109">
        <v>11500000</v>
      </c>
      <c r="D109">
        <v>55299840198</v>
      </c>
    </row>
    <row r="110" spans="1:4" x14ac:dyDescent="0.3">
      <c r="A110">
        <v>35200000</v>
      </c>
      <c r="B110">
        <v>5490</v>
      </c>
      <c r="C110">
        <v>6100000</v>
      </c>
      <c r="D110">
        <v>20297931219</v>
      </c>
    </row>
    <row r="111" spans="1:4" x14ac:dyDescent="0.3">
      <c r="A111">
        <v>34900000</v>
      </c>
      <c r="B111">
        <v>617</v>
      </c>
      <c r="C111">
        <v>16100000</v>
      </c>
      <c r="D111">
        <v>25607397308</v>
      </c>
    </row>
    <row r="112" spans="1:4" x14ac:dyDescent="0.3">
      <c r="A112">
        <v>34600000</v>
      </c>
      <c r="B112">
        <v>0</v>
      </c>
      <c r="C112">
        <v>0</v>
      </c>
      <c r="D112">
        <v>21306315429</v>
      </c>
    </row>
    <row r="113" spans="1:4" x14ac:dyDescent="0.3">
      <c r="A113">
        <v>34400000</v>
      </c>
      <c r="B113">
        <v>1</v>
      </c>
      <c r="C113">
        <v>4</v>
      </c>
      <c r="D113">
        <v>9690499664</v>
      </c>
    </row>
    <row r="114" spans="1:4" x14ac:dyDescent="0.3">
      <c r="A114">
        <v>34300000</v>
      </c>
      <c r="B114">
        <v>679</v>
      </c>
      <c r="C114">
        <v>4900000</v>
      </c>
      <c r="D114">
        <v>12746535822</v>
      </c>
    </row>
    <row r="115" spans="1:4" x14ac:dyDescent="0.3">
      <c r="A115">
        <v>34100000</v>
      </c>
      <c r="B115">
        <v>141</v>
      </c>
      <c r="C115">
        <v>6200000</v>
      </c>
      <c r="D115">
        <v>23005313609</v>
      </c>
    </row>
    <row r="116" spans="1:4" x14ac:dyDescent="0.3">
      <c r="A116">
        <v>34000000</v>
      </c>
      <c r="B116">
        <v>240</v>
      </c>
      <c r="C116">
        <v>8600000</v>
      </c>
      <c r="D116">
        <v>11351015824</v>
      </c>
    </row>
    <row r="117" spans="1:4" x14ac:dyDescent="0.3">
      <c r="A117">
        <v>34000000</v>
      </c>
      <c r="B117">
        <v>2284</v>
      </c>
      <c r="C117">
        <v>26300000</v>
      </c>
      <c r="D117">
        <v>3963007415</v>
      </c>
    </row>
    <row r="118" spans="1:4" x14ac:dyDescent="0.3">
      <c r="A118">
        <v>33800000</v>
      </c>
      <c r="B118">
        <v>66</v>
      </c>
      <c r="C118">
        <v>19400000</v>
      </c>
      <c r="D118">
        <v>27274550757</v>
      </c>
    </row>
    <row r="119" spans="1:4" x14ac:dyDescent="0.3">
      <c r="A119">
        <v>33800000</v>
      </c>
      <c r="B119">
        <v>7606</v>
      </c>
      <c r="C119">
        <v>1900000</v>
      </c>
      <c r="D119">
        <v>15432929204</v>
      </c>
    </row>
    <row r="120" spans="1:4" x14ac:dyDescent="0.3">
      <c r="A120">
        <v>33700000</v>
      </c>
      <c r="B120">
        <v>2</v>
      </c>
      <c r="C120">
        <v>0</v>
      </c>
      <c r="D120">
        <v>10189027455</v>
      </c>
    </row>
    <row r="121" spans="1:4" x14ac:dyDescent="0.3">
      <c r="A121">
        <v>33700000</v>
      </c>
      <c r="B121">
        <v>3366</v>
      </c>
      <c r="C121">
        <v>10100000</v>
      </c>
      <c r="D121">
        <v>23492684419</v>
      </c>
    </row>
    <row r="122" spans="1:4" x14ac:dyDescent="0.3">
      <c r="A122">
        <v>33600000</v>
      </c>
      <c r="B122">
        <v>188</v>
      </c>
      <c r="C122">
        <v>5600000</v>
      </c>
      <c r="D122">
        <v>13013567335</v>
      </c>
    </row>
    <row r="123" spans="1:4" x14ac:dyDescent="0.3">
      <c r="A123">
        <v>33500000</v>
      </c>
      <c r="B123">
        <v>217</v>
      </c>
      <c r="C123">
        <v>1200000</v>
      </c>
      <c r="D123">
        <v>11405809704</v>
      </c>
    </row>
    <row r="124" spans="1:4" x14ac:dyDescent="0.3">
      <c r="A124">
        <v>33500000</v>
      </c>
      <c r="B124">
        <v>3741</v>
      </c>
      <c r="C124">
        <v>13100000</v>
      </c>
      <c r="D124">
        <v>14864294792</v>
      </c>
    </row>
    <row r="125" spans="1:4" x14ac:dyDescent="0.3">
      <c r="A125">
        <v>33500000</v>
      </c>
      <c r="B125">
        <v>96214</v>
      </c>
      <c r="C125">
        <v>0</v>
      </c>
      <c r="D125">
        <v>29611914495</v>
      </c>
    </row>
    <row r="126" spans="1:4" x14ac:dyDescent="0.3">
      <c r="A126">
        <v>33400000</v>
      </c>
      <c r="B126">
        <v>338</v>
      </c>
      <c r="C126">
        <v>6500000</v>
      </c>
      <c r="D126">
        <v>20269857567</v>
      </c>
    </row>
    <row r="127" spans="1:4" x14ac:dyDescent="0.3">
      <c r="A127">
        <v>33400000</v>
      </c>
      <c r="B127">
        <v>1331</v>
      </c>
      <c r="C127">
        <v>2700000</v>
      </c>
      <c r="D127">
        <v>10530729078</v>
      </c>
    </row>
    <row r="128" spans="1:4" x14ac:dyDescent="0.3">
      <c r="A128">
        <v>33300000</v>
      </c>
      <c r="B128">
        <v>2736</v>
      </c>
      <c r="C128">
        <v>7500000</v>
      </c>
      <c r="D128">
        <v>5994136760</v>
      </c>
    </row>
    <row r="129" spans="1:4" x14ac:dyDescent="0.3">
      <c r="A129">
        <v>32800000</v>
      </c>
      <c r="B129">
        <v>2122</v>
      </c>
      <c r="C129">
        <v>6100000</v>
      </c>
      <c r="D129">
        <v>26355088167</v>
      </c>
    </row>
    <row r="130" spans="1:4" x14ac:dyDescent="0.3">
      <c r="A130">
        <v>32700000</v>
      </c>
      <c r="B130">
        <v>1521</v>
      </c>
      <c r="C130">
        <v>972600</v>
      </c>
      <c r="D130">
        <v>17853798780</v>
      </c>
    </row>
    <row r="131" spans="1:4" x14ac:dyDescent="0.3">
      <c r="A131">
        <v>32700000</v>
      </c>
      <c r="B131">
        <v>2068</v>
      </c>
      <c r="C131">
        <v>15800000</v>
      </c>
      <c r="D131">
        <v>28516250629</v>
      </c>
    </row>
    <row r="132" spans="1:4" x14ac:dyDescent="0.3">
      <c r="A132">
        <v>32700000</v>
      </c>
      <c r="B132">
        <v>2738</v>
      </c>
      <c r="C132">
        <v>70200000</v>
      </c>
      <c r="D132">
        <v>19180039918</v>
      </c>
    </row>
    <row r="133" spans="1:4" x14ac:dyDescent="0.3">
      <c r="A133">
        <v>32600000</v>
      </c>
      <c r="B133">
        <v>169</v>
      </c>
      <c r="C133">
        <v>17900000</v>
      </c>
      <c r="D133">
        <v>23379969006</v>
      </c>
    </row>
    <row r="134" spans="1:4" x14ac:dyDescent="0.3">
      <c r="A134">
        <v>32200000</v>
      </c>
      <c r="B134">
        <v>2</v>
      </c>
      <c r="C134">
        <v>0.05</v>
      </c>
      <c r="D134">
        <v>16613441479</v>
      </c>
    </row>
    <row r="135" spans="1:4" x14ac:dyDescent="0.3">
      <c r="A135">
        <v>32100000</v>
      </c>
      <c r="B135">
        <v>11882</v>
      </c>
      <c r="C135">
        <v>2100000</v>
      </c>
      <c r="D135">
        <v>13061739758</v>
      </c>
    </row>
    <row r="136" spans="1:4" x14ac:dyDescent="0.3">
      <c r="A136">
        <v>32100000</v>
      </c>
      <c r="B136">
        <v>3091</v>
      </c>
      <c r="C136">
        <v>2700000</v>
      </c>
      <c r="D136">
        <v>10602236110</v>
      </c>
    </row>
    <row r="137" spans="1:4" x14ac:dyDescent="0.3">
      <c r="A137">
        <v>32100000</v>
      </c>
      <c r="B137">
        <v>134</v>
      </c>
      <c r="C137">
        <v>22400000</v>
      </c>
      <c r="D137">
        <v>18699145555</v>
      </c>
    </row>
    <row r="138" spans="1:4" x14ac:dyDescent="0.3">
      <c r="A138">
        <v>32000000</v>
      </c>
      <c r="B138">
        <v>44892</v>
      </c>
      <c r="C138">
        <v>80000000</v>
      </c>
      <c r="D138">
        <v>26800674545</v>
      </c>
    </row>
    <row r="139" spans="1:4" x14ac:dyDescent="0.3">
      <c r="A139">
        <v>31900000</v>
      </c>
      <c r="B139">
        <v>4158</v>
      </c>
      <c r="C139">
        <v>11200000</v>
      </c>
      <c r="D139">
        <v>27330239663</v>
      </c>
    </row>
    <row r="140" spans="1:4" x14ac:dyDescent="0.3">
      <c r="A140">
        <v>31900000</v>
      </c>
      <c r="B140">
        <v>93311</v>
      </c>
      <c r="C140">
        <v>38300000</v>
      </c>
      <c r="D140">
        <v>19428308461</v>
      </c>
    </row>
    <row r="141" spans="1:4" x14ac:dyDescent="0.3">
      <c r="A141">
        <v>31800000</v>
      </c>
      <c r="B141">
        <v>6734</v>
      </c>
      <c r="C141">
        <v>1500000</v>
      </c>
      <c r="D141">
        <v>6762424690</v>
      </c>
    </row>
    <row r="142" spans="1:4" x14ac:dyDescent="0.3">
      <c r="A142">
        <v>31700000</v>
      </c>
      <c r="B142">
        <v>929</v>
      </c>
      <c r="C142">
        <v>5200000</v>
      </c>
      <c r="D142">
        <v>5711208484</v>
      </c>
    </row>
    <row r="143" spans="1:4" x14ac:dyDescent="0.3">
      <c r="A143">
        <v>31700000</v>
      </c>
      <c r="B143">
        <v>6518</v>
      </c>
      <c r="C143">
        <v>5400000</v>
      </c>
      <c r="D143">
        <v>16476978876</v>
      </c>
    </row>
    <row r="144" spans="1:4" x14ac:dyDescent="0.3">
      <c r="A144">
        <v>31700000</v>
      </c>
      <c r="B144">
        <v>166</v>
      </c>
      <c r="C144">
        <v>7400000</v>
      </c>
      <c r="D144">
        <v>21031745531</v>
      </c>
    </row>
    <row r="145" spans="1:4" x14ac:dyDescent="0.3">
      <c r="A145">
        <v>31700000</v>
      </c>
      <c r="B145">
        <v>116</v>
      </c>
      <c r="C145">
        <v>1300000</v>
      </c>
      <c r="D145">
        <v>2930015381</v>
      </c>
    </row>
    <row r="146" spans="1:4" x14ac:dyDescent="0.3">
      <c r="A146">
        <v>31600000</v>
      </c>
      <c r="B146">
        <v>1321</v>
      </c>
      <c r="C146">
        <v>15000000</v>
      </c>
      <c r="D146">
        <v>11615848291</v>
      </c>
    </row>
    <row r="147" spans="1:4" x14ac:dyDescent="0.3">
      <c r="A147">
        <v>31600000</v>
      </c>
      <c r="B147">
        <v>204</v>
      </c>
      <c r="C147">
        <v>5000000</v>
      </c>
      <c r="D147">
        <v>26583873105</v>
      </c>
    </row>
    <row r="148" spans="1:4" x14ac:dyDescent="0.3">
      <c r="A148">
        <v>31400000</v>
      </c>
      <c r="B148">
        <v>0</v>
      </c>
      <c r="C148">
        <v>0</v>
      </c>
      <c r="D148">
        <v>15176762479</v>
      </c>
    </row>
    <row r="149" spans="1:4" x14ac:dyDescent="0.3">
      <c r="A149">
        <v>31400000</v>
      </c>
      <c r="B149">
        <v>3589</v>
      </c>
      <c r="C149">
        <v>11800000</v>
      </c>
      <c r="D149">
        <v>22919271731</v>
      </c>
    </row>
    <row r="150" spans="1:4" x14ac:dyDescent="0.3">
      <c r="A150">
        <v>31200000</v>
      </c>
      <c r="B150">
        <v>8976</v>
      </c>
      <c r="C150">
        <v>0</v>
      </c>
      <c r="D150">
        <v>17111726160</v>
      </c>
    </row>
    <row r="151" spans="1:4" x14ac:dyDescent="0.3">
      <c r="A151">
        <v>31200000</v>
      </c>
      <c r="B151">
        <v>3027</v>
      </c>
      <c r="C151">
        <v>9200000</v>
      </c>
      <c r="D151">
        <v>6187804950</v>
      </c>
    </row>
    <row r="152" spans="1:4" x14ac:dyDescent="0.3">
      <c r="A152">
        <v>31200000</v>
      </c>
      <c r="B152">
        <v>65</v>
      </c>
      <c r="C152">
        <v>172</v>
      </c>
      <c r="D152">
        <v>9673649438</v>
      </c>
    </row>
    <row r="153" spans="1:4" x14ac:dyDescent="0.3">
      <c r="A153">
        <v>30700000</v>
      </c>
      <c r="B153">
        <v>67</v>
      </c>
      <c r="C153">
        <v>1500000</v>
      </c>
      <c r="D153">
        <v>3145161634</v>
      </c>
    </row>
    <row r="154" spans="1:4" x14ac:dyDescent="0.3">
      <c r="A154">
        <v>30700000</v>
      </c>
      <c r="B154">
        <v>578</v>
      </c>
      <c r="C154">
        <v>4900000</v>
      </c>
      <c r="D154">
        <v>12355992466</v>
      </c>
    </row>
    <row r="155" spans="1:4" x14ac:dyDescent="0.3">
      <c r="A155">
        <v>30700000</v>
      </c>
      <c r="B155">
        <v>92</v>
      </c>
      <c r="C155">
        <v>9100000</v>
      </c>
      <c r="D155">
        <v>16793072362</v>
      </c>
    </row>
    <row r="156" spans="1:4" x14ac:dyDescent="0.3">
      <c r="A156">
        <v>30500000</v>
      </c>
      <c r="B156">
        <v>180092</v>
      </c>
      <c r="C156">
        <v>22200000</v>
      </c>
      <c r="D156">
        <v>16709857823</v>
      </c>
    </row>
    <row r="157" spans="1:4" x14ac:dyDescent="0.3">
      <c r="A157">
        <v>30500000</v>
      </c>
      <c r="B157">
        <v>641</v>
      </c>
      <c r="C157">
        <v>7600000</v>
      </c>
      <c r="D157">
        <v>4521573939</v>
      </c>
    </row>
    <row r="158" spans="1:4" x14ac:dyDescent="0.3">
      <c r="A158">
        <v>30400000</v>
      </c>
      <c r="B158">
        <v>2725</v>
      </c>
      <c r="C158">
        <v>2200000</v>
      </c>
      <c r="D158">
        <v>14037426379</v>
      </c>
    </row>
    <row r="159" spans="1:4" x14ac:dyDescent="0.3">
      <c r="A159">
        <v>30400000</v>
      </c>
      <c r="B159">
        <v>2197</v>
      </c>
      <c r="C159">
        <v>1000000</v>
      </c>
      <c r="D159">
        <v>4332274962</v>
      </c>
    </row>
    <row r="160" spans="1:4" x14ac:dyDescent="0.3">
      <c r="A160">
        <v>30300000</v>
      </c>
      <c r="B160">
        <v>223</v>
      </c>
      <c r="C160">
        <v>1100000</v>
      </c>
      <c r="D160">
        <v>13546549817</v>
      </c>
    </row>
    <row r="161" spans="1:4" x14ac:dyDescent="0.3">
      <c r="A161">
        <v>30200000</v>
      </c>
      <c r="B161">
        <v>2</v>
      </c>
      <c r="C161">
        <v>0</v>
      </c>
      <c r="D161">
        <v>15199330166</v>
      </c>
    </row>
    <row r="162" spans="1:4" x14ac:dyDescent="0.3">
      <c r="A162">
        <v>30200000</v>
      </c>
      <c r="B162">
        <v>15</v>
      </c>
      <c r="C162">
        <v>6600000</v>
      </c>
      <c r="D162">
        <v>14199108016</v>
      </c>
    </row>
    <row r="163" spans="1:4" x14ac:dyDescent="0.3">
      <c r="A163">
        <v>30100000</v>
      </c>
      <c r="B163">
        <v>5114</v>
      </c>
      <c r="C163">
        <v>1900000</v>
      </c>
      <c r="D163">
        <v>16246625836</v>
      </c>
    </row>
    <row r="164" spans="1:4" x14ac:dyDescent="0.3">
      <c r="A164">
        <v>30100000</v>
      </c>
      <c r="B164">
        <v>0</v>
      </c>
      <c r="C164">
        <v>0</v>
      </c>
      <c r="D164">
        <v>7277493940</v>
      </c>
    </row>
    <row r="165" spans="1:4" x14ac:dyDescent="0.3">
      <c r="A165">
        <v>30100000</v>
      </c>
      <c r="B165">
        <v>1349</v>
      </c>
      <c r="C165">
        <v>5200000</v>
      </c>
      <c r="D165">
        <v>22593193994</v>
      </c>
    </row>
    <row r="166" spans="1:4" x14ac:dyDescent="0.3">
      <c r="A166">
        <v>30100000</v>
      </c>
      <c r="B166">
        <v>11501</v>
      </c>
      <c r="C166">
        <v>4800000</v>
      </c>
      <c r="D166">
        <v>19607009165</v>
      </c>
    </row>
    <row r="167" spans="1:4" x14ac:dyDescent="0.3">
      <c r="A167">
        <v>30000000</v>
      </c>
      <c r="B167">
        <v>133</v>
      </c>
      <c r="C167">
        <v>4300000</v>
      </c>
      <c r="D167">
        <v>12831200855</v>
      </c>
    </row>
    <row r="168" spans="1:4" x14ac:dyDescent="0.3">
      <c r="A168">
        <v>29800000</v>
      </c>
      <c r="B168">
        <v>151</v>
      </c>
      <c r="C168">
        <v>1300000</v>
      </c>
      <c r="D168">
        <v>4457913639</v>
      </c>
    </row>
    <row r="169" spans="1:4" x14ac:dyDescent="0.3">
      <c r="A169">
        <v>29600000</v>
      </c>
      <c r="B169">
        <v>4903</v>
      </c>
      <c r="C169">
        <v>3900000</v>
      </c>
      <c r="D169">
        <v>17208027242</v>
      </c>
    </row>
    <row r="170" spans="1:4" x14ac:dyDescent="0.3">
      <c r="A170">
        <v>29300000</v>
      </c>
      <c r="B170">
        <v>3</v>
      </c>
      <c r="C170">
        <v>0.05</v>
      </c>
      <c r="D170">
        <v>0</v>
      </c>
    </row>
    <row r="171" spans="1:4" x14ac:dyDescent="0.3">
      <c r="A171">
        <v>29300000</v>
      </c>
      <c r="B171">
        <v>14</v>
      </c>
      <c r="C171">
        <v>0.72</v>
      </c>
      <c r="D171">
        <v>21226945136</v>
      </c>
    </row>
    <row r="172" spans="1:4" x14ac:dyDescent="0.3">
      <c r="A172">
        <v>29200000</v>
      </c>
      <c r="B172">
        <v>1513</v>
      </c>
      <c r="C172">
        <v>0</v>
      </c>
      <c r="D172">
        <v>14727238483</v>
      </c>
    </row>
    <row r="173" spans="1:4" x14ac:dyDescent="0.3">
      <c r="A173">
        <v>29200000</v>
      </c>
      <c r="B173">
        <v>3654</v>
      </c>
      <c r="C173">
        <v>14500000</v>
      </c>
      <c r="D173">
        <v>11627437847</v>
      </c>
    </row>
    <row r="174" spans="1:4" x14ac:dyDescent="0.3">
      <c r="A174">
        <v>29200000</v>
      </c>
      <c r="B174">
        <v>404</v>
      </c>
      <c r="C174">
        <v>582900</v>
      </c>
      <c r="D174">
        <v>4079141673</v>
      </c>
    </row>
    <row r="175" spans="1:4" x14ac:dyDescent="0.3">
      <c r="A175">
        <v>29000000</v>
      </c>
      <c r="B175">
        <v>42</v>
      </c>
      <c r="C175">
        <v>2900</v>
      </c>
      <c r="D175">
        <v>19466238065</v>
      </c>
    </row>
    <row r="176" spans="1:4" x14ac:dyDescent="0.3">
      <c r="A176">
        <v>28900000</v>
      </c>
      <c r="B176">
        <v>555</v>
      </c>
      <c r="C176">
        <v>5300000</v>
      </c>
      <c r="D176">
        <v>17930570614</v>
      </c>
    </row>
    <row r="177" spans="1:4" x14ac:dyDescent="0.3">
      <c r="A177">
        <v>28500000</v>
      </c>
      <c r="B177">
        <v>0</v>
      </c>
      <c r="C177">
        <v>0</v>
      </c>
      <c r="D177">
        <v>25857994495</v>
      </c>
    </row>
    <row r="178" spans="1:4" x14ac:dyDescent="0.3">
      <c r="A178">
        <v>28400000</v>
      </c>
      <c r="B178">
        <v>5436</v>
      </c>
      <c r="C178">
        <v>10900000</v>
      </c>
      <c r="D178">
        <v>10062770060</v>
      </c>
    </row>
    <row r="179" spans="1:4" x14ac:dyDescent="0.3">
      <c r="A179">
        <v>28400000</v>
      </c>
      <c r="B179">
        <v>5809</v>
      </c>
      <c r="C179">
        <v>1300000</v>
      </c>
      <c r="D179">
        <v>9956764048</v>
      </c>
    </row>
    <row r="180" spans="1:4" x14ac:dyDescent="0.3">
      <c r="A180">
        <v>28300000</v>
      </c>
      <c r="B180">
        <v>6</v>
      </c>
      <c r="C180">
        <v>0.1</v>
      </c>
      <c r="D180">
        <v>13577142726</v>
      </c>
    </row>
    <row r="181" spans="1:4" x14ac:dyDescent="0.3">
      <c r="A181">
        <v>28300000</v>
      </c>
      <c r="B181">
        <v>505</v>
      </c>
      <c r="C181">
        <v>13800000</v>
      </c>
      <c r="D181">
        <v>14814192034</v>
      </c>
    </row>
    <row r="182" spans="1:4" x14ac:dyDescent="0.3">
      <c r="A182">
        <v>28300000</v>
      </c>
      <c r="B182">
        <v>106983</v>
      </c>
      <c r="C182">
        <v>32900000</v>
      </c>
      <c r="D182">
        <v>23844936965</v>
      </c>
    </row>
    <row r="183" spans="1:4" x14ac:dyDescent="0.3">
      <c r="A183">
        <v>28200000</v>
      </c>
      <c r="B183">
        <v>3009</v>
      </c>
      <c r="C183">
        <v>8900000</v>
      </c>
      <c r="D183">
        <v>7600740993</v>
      </c>
    </row>
    <row r="184" spans="1:4" x14ac:dyDescent="0.3">
      <c r="A184">
        <v>28200000</v>
      </c>
      <c r="B184">
        <v>15</v>
      </c>
      <c r="C184">
        <v>7600000</v>
      </c>
      <c r="D184">
        <v>14412474625</v>
      </c>
    </row>
    <row r="185" spans="1:4" x14ac:dyDescent="0.3">
      <c r="A185">
        <v>28100000</v>
      </c>
      <c r="B185">
        <v>3</v>
      </c>
      <c r="C185">
        <v>1</v>
      </c>
      <c r="D185">
        <v>15318895118</v>
      </c>
    </row>
    <row r="186" spans="1:4" x14ac:dyDescent="0.3">
      <c r="A186">
        <v>28000000</v>
      </c>
      <c r="B186">
        <v>3878</v>
      </c>
      <c r="C186">
        <v>6200000</v>
      </c>
      <c r="D186">
        <v>8603468420</v>
      </c>
    </row>
    <row r="187" spans="1:4" x14ac:dyDescent="0.3">
      <c r="A187">
        <v>27800000</v>
      </c>
      <c r="B187">
        <v>292</v>
      </c>
      <c r="C187">
        <v>6100000</v>
      </c>
      <c r="D187">
        <v>21037851468</v>
      </c>
    </row>
    <row r="188" spans="1:4" x14ac:dyDescent="0.3">
      <c r="A188">
        <v>27800000</v>
      </c>
      <c r="B188">
        <v>0</v>
      </c>
      <c r="C188">
        <v>0</v>
      </c>
      <c r="D188">
        <v>2303069221</v>
      </c>
    </row>
    <row r="189" spans="1:4" x14ac:dyDescent="0.3">
      <c r="A189">
        <v>27700000</v>
      </c>
      <c r="B189">
        <v>619</v>
      </c>
      <c r="C189">
        <v>8300000</v>
      </c>
      <c r="D189">
        <v>15777682516</v>
      </c>
    </row>
    <row r="190" spans="1:4" x14ac:dyDescent="0.3">
      <c r="A190">
        <v>27500000</v>
      </c>
      <c r="B190">
        <v>27</v>
      </c>
      <c r="C190">
        <v>0</v>
      </c>
      <c r="D190">
        <v>4552581106</v>
      </c>
    </row>
    <row r="191" spans="1:4" x14ac:dyDescent="0.3">
      <c r="A191">
        <v>27500000</v>
      </c>
      <c r="B191">
        <v>682</v>
      </c>
      <c r="C191">
        <v>4300000</v>
      </c>
      <c r="D191">
        <v>13379395501</v>
      </c>
    </row>
    <row r="192" spans="1:4" x14ac:dyDescent="0.3">
      <c r="A192">
        <v>27400000</v>
      </c>
      <c r="B192">
        <v>3664</v>
      </c>
      <c r="C192">
        <v>3800000</v>
      </c>
      <c r="D192">
        <v>19417887510</v>
      </c>
    </row>
    <row r="193" spans="1:4" x14ac:dyDescent="0.3">
      <c r="A193">
        <v>27400000</v>
      </c>
      <c r="B193">
        <v>1753</v>
      </c>
      <c r="C193">
        <v>14800000</v>
      </c>
      <c r="D193">
        <v>19883150017</v>
      </c>
    </row>
    <row r="194" spans="1:4" x14ac:dyDescent="0.3">
      <c r="A194">
        <v>27300000</v>
      </c>
      <c r="B194">
        <v>1259</v>
      </c>
      <c r="C194">
        <v>4900000</v>
      </c>
      <c r="D194">
        <v>7705492350</v>
      </c>
    </row>
    <row r="195" spans="1:4" x14ac:dyDescent="0.3">
      <c r="A195">
        <v>27300000</v>
      </c>
      <c r="B195">
        <v>5438</v>
      </c>
      <c r="C195">
        <v>2000000</v>
      </c>
      <c r="D195">
        <v>22440611155</v>
      </c>
    </row>
    <row r="196" spans="1:4" x14ac:dyDescent="0.3">
      <c r="A196">
        <v>27100000</v>
      </c>
      <c r="B196">
        <v>545</v>
      </c>
      <c r="C196">
        <v>24100000</v>
      </c>
      <c r="D196">
        <v>12732444881</v>
      </c>
    </row>
    <row r="197" spans="1:4" x14ac:dyDescent="0.3">
      <c r="A197">
        <v>27100000</v>
      </c>
      <c r="B197">
        <v>2</v>
      </c>
      <c r="C197">
        <v>0.67</v>
      </c>
      <c r="D197">
        <v>15916882228</v>
      </c>
    </row>
    <row r="198" spans="1:4" x14ac:dyDescent="0.3">
      <c r="A198">
        <v>27100000</v>
      </c>
      <c r="B198">
        <v>889</v>
      </c>
      <c r="C198">
        <v>20600000</v>
      </c>
      <c r="D198">
        <v>17318452893</v>
      </c>
    </row>
    <row r="199" spans="1:4" x14ac:dyDescent="0.3">
      <c r="A199">
        <v>27000000</v>
      </c>
      <c r="B199">
        <v>554</v>
      </c>
      <c r="C199">
        <v>6900000</v>
      </c>
      <c r="D199">
        <v>6570935979</v>
      </c>
    </row>
    <row r="200" spans="1:4" x14ac:dyDescent="0.3">
      <c r="A200">
        <v>26900000</v>
      </c>
      <c r="B200">
        <v>3956</v>
      </c>
      <c r="C200">
        <v>4000000</v>
      </c>
      <c r="D200">
        <v>7938616641</v>
      </c>
    </row>
    <row r="201" spans="1:4" x14ac:dyDescent="0.3">
      <c r="A201">
        <v>26700000</v>
      </c>
      <c r="B201">
        <v>241</v>
      </c>
      <c r="C201">
        <v>13300000</v>
      </c>
      <c r="D201">
        <v>4388047013</v>
      </c>
    </row>
    <row r="202" spans="1:4" x14ac:dyDescent="0.3">
      <c r="A202">
        <v>26700000</v>
      </c>
      <c r="B202">
        <v>6471</v>
      </c>
      <c r="C202">
        <v>5700000</v>
      </c>
      <c r="D202">
        <v>7173668905</v>
      </c>
    </row>
    <row r="203" spans="1:4" x14ac:dyDescent="0.3">
      <c r="A203">
        <v>26700000</v>
      </c>
      <c r="B203">
        <v>975</v>
      </c>
      <c r="C203">
        <v>1200000</v>
      </c>
      <c r="D203">
        <v>10317306313</v>
      </c>
    </row>
    <row r="204" spans="1:4" x14ac:dyDescent="0.3">
      <c r="A204">
        <v>26500000</v>
      </c>
      <c r="B204">
        <v>6873</v>
      </c>
      <c r="C204">
        <v>4300000</v>
      </c>
      <c r="D204">
        <v>20358117330</v>
      </c>
    </row>
    <row r="205" spans="1:4" x14ac:dyDescent="0.3">
      <c r="A205">
        <v>26500000</v>
      </c>
      <c r="B205">
        <v>10022</v>
      </c>
      <c r="C205">
        <v>7800000</v>
      </c>
      <c r="D205">
        <v>15065753455</v>
      </c>
    </row>
    <row r="206" spans="1:4" x14ac:dyDescent="0.3">
      <c r="A206">
        <v>26400000</v>
      </c>
      <c r="B206">
        <v>3622</v>
      </c>
      <c r="C206">
        <v>4800000</v>
      </c>
      <c r="D206">
        <v>8595760553</v>
      </c>
    </row>
    <row r="207" spans="1:4" x14ac:dyDescent="0.3">
      <c r="A207">
        <v>26400000</v>
      </c>
      <c r="B207">
        <v>865</v>
      </c>
      <c r="C207">
        <v>50200000</v>
      </c>
      <c r="D207">
        <v>27006526665</v>
      </c>
    </row>
    <row r="208" spans="1:4" x14ac:dyDescent="0.3">
      <c r="A208">
        <v>26400000</v>
      </c>
      <c r="B208">
        <v>967</v>
      </c>
      <c r="C208">
        <v>58800000</v>
      </c>
      <c r="D208">
        <v>17211600007</v>
      </c>
    </row>
    <row r="209" spans="1:4" x14ac:dyDescent="0.3">
      <c r="A209">
        <v>26300000</v>
      </c>
      <c r="B209">
        <v>190</v>
      </c>
      <c r="C209">
        <v>828600</v>
      </c>
      <c r="D209">
        <v>4749833967</v>
      </c>
    </row>
    <row r="210" spans="1:4" x14ac:dyDescent="0.3">
      <c r="A210">
        <v>26200000</v>
      </c>
      <c r="B210">
        <v>775</v>
      </c>
      <c r="C210">
        <v>23400000</v>
      </c>
      <c r="D210">
        <v>31977463002</v>
      </c>
    </row>
    <row r="211" spans="1:4" x14ac:dyDescent="0.3">
      <c r="A211">
        <v>26200000</v>
      </c>
      <c r="B211">
        <v>5985</v>
      </c>
      <c r="C211">
        <v>34600000</v>
      </c>
      <c r="D211">
        <v>16097531087</v>
      </c>
    </row>
    <row r="212" spans="1:4" x14ac:dyDescent="0.3">
      <c r="A212">
        <v>26100000</v>
      </c>
      <c r="B212">
        <v>1619</v>
      </c>
      <c r="C212">
        <v>3300000</v>
      </c>
      <c r="D212">
        <v>10435474336</v>
      </c>
    </row>
    <row r="213" spans="1:4" x14ac:dyDescent="0.3">
      <c r="A213">
        <v>26100000</v>
      </c>
      <c r="B213">
        <v>0</v>
      </c>
      <c r="C213">
        <v>0</v>
      </c>
      <c r="D213">
        <v>7886440199</v>
      </c>
    </row>
    <row r="214" spans="1:4" x14ac:dyDescent="0.3">
      <c r="A214">
        <v>26000000</v>
      </c>
      <c r="B214">
        <v>868</v>
      </c>
      <c r="C214">
        <v>29100000</v>
      </c>
      <c r="D214">
        <v>14101010609</v>
      </c>
    </row>
    <row r="215" spans="1:4" x14ac:dyDescent="0.3">
      <c r="A215">
        <v>26000000</v>
      </c>
      <c r="B215">
        <v>1</v>
      </c>
      <c r="C215">
        <v>0.14000000000000001</v>
      </c>
      <c r="D215">
        <v>18597534412</v>
      </c>
    </row>
    <row r="216" spans="1:4" x14ac:dyDescent="0.3">
      <c r="A216">
        <v>26000000</v>
      </c>
      <c r="B216">
        <v>240</v>
      </c>
      <c r="C216">
        <v>2700000</v>
      </c>
      <c r="D216">
        <v>17308961985</v>
      </c>
    </row>
    <row r="217" spans="1:4" x14ac:dyDescent="0.3">
      <c r="A217">
        <v>25900000</v>
      </c>
      <c r="B217">
        <v>65286</v>
      </c>
      <c r="C217">
        <v>11000000</v>
      </c>
      <c r="D217">
        <v>11372071889</v>
      </c>
    </row>
    <row r="218" spans="1:4" x14ac:dyDescent="0.3">
      <c r="A218">
        <v>25800000</v>
      </c>
      <c r="B218">
        <v>1762</v>
      </c>
      <c r="C218">
        <v>2600000</v>
      </c>
      <c r="D218">
        <v>15541421838</v>
      </c>
    </row>
    <row r="219" spans="1:4" x14ac:dyDescent="0.3">
      <c r="A219">
        <v>25700000</v>
      </c>
      <c r="B219">
        <v>42</v>
      </c>
      <c r="C219">
        <v>5000000</v>
      </c>
      <c r="D219">
        <v>10242981063</v>
      </c>
    </row>
    <row r="220" spans="1:4" x14ac:dyDescent="0.3">
      <c r="A220">
        <v>25700000</v>
      </c>
      <c r="B220">
        <v>749</v>
      </c>
      <c r="C220">
        <v>7900000</v>
      </c>
      <c r="D220">
        <v>17793809548</v>
      </c>
    </row>
    <row r="221" spans="1:4" x14ac:dyDescent="0.3">
      <c r="A221">
        <v>25700000</v>
      </c>
      <c r="B221">
        <v>982</v>
      </c>
      <c r="C221">
        <v>1500000</v>
      </c>
      <c r="D221">
        <v>7466926260</v>
      </c>
    </row>
    <row r="222" spans="1:4" x14ac:dyDescent="0.3">
      <c r="A222">
        <v>25600000</v>
      </c>
      <c r="B222">
        <v>0</v>
      </c>
      <c r="C222">
        <v>0</v>
      </c>
      <c r="D222">
        <v>7962725960</v>
      </c>
    </row>
    <row r="223" spans="1:4" x14ac:dyDescent="0.3">
      <c r="A223">
        <v>25600000</v>
      </c>
      <c r="B223">
        <v>287</v>
      </c>
      <c r="C223">
        <v>15300000</v>
      </c>
      <c r="D223">
        <v>25592378292</v>
      </c>
    </row>
    <row r="224" spans="1:4" x14ac:dyDescent="0.3">
      <c r="A224">
        <v>25500000</v>
      </c>
      <c r="B224">
        <v>5</v>
      </c>
      <c r="C224">
        <v>0.96</v>
      </c>
      <c r="D224">
        <v>2726917087</v>
      </c>
    </row>
    <row r="225" spans="1:4" x14ac:dyDescent="0.3">
      <c r="A225">
        <v>25500000</v>
      </c>
      <c r="B225">
        <v>78</v>
      </c>
      <c r="C225">
        <v>9400000</v>
      </c>
      <c r="D225">
        <v>14401218086</v>
      </c>
    </row>
    <row r="226" spans="1:4" x14ac:dyDescent="0.3">
      <c r="A226">
        <v>25400000</v>
      </c>
      <c r="B226">
        <v>8775</v>
      </c>
      <c r="C226">
        <v>39100000</v>
      </c>
      <c r="D226">
        <v>34300482066</v>
      </c>
    </row>
    <row r="227" spans="1:4" x14ac:dyDescent="0.3">
      <c r="A227">
        <v>25400000</v>
      </c>
      <c r="B227">
        <v>3716</v>
      </c>
      <c r="C227">
        <v>2800000</v>
      </c>
      <c r="D227">
        <v>6430853035</v>
      </c>
    </row>
    <row r="228" spans="1:4" x14ac:dyDescent="0.3">
      <c r="A228">
        <v>25300000</v>
      </c>
      <c r="B228">
        <v>398</v>
      </c>
      <c r="C228">
        <v>9500000</v>
      </c>
      <c r="D228">
        <v>17331663193</v>
      </c>
    </row>
    <row r="229" spans="1:4" x14ac:dyDescent="0.3">
      <c r="A229">
        <v>25200000</v>
      </c>
      <c r="B229">
        <v>4</v>
      </c>
      <c r="C229">
        <v>0.53</v>
      </c>
      <c r="D229">
        <v>9602246828</v>
      </c>
    </row>
    <row r="230" spans="1:4" x14ac:dyDescent="0.3">
      <c r="A230">
        <v>25200000</v>
      </c>
      <c r="B230">
        <v>12</v>
      </c>
      <c r="C230">
        <v>0.1</v>
      </c>
      <c r="D230">
        <v>7968363381</v>
      </c>
    </row>
    <row r="231" spans="1:4" x14ac:dyDescent="0.3">
      <c r="A231">
        <v>25200000</v>
      </c>
      <c r="B231">
        <v>51129</v>
      </c>
      <c r="C231">
        <v>13100000</v>
      </c>
      <c r="D231">
        <v>10409352249</v>
      </c>
    </row>
    <row r="232" spans="1:4" x14ac:dyDescent="0.3">
      <c r="A232">
        <v>25200000</v>
      </c>
      <c r="B232">
        <v>2025</v>
      </c>
      <c r="C232">
        <v>6700000</v>
      </c>
      <c r="D232">
        <v>11081602368</v>
      </c>
    </row>
    <row r="233" spans="1:4" x14ac:dyDescent="0.3">
      <c r="A233">
        <v>25100000</v>
      </c>
      <c r="B233">
        <v>118</v>
      </c>
      <c r="C233">
        <v>4500000</v>
      </c>
      <c r="D233">
        <v>19458807708</v>
      </c>
    </row>
    <row r="234" spans="1:4" x14ac:dyDescent="0.3">
      <c r="A234">
        <v>25100000</v>
      </c>
      <c r="B234">
        <v>24837</v>
      </c>
      <c r="C234">
        <v>2400000</v>
      </c>
      <c r="D234">
        <v>16357064198</v>
      </c>
    </row>
    <row r="235" spans="1:4" x14ac:dyDescent="0.3">
      <c r="A235">
        <v>25000000</v>
      </c>
      <c r="B235">
        <v>89179</v>
      </c>
      <c r="C235">
        <v>5900000</v>
      </c>
      <c r="D235">
        <v>14169516119</v>
      </c>
    </row>
    <row r="236" spans="1:4" x14ac:dyDescent="0.3">
      <c r="A236">
        <v>25000000</v>
      </c>
      <c r="B236">
        <v>147</v>
      </c>
      <c r="C236">
        <v>13600000</v>
      </c>
      <c r="D236">
        <v>14827085149</v>
      </c>
    </row>
    <row r="237" spans="1:4" x14ac:dyDescent="0.3">
      <c r="A237">
        <v>24800000</v>
      </c>
      <c r="B237">
        <v>872</v>
      </c>
      <c r="C237">
        <v>19200000</v>
      </c>
      <c r="D237">
        <v>14655527943</v>
      </c>
    </row>
    <row r="238" spans="1:4" x14ac:dyDescent="0.3">
      <c r="A238">
        <v>24800000</v>
      </c>
      <c r="B238">
        <v>1894</v>
      </c>
      <c r="C238">
        <v>6500000</v>
      </c>
      <c r="D238">
        <v>3699352704</v>
      </c>
    </row>
    <row r="239" spans="1:4" x14ac:dyDescent="0.3">
      <c r="A239">
        <v>24800000</v>
      </c>
      <c r="B239">
        <v>672</v>
      </c>
      <c r="C239">
        <v>16100</v>
      </c>
      <c r="D239">
        <v>2588501115</v>
      </c>
    </row>
    <row r="240" spans="1:4" x14ac:dyDescent="0.3">
      <c r="A240">
        <v>24800000</v>
      </c>
      <c r="B240">
        <v>1644</v>
      </c>
      <c r="C240">
        <v>15900000</v>
      </c>
      <c r="D240">
        <v>17387583720</v>
      </c>
    </row>
    <row r="241" spans="1:4" x14ac:dyDescent="0.3">
      <c r="A241">
        <v>24700000</v>
      </c>
      <c r="B241">
        <v>104</v>
      </c>
      <c r="C241">
        <v>6700000</v>
      </c>
      <c r="D241">
        <v>20531704527</v>
      </c>
    </row>
    <row r="242" spans="1:4" x14ac:dyDescent="0.3">
      <c r="A242">
        <v>24700000</v>
      </c>
      <c r="B242">
        <v>412</v>
      </c>
      <c r="C242">
        <v>1100000</v>
      </c>
      <c r="D242">
        <v>2994726412</v>
      </c>
    </row>
    <row r="243" spans="1:4" x14ac:dyDescent="0.3">
      <c r="A243">
        <v>24600000</v>
      </c>
      <c r="B243">
        <v>120</v>
      </c>
      <c r="C243">
        <v>4300000</v>
      </c>
      <c r="D243">
        <v>3647987299</v>
      </c>
    </row>
    <row r="244" spans="1:4" x14ac:dyDescent="0.3">
      <c r="A244">
        <v>24600000</v>
      </c>
      <c r="B244">
        <v>175</v>
      </c>
      <c r="C244">
        <v>4300000</v>
      </c>
      <c r="D244">
        <v>23755792542</v>
      </c>
    </row>
    <row r="245" spans="1:4" x14ac:dyDescent="0.3">
      <c r="A245">
        <v>24500000</v>
      </c>
      <c r="B245">
        <v>18950</v>
      </c>
      <c r="C245">
        <v>5100000</v>
      </c>
      <c r="D245">
        <v>23962070944</v>
      </c>
    </row>
    <row r="246" spans="1:4" x14ac:dyDescent="0.3">
      <c r="A246">
        <v>24400000</v>
      </c>
      <c r="B246">
        <v>658</v>
      </c>
      <c r="C246">
        <v>8200000</v>
      </c>
      <c r="D246">
        <v>12385924995</v>
      </c>
    </row>
    <row r="247" spans="1:4" x14ac:dyDescent="0.3">
      <c r="A247">
        <v>24300000</v>
      </c>
      <c r="B247">
        <v>17</v>
      </c>
      <c r="C247">
        <v>0.24</v>
      </c>
      <c r="D247">
        <v>2380248899</v>
      </c>
    </row>
    <row r="248" spans="1:4" x14ac:dyDescent="0.3">
      <c r="A248">
        <v>24300000</v>
      </c>
      <c r="B248">
        <v>1667</v>
      </c>
      <c r="C248">
        <v>4600000</v>
      </c>
      <c r="D248">
        <v>6608773195</v>
      </c>
    </row>
    <row r="249" spans="1:4" x14ac:dyDescent="0.3">
      <c r="A249">
        <v>24200000</v>
      </c>
      <c r="B249">
        <v>67</v>
      </c>
      <c r="C249">
        <v>1600000</v>
      </c>
      <c r="D249">
        <v>2700914170</v>
      </c>
    </row>
    <row r="250" spans="1:4" x14ac:dyDescent="0.3">
      <c r="A250">
        <v>24200000</v>
      </c>
      <c r="B250">
        <v>469</v>
      </c>
      <c r="C250">
        <v>7300000</v>
      </c>
      <c r="D250">
        <v>15724160183</v>
      </c>
    </row>
    <row r="251" spans="1:4" x14ac:dyDescent="0.3">
      <c r="A251">
        <v>24100000</v>
      </c>
      <c r="B251">
        <v>287</v>
      </c>
      <c r="C251">
        <v>19100000</v>
      </c>
      <c r="D251">
        <v>12916159065</v>
      </c>
    </row>
    <row r="252" spans="1:4" x14ac:dyDescent="0.3">
      <c r="A252">
        <v>24100000</v>
      </c>
      <c r="B252">
        <v>36</v>
      </c>
      <c r="C252">
        <v>15800000</v>
      </c>
      <c r="D252">
        <v>329774870</v>
      </c>
    </row>
    <row r="253" spans="1:4" x14ac:dyDescent="0.3">
      <c r="A253">
        <v>24100000</v>
      </c>
      <c r="B253">
        <v>590</v>
      </c>
      <c r="C253">
        <v>3200000</v>
      </c>
      <c r="D253">
        <v>11041261296</v>
      </c>
    </row>
    <row r="254" spans="1:4" x14ac:dyDescent="0.3">
      <c r="A254">
        <v>24100000</v>
      </c>
      <c r="B254">
        <v>252</v>
      </c>
      <c r="C254">
        <v>3000000</v>
      </c>
      <c r="D254">
        <v>8425505919</v>
      </c>
    </row>
    <row r="255" spans="1:4" x14ac:dyDescent="0.3">
      <c r="A255">
        <v>24100000</v>
      </c>
      <c r="B255">
        <v>23491</v>
      </c>
      <c r="C255">
        <v>20400000</v>
      </c>
      <c r="D255">
        <v>56106087508</v>
      </c>
    </row>
    <row r="256" spans="1:4" x14ac:dyDescent="0.3">
      <c r="A256">
        <v>24100000</v>
      </c>
      <c r="B256">
        <v>1252</v>
      </c>
      <c r="C256">
        <v>261100</v>
      </c>
      <c r="D256">
        <v>6002166932</v>
      </c>
    </row>
    <row r="257" spans="1:4" x14ac:dyDescent="0.3">
      <c r="A257">
        <v>24100000</v>
      </c>
      <c r="B257">
        <v>802</v>
      </c>
      <c r="C257">
        <v>19300000</v>
      </c>
      <c r="D257">
        <v>10999000479</v>
      </c>
    </row>
    <row r="258" spans="1:4" x14ac:dyDescent="0.3">
      <c r="A258">
        <v>24000000</v>
      </c>
      <c r="B258">
        <v>3</v>
      </c>
      <c r="C258">
        <v>0.14000000000000001</v>
      </c>
      <c r="D258">
        <v>5652938599</v>
      </c>
    </row>
    <row r="259" spans="1:4" x14ac:dyDescent="0.3">
      <c r="A259">
        <v>24000000</v>
      </c>
      <c r="B259">
        <v>4009</v>
      </c>
      <c r="C259">
        <v>7300000</v>
      </c>
      <c r="D259">
        <v>8279004442</v>
      </c>
    </row>
    <row r="260" spans="1:4" x14ac:dyDescent="0.3">
      <c r="A260">
        <v>24000000</v>
      </c>
      <c r="B260">
        <v>901</v>
      </c>
      <c r="C260">
        <v>36500000</v>
      </c>
      <c r="D260">
        <v>13943030228</v>
      </c>
    </row>
    <row r="261" spans="1:4" x14ac:dyDescent="0.3">
      <c r="A261">
        <v>23900000</v>
      </c>
      <c r="B261">
        <v>505</v>
      </c>
      <c r="C261">
        <v>2800000</v>
      </c>
      <c r="D261">
        <v>4067878931</v>
      </c>
    </row>
    <row r="262" spans="1:4" x14ac:dyDescent="0.3">
      <c r="A262">
        <v>23900000</v>
      </c>
      <c r="B262">
        <v>511</v>
      </c>
      <c r="C262">
        <v>8500000</v>
      </c>
      <c r="D262">
        <v>7213499085</v>
      </c>
    </row>
    <row r="263" spans="1:4" x14ac:dyDescent="0.3">
      <c r="A263">
        <v>23900000</v>
      </c>
      <c r="B263">
        <v>257</v>
      </c>
      <c r="C263">
        <v>520900</v>
      </c>
      <c r="D263">
        <v>6582932625</v>
      </c>
    </row>
    <row r="264" spans="1:4" x14ac:dyDescent="0.3">
      <c r="A264">
        <v>23800000</v>
      </c>
      <c r="B264">
        <v>70</v>
      </c>
      <c r="C264">
        <v>1500</v>
      </c>
      <c r="D264">
        <v>5663125358</v>
      </c>
    </row>
    <row r="265" spans="1:4" x14ac:dyDescent="0.3">
      <c r="A265">
        <v>23800000</v>
      </c>
      <c r="B265">
        <v>2425</v>
      </c>
      <c r="C265">
        <v>4700000</v>
      </c>
      <c r="D265">
        <v>10414479943</v>
      </c>
    </row>
    <row r="266" spans="1:4" x14ac:dyDescent="0.3">
      <c r="A266">
        <v>23800000</v>
      </c>
      <c r="B266">
        <v>443</v>
      </c>
      <c r="C266">
        <v>5900000</v>
      </c>
      <c r="D266">
        <v>17688774915</v>
      </c>
    </row>
    <row r="267" spans="1:4" x14ac:dyDescent="0.3">
      <c r="A267">
        <v>23700000</v>
      </c>
      <c r="B267">
        <v>769</v>
      </c>
      <c r="C267">
        <v>36200000</v>
      </c>
      <c r="D267">
        <v>20289689389</v>
      </c>
    </row>
    <row r="268" spans="1:4" x14ac:dyDescent="0.3">
      <c r="A268">
        <v>23700000</v>
      </c>
      <c r="B268">
        <v>1732</v>
      </c>
      <c r="C268">
        <v>401700</v>
      </c>
      <c r="D268">
        <v>2543809954</v>
      </c>
    </row>
    <row r="269" spans="1:4" x14ac:dyDescent="0.3">
      <c r="A269">
        <v>23700000</v>
      </c>
      <c r="B269">
        <v>1099</v>
      </c>
      <c r="C269">
        <v>1600000</v>
      </c>
      <c r="D269">
        <v>15510153803</v>
      </c>
    </row>
    <row r="270" spans="1:4" x14ac:dyDescent="0.3">
      <c r="A270">
        <v>23700000</v>
      </c>
      <c r="B270">
        <v>0</v>
      </c>
      <c r="C270">
        <v>0</v>
      </c>
      <c r="D270">
        <v>7451792132</v>
      </c>
    </row>
    <row r="271" spans="1:4" x14ac:dyDescent="0.3">
      <c r="A271">
        <v>23600000</v>
      </c>
      <c r="B271">
        <v>392</v>
      </c>
      <c r="C271">
        <v>3700000</v>
      </c>
      <c r="D271">
        <v>15901824841</v>
      </c>
    </row>
    <row r="272" spans="1:4" x14ac:dyDescent="0.3">
      <c r="A272">
        <v>23600000</v>
      </c>
      <c r="B272">
        <v>719</v>
      </c>
      <c r="C272">
        <v>518600</v>
      </c>
      <c r="D272">
        <v>5994002464</v>
      </c>
    </row>
    <row r="273" spans="1:4" x14ac:dyDescent="0.3">
      <c r="A273">
        <v>23600000</v>
      </c>
      <c r="B273">
        <v>552</v>
      </c>
      <c r="C273">
        <v>2100000</v>
      </c>
      <c r="D273">
        <v>6766461070</v>
      </c>
    </row>
    <row r="274" spans="1:4" x14ac:dyDescent="0.3">
      <c r="A274">
        <v>23600000</v>
      </c>
      <c r="B274">
        <v>226</v>
      </c>
      <c r="C274">
        <v>2200000</v>
      </c>
      <c r="D274">
        <v>2135644776</v>
      </c>
    </row>
    <row r="275" spans="1:4" x14ac:dyDescent="0.3">
      <c r="A275">
        <v>23600000</v>
      </c>
      <c r="B275">
        <v>1251</v>
      </c>
      <c r="C275">
        <v>2600000</v>
      </c>
      <c r="D275">
        <v>7920637200</v>
      </c>
    </row>
    <row r="276" spans="1:4" x14ac:dyDescent="0.3">
      <c r="A276">
        <v>23500000</v>
      </c>
      <c r="B276">
        <v>1044</v>
      </c>
      <c r="C276">
        <v>2900000</v>
      </c>
      <c r="D276">
        <v>14696994366</v>
      </c>
    </row>
    <row r="277" spans="1:4" x14ac:dyDescent="0.3">
      <c r="A277">
        <v>23500000</v>
      </c>
      <c r="B277">
        <v>6066</v>
      </c>
      <c r="C277">
        <v>2000000</v>
      </c>
      <c r="D277">
        <v>14777034543</v>
      </c>
    </row>
    <row r="278" spans="1:4" x14ac:dyDescent="0.3">
      <c r="A278">
        <v>23400000</v>
      </c>
      <c r="B278">
        <v>6672</v>
      </c>
      <c r="C278">
        <v>17600000</v>
      </c>
      <c r="D278">
        <v>9465863821</v>
      </c>
    </row>
    <row r="279" spans="1:4" x14ac:dyDescent="0.3">
      <c r="A279">
        <v>23400000</v>
      </c>
      <c r="B279">
        <v>1291</v>
      </c>
      <c r="C279">
        <v>1400000</v>
      </c>
      <c r="D279">
        <v>7926899136</v>
      </c>
    </row>
    <row r="280" spans="1:4" x14ac:dyDescent="0.3">
      <c r="A280">
        <v>23300000</v>
      </c>
      <c r="B280">
        <v>3657</v>
      </c>
      <c r="C280">
        <v>6000000</v>
      </c>
      <c r="D280">
        <v>22471357411</v>
      </c>
    </row>
    <row r="281" spans="1:4" x14ac:dyDescent="0.3">
      <c r="A281">
        <v>23200000</v>
      </c>
      <c r="B281">
        <v>595</v>
      </c>
      <c r="C281">
        <v>15400000</v>
      </c>
      <c r="D281">
        <v>7966720147</v>
      </c>
    </row>
    <row r="282" spans="1:4" x14ac:dyDescent="0.3">
      <c r="A282">
        <v>23200000</v>
      </c>
      <c r="B282">
        <v>1</v>
      </c>
      <c r="C282">
        <v>0</v>
      </c>
      <c r="D282">
        <v>2634</v>
      </c>
    </row>
    <row r="283" spans="1:4" x14ac:dyDescent="0.3">
      <c r="A283">
        <v>23200000</v>
      </c>
      <c r="B283">
        <v>172</v>
      </c>
      <c r="C283">
        <v>6900000</v>
      </c>
      <c r="D283">
        <v>15751661213</v>
      </c>
    </row>
    <row r="284" spans="1:4" x14ac:dyDescent="0.3">
      <c r="A284">
        <v>23100000</v>
      </c>
      <c r="B284">
        <v>456</v>
      </c>
      <c r="C284">
        <v>14600000</v>
      </c>
      <c r="D284">
        <v>9299371231</v>
      </c>
    </row>
    <row r="285" spans="1:4" x14ac:dyDescent="0.3">
      <c r="A285">
        <v>23100000</v>
      </c>
      <c r="B285">
        <v>22578</v>
      </c>
      <c r="C285">
        <v>2500000</v>
      </c>
      <c r="D285">
        <v>12889240875</v>
      </c>
    </row>
    <row r="286" spans="1:4" x14ac:dyDescent="0.3">
      <c r="A286">
        <v>23100000</v>
      </c>
      <c r="B286">
        <v>3781</v>
      </c>
      <c r="C286">
        <v>6200000</v>
      </c>
      <c r="D286">
        <v>13151870846</v>
      </c>
    </row>
    <row r="287" spans="1:4" x14ac:dyDescent="0.3">
      <c r="A287">
        <v>23100000</v>
      </c>
      <c r="B287">
        <v>4445</v>
      </c>
      <c r="C287">
        <v>635800</v>
      </c>
      <c r="D287">
        <v>2551113422</v>
      </c>
    </row>
    <row r="288" spans="1:4" x14ac:dyDescent="0.3">
      <c r="A288">
        <v>23100000</v>
      </c>
      <c r="B288">
        <v>15462</v>
      </c>
      <c r="C288">
        <v>6300000</v>
      </c>
      <c r="D288">
        <v>25579831081</v>
      </c>
    </row>
    <row r="289" spans="1:4" x14ac:dyDescent="0.3">
      <c r="A289">
        <v>23000000</v>
      </c>
      <c r="B289">
        <v>5041</v>
      </c>
      <c r="C289">
        <v>1100000</v>
      </c>
      <c r="D289">
        <v>3378047383</v>
      </c>
    </row>
    <row r="290" spans="1:4" x14ac:dyDescent="0.3">
      <c r="A290">
        <v>23000000</v>
      </c>
      <c r="B290">
        <v>5718</v>
      </c>
      <c r="C290">
        <v>4500000</v>
      </c>
      <c r="D290">
        <v>10939966484</v>
      </c>
    </row>
    <row r="291" spans="1:4" x14ac:dyDescent="0.3">
      <c r="A291">
        <v>23000000</v>
      </c>
      <c r="B291">
        <v>2905</v>
      </c>
      <c r="C291">
        <v>36300000</v>
      </c>
      <c r="D291">
        <v>31494513067</v>
      </c>
    </row>
    <row r="292" spans="1:4" x14ac:dyDescent="0.3">
      <c r="A292">
        <v>23000000</v>
      </c>
      <c r="B292">
        <v>1598</v>
      </c>
      <c r="C292">
        <v>1700000</v>
      </c>
      <c r="D292">
        <v>6041264489</v>
      </c>
    </row>
    <row r="293" spans="1:4" x14ac:dyDescent="0.3">
      <c r="A293">
        <v>22900000</v>
      </c>
      <c r="B293">
        <v>1670</v>
      </c>
      <c r="C293">
        <v>0</v>
      </c>
      <c r="D293">
        <v>5320485069</v>
      </c>
    </row>
    <row r="294" spans="1:4" x14ac:dyDescent="0.3">
      <c r="A294">
        <v>22900000</v>
      </c>
      <c r="B294">
        <v>0</v>
      </c>
      <c r="C294">
        <v>0</v>
      </c>
      <c r="D294">
        <v>5380073627</v>
      </c>
    </row>
    <row r="295" spans="1:4" x14ac:dyDescent="0.3">
      <c r="A295">
        <v>22900000</v>
      </c>
      <c r="B295">
        <v>1251</v>
      </c>
      <c r="C295">
        <v>6600000</v>
      </c>
      <c r="D295">
        <v>13206471140</v>
      </c>
    </row>
    <row r="296" spans="1:4" x14ac:dyDescent="0.3">
      <c r="A296">
        <v>22900000</v>
      </c>
      <c r="B296">
        <v>1159</v>
      </c>
      <c r="C296">
        <v>8100000</v>
      </c>
      <c r="D296">
        <v>16298342829</v>
      </c>
    </row>
    <row r="297" spans="1:4" x14ac:dyDescent="0.3">
      <c r="A297">
        <v>22800000</v>
      </c>
      <c r="B297">
        <v>1841</v>
      </c>
      <c r="C297">
        <v>97600000</v>
      </c>
      <c r="D297">
        <v>17988347989</v>
      </c>
    </row>
    <row r="298" spans="1:4" x14ac:dyDescent="0.3">
      <c r="A298">
        <v>22700000</v>
      </c>
      <c r="B298">
        <v>654</v>
      </c>
      <c r="C298">
        <v>4600000</v>
      </c>
      <c r="D298">
        <v>11568118121</v>
      </c>
    </row>
    <row r="299" spans="1:4" x14ac:dyDescent="0.3">
      <c r="A299">
        <v>22700000</v>
      </c>
      <c r="B299">
        <v>985</v>
      </c>
      <c r="C299">
        <v>7500000</v>
      </c>
      <c r="D299">
        <v>10115316784</v>
      </c>
    </row>
    <row r="300" spans="1:4" x14ac:dyDescent="0.3">
      <c r="A300">
        <v>22600000</v>
      </c>
      <c r="B300">
        <v>495</v>
      </c>
      <c r="C300">
        <v>19200000</v>
      </c>
      <c r="D300">
        <v>9223534599</v>
      </c>
    </row>
    <row r="301" spans="1:4" x14ac:dyDescent="0.3">
      <c r="A301">
        <v>22600000</v>
      </c>
      <c r="B301">
        <v>60964</v>
      </c>
      <c r="C301">
        <v>47100000</v>
      </c>
      <c r="D301">
        <v>20847038152</v>
      </c>
    </row>
    <row r="302" spans="1:4" x14ac:dyDescent="0.3">
      <c r="A302">
        <v>22600000</v>
      </c>
      <c r="B302">
        <v>2321</v>
      </c>
      <c r="C302">
        <v>56300000</v>
      </c>
      <c r="D302">
        <v>27084848152</v>
      </c>
    </row>
    <row r="303" spans="1:4" x14ac:dyDescent="0.3">
      <c r="A303">
        <v>22600000</v>
      </c>
      <c r="B303">
        <v>180</v>
      </c>
      <c r="C303">
        <v>3900000</v>
      </c>
      <c r="D303">
        <v>14231943358</v>
      </c>
    </row>
    <row r="304" spans="1:4" x14ac:dyDescent="0.3">
      <c r="A304">
        <v>22600000</v>
      </c>
      <c r="B304">
        <v>171</v>
      </c>
      <c r="C304">
        <v>4600000</v>
      </c>
      <c r="D304">
        <v>13405849040</v>
      </c>
    </row>
    <row r="305" spans="1:4" x14ac:dyDescent="0.3">
      <c r="A305">
        <v>22600000</v>
      </c>
      <c r="B305">
        <v>1189</v>
      </c>
      <c r="C305">
        <v>3500000</v>
      </c>
      <c r="D305">
        <v>17507060680</v>
      </c>
    </row>
    <row r="306" spans="1:4" x14ac:dyDescent="0.3">
      <c r="A306">
        <v>22500000</v>
      </c>
      <c r="B306">
        <v>3377</v>
      </c>
      <c r="C306">
        <v>2300000</v>
      </c>
      <c r="D306">
        <v>2431154438</v>
      </c>
    </row>
    <row r="307" spans="1:4" x14ac:dyDescent="0.3">
      <c r="A307">
        <v>22500000</v>
      </c>
      <c r="B307">
        <v>526</v>
      </c>
      <c r="C307">
        <v>3100000</v>
      </c>
      <c r="D307">
        <v>10613701948</v>
      </c>
    </row>
    <row r="308" spans="1:4" x14ac:dyDescent="0.3">
      <c r="A308">
        <v>22500000</v>
      </c>
      <c r="B308">
        <v>3315</v>
      </c>
      <c r="C308">
        <v>8400000</v>
      </c>
      <c r="D308">
        <v>13835173331</v>
      </c>
    </row>
    <row r="309" spans="1:4" x14ac:dyDescent="0.3">
      <c r="A309">
        <v>22400000</v>
      </c>
      <c r="B309">
        <v>58</v>
      </c>
      <c r="C309">
        <v>3500000</v>
      </c>
      <c r="D309">
        <v>8040036209</v>
      </c>
    </row>
    <row r="310" spans="1:4" x14ac:dyDescent="0.3">
      <c r="A310">
        <v>22300000</v>
      </c>
      <c r="B310">
        <v>1724</v>
      </c>
      <c r="C310">
        <v>6300000</v>
      </c>
      <c r="D310">
        <v>24059336857</v>
      </c>
    </row>
    <row r="311" spans="1:4" x14ac:dyDescent="0.3">
      <c r="A311">
        <v>22300000</v>
      </c>
      <c r="B311">
        <v>34</v>
      </c>
      <c r="C311">
        <v>35</v>
      </c>
      <c r="D311">
        <v>8663830163</v>
      </c>
    </row>
    <row r="312" spans="1:4" x14ac:dyDescent="0.3">
      <c r="A312">
        <v>22200000</v>
      </c>
      <c r="B312">
        <v>999</v>
      </c>
      <c r="C312">
        <v>6700000</v>
      </c>
      <c r="D312">
        <v>11136266461</v>
      </c>
    </row>
    <row r="313" spans="1:4" x14ac:dyDescent="0.3">
      <c r="A313">
        <v>22000000</v>
      </c>
      <c r="B313">
        <v>515</v>
      </c>
      <c r="C313">
        <v>8800000</v>
      </c>
      <c r="D313">
        <v>8594440895</v>
      </c>
    </row>
    <row r="314" spans="1:4" x14ac:dyDescent="0.3">
      <c r="A314">
        <v>22000000</v>
      </c>
      <c r="B314">
        <v>157</v>
      </c>
      <c r="C314">
        <v>5400000</v>
      </c>
      <c r="D314">
        <v>9924807127</v>
      </c>
    </row>
    <row r="315" spans="1:4" x14ac:dyDescent="0.3">
      <c r="A315">
        <v>22000000</v>
      </c>
      <c r="B315">
        <v>6274</v>
      </c>
      <c r="C315">
        <v>34100000</v>
      </c>
      <c r="D315">
        <v>18347969186</v>
      </c>
    </row>
    <row r="316" spans="1:4" x14ac:dyDescent="0.3">
      <c r="A316">
        <v>21900000</v>
      </c>
      <c r="B316">
        <v>816</v>
      </c>
      <c r="C316">
        <v>33000000</v>
      </c>
      <c r="D316">
        <v>15552070846</v>
      </c>
    </row>
    <row r="317" spans="1:4" x14ac:dyDescent="0.3">
      <c r="A317">
        <v>21900000</v>
      </c>
      <c r="B317">
        <v>946</v>
      </c>
      <c r="C317">
        <v>11200000</v>
      </c>
      <c r="D317">
        <v>5918314128</v>
      </c>
    </row>
    <row r="318" spans="1:4" x14ac:dyDescent="0.3">
      <c r="A318">
        <v>21900000</v>
      </c>
      <c r="B318">
        <v>301</v>
      </c>
      <c r="C318">
        <v>8900000</v>
      </c>
      <c r="D318">
        <v>4454917643</v>
      </c>
    </row>
    <row r="319" spans="1:4" x14ac:dyDescent="0.3">
      <c r="A319">
        <v>21900000</v>
      </c>
      <c r="B319">
        <v>116</v>
      </c>
      <c r="C319">
        <v>227</v>
      </c>
      <c r="D319">
        <v>20657571751</v>
      </c>
    </row>
    <row r="320" spans="1:4" x14ac:dyDescent="0.3">
      <c r="A320">
        <v>21800000</v>
      </c>
      <c r="B320">
        <v>1</v>
      </c>
      <c r="C320">
        <v>0</v>
      </c>
      <c r="D320">
        <v>7780934187</v>
      </c>
    </row>
    <row r="321" spans="1:4" x14ac:dyDescent="0.3">
      <c r="A321">
        <v>21800000</v>
      </c>
      <c r="B321">
        <v>135</v>
      </c>
      <c r="C321">
        <v>507</v>
      </c>
      <c r="D321">
        <v>19329351143</v>
      </c>
    </row>
    <row r="322" spans="1:4" x14ac:dyDescent="0.3">
      <c r="A322">
        <v>21800000</v>
      </c>
      <c r="B322">
        <v>257</v>
      </c>
      <c r="C322">
        <v>9500000</v>
      </c>
      <c r="D322">
        <v>4469711607</v>
      </c>
    </row>
    <row r="323" spans="1:4" x14ac:dyDescent="0.3">
      <c r="A323">
        <v>21800000</v>
      </c>
      <c r="B323">
        <v>10162</v>
      </c>
      <c r="C323">
        <v>2200000</v>
      </c>
      <c r="D323">
        <v>5614621131</v>
      </c>
    </row>
    <row r="324" spans="1:4" x14ac:dyDescent="0.3">
      <c r="A324">
        <v>21800000</v>
      </c>
      <c r="B324">
        <v>164</v>
      </c>
      <c r="C324">
        <v>6100000</v>
      </c>
      <c r="D324">
        <v>11288359365</v>
      </c>
    </row>
    <row r="325" spans="1:4" x14ac:dyDescent="0.3">
      <c r="A325">
        <v>21800000</v>
      </c>
      <c r="B325">
        <v>266</v>
      </c>
      <c r="C325">
        <v>2500000</v>
      </c>
      <c r="D325">
        <v>12140232004</v>
      </c>
    </row>
    <row r="326" spans="1:4" x14ac:dyDescent="0.3">
      <c r="A326">
        <v>21700000</v>
      </c>
      <c r="B326">
        <v>1390</v>
      </c>
      <c r="C326">
        <v>12700000</v>
      </c>
      <c r="D326">
        <v>9392093496</v>
      </c>
    </row>
    <row r="327" spans="1:4" x14ac:dyDescent="0.3">
      <c r="A327">
        <v>21700000</v>
      </c>
      <c r="B327">
        <v>15126</v>
      </c>
      <c r="C327">
        <v>76700000</v>
      </c>
      <c r="D327">
        <v>8507818877</v>
      </c>
    </row>
    <row r="328" spans="1:4" x14ac:dyDescent="0.3">
      <c r="A328">
        <v>21600000</v>
      </c>
      <c r="B328">
        <v>219</v>
      </c>
      <c r="C328">
        <v>9300000</v>
      </c>
      <c r="D328">
        <v>5863377051</v>
      </c>
    </row>
    <row r="329" spans="1:4" x14ac:dyDescent="0.3">
      <c r="A329">
        <v>21600000</v>
      </c>
      <c r="B329">
        <v>228</v>
      </c>
      <c r="C329">
        <v>3100000</v>
      </c>
      <c r="D329">
        <v>9346383505</v>
      </c>
    </row>
    <row r="330" spans="1:4" x14ac:dyDescent="0.3">
      <c r="A330">
        <v>21600000</v>
      </c>
      <c r="B330">
        <v>2942</v>
      </c>
      <c r="C330">
        <v>9300000</v>
      </c>
      <c r="D330">
        <v>9597894786</v>
      </c>
    </row>
    <row r="331" spans="1:4" x14ac:dyDescent="0.3">
      <c r="A331">
        <v>21500000</v>
      </c>
      <c r="B331">
        <v>6</v>
      </c>
      <c r="C331">
        <v>0.14000000000000001</v>
      </c>
      <c r="D331">
        <v>22065582014</v>
      </c>
    </row>
    <row r="332" spans="1:4" x14ac:dyDescent="0.3">
      <c r="A332">
        <v>21500000</v>
      </c>
      <c r="B332">
        <v>51</v>
      </c>
      <c r="C332">
        <v>5400000</v>
      </c>
      <c r="D332">
        <v>5890180734</v>
      </c>
    </row>
    <row r="333" spans="1:4" x14ac:dyDescent="0.3">
      <c r="A333">
        <v>21500000</v>
      </c>
      <c r="B333">
        <v>158</v>
      </c>
      <c r="C333">
        <v>742</v>
      </c>
      <c r="D333">
        <v>15013096899</v>
      </c>
    </row>
    <row r="334" spans="1:4" x14ac:dyDescent="0.3">
      <c r="A334">
        <v>21500000</v>
      </c>
      <c r="B334">
        <v>17</v>
      </c>
      <c r="C334">
        <v>2</v>
      </c>
      <c r="D334">
        <v>8409641722</v>
      </c>
    </row>
    <row r="335" spans="1:4" x14ac:dyDescent="0.3">
      <c r="A335">
        <v>21400000</v>
      </c>
      <c r="B335">
        <v>114</v>
      </c>
      <c r="C335">
        <v>7700000</v>
      </c>
      <c r="D335">
        <v>6264261757</v>
      </c>
    </row>
    <row r="336" spans="1:4" x14ac:dyDescent="0.3">
      <c r="A336">
        <v>21400000</v>
      </c>
      <c r="B336">
        <v>0</v>
      </c>
      <c r="C336">
        <v>0</v>
      </c>
      <c r="D336">
        <v>1573058816</v>
      </c>
    </row>
    <row r="337" spans="1:4" x14ac:dyDescent="0.3">
      <c r="A337">
        <v>21300000</v>
      </c>
      <c r="B337">
        <v>669</v>
      </c>
      <c r="C337">
        <v>11300000</v>
      </c>
      <c r="D337">
        <v>10047736580</v>
      </c>
    </row>
    <row r="338" spans="1:4" x14ac:dyDescent="0.3">
      <c r="A338">
        <v>21300000</v>
      </c>
      <c r="B338">
        <v>20225</v>
      </c>
      <c r="C338">
        <v>26900000</v>
      </c>
      <c r="D338">
        <v>12895427184</v>
      </c>
    </row>
    <row r="339" spans="1:4" x14ac:dyDescent="0.3">
      <c r="A339">
        <v>21300000</v>
      </c>
      <c r="B339">
        <v>951</v>
      </c>
      <c r="C339">
        <v>35000000</v>
      </c>
      <c r="D339">
        <v>12761253839</v>
      </c>
    </row>
    <row r="340" spans="1:4" x14ac:dyDescent="0.3">
      <c r="A340">
        <v>21300000</v>
      </c>
      <c r="B340">
        <v>733</v>
      </c>
      <c r="C340">
        <v>7700000</v>
      </c>
      <c r="D340">
        <v>6269945014</v>
      </c>
    </row>
    <row r="341" spans="1:4" x14ac:dyDescent="0.3">
      <c r="A341">
        <v>21300000</v>
      </c>
      <c r="B341">
        <v>1608</v>
      </c>
      <c r="C341">
        <v>3300000</v>
      </c>
      <c r="D341">
        <v>5141834668</v>
      </c>
    </row>
    <row r="342" spans="1:4" x14ac:dyDescent="0.3">
      <c r="A342">
        <v>21300000</v>
      </c>
      <c r="B342">
        <v>78</v>
      </c>
      <c r="C342">
        <v>5000000</v>
      </c>
      <c r="D342">
        <v>10644857969</v>
      </c>
    </row>
    <row r="343" spans="1:4" x14ac:dyDescent="0.3">
      <c r="A343">
        <v>21200000</v>
      </c>
      <c r="B343">
        <v>1</v>
      </c>
      <c r="C343">
        <v>0</v>
      </c>
      <c r="D343">
        <v>2073073070</v>
      </c>
    </row>
    <row r="344" spans="1:4" x14ac:dyDescent="0.3">
      <c r="A344">
        <v>21200000</v>
      </c>
      <c r="B344">
        <v>31989</v>
      </c>
      <c r="C344">
        <v>6800000</v>
      </c>
      <c r="D344">
        <v>11364908616</v>
      </c>
    </row>
    <row r="345" spans="1:4" x14ac:dyDescent="0.3">
      <c r="A345">
        <v>21100000</v>
      </c>
      <c r="B345">
        <v>4728</v>
      </c>
      <c r="C345">
        <v>1200000</v>
      </c>
      <c r="D345">
        <v>5783557209</v>
      </c>
    </row>
    <row r="346" spans="1:4" x14ac:dyDescent="0.3">
      <c r="A346">
        <v>21100000</v>
      </c>
      <c r="B346">
        <v>2325</v>
      </c>
      <c r="C346">
        <v>1300000</v>
      </c>
      <c r="D346">
        <v>4526271677</v>
      </c>
    </row>
    <row r="347" spans="1:4" x14ac:dyDescent="0.3">
      <c r="A347">
        <v>21000000</v>
      </c>
      <c r="B347">
        <v>498</v>
      </c>
      <c r="C347">
        <v>6400000</v>
      </c>
      <c r="D347">
        <v>9789121606</v>
      </c>
    </row>
    <row r="348" spans="1:4" x14ac:dyDescent="0.3">
      <c r="A348">
        <v>21000000</v>
      </c>
      <c r="B348">
        <v>420</v>
      </c>
      <c r="C348">
        <v>3800000</v>
      </c>
      <c r="D348">
        <v>10631638628</v>
      </c>
    </row>
    <row r="349" spans="1:4" x14ac:dyDescent="0.3">
      <c r="A349">
        <v>21000000</v>
      </c>
      <c r="B349">
        <v>403</v>
      </c>
      <c r="C349">
        <v>118900</v>
      </c>
      <c r="D349">
        <v>4380564906</v>
      </c>
    </row>
    <row r="350" spans="1:4" x14ac:dyDescent="0.3">
      <c r="A350">
        <v>21000000</v>
      </c>
      <c r="B350">
        <v>2883</v>
      </c>
      <c r="C350">
        <v>5700000</v>
      </c>
      <c r="D350">
        <v>7762905663</v>
      </c>
    </row>
    <row r="351" spans="1:4" x14ac:dyDescent="0.3">
      <c r="A351">
        <v>20900000</v>
      </c>
      <c r="B351">
        <v>0</v>
      </c>
      <c r="C351">
        <v>0</v>
      </c>
      <c r="D351">
        <v>0</v>
      </c>
    </row>
    <row r="352" spans="1:4" x14ac:dyDescent="0.3">
      <c r="A352">
        <v>20900000</v>
      </c>
      <c r="B352">
        <v>896</v>
      </c>
      <c r="C352">
        <v>1400000</v>
      </c>
      <c r="D352">
        <v>1693149479</v>
      </c>
    </row>
    <row r="353" spans="1:4" x14ac:dyDescent="0.3">
      <c r="A353">
        <v>20900000</v>
      </c>
      <c r="B353">
        <v>9850</v>
      </c>
      <c r="C353">
        <v>18400000</v>
      </c>
      <c r="D353">
        <v>11058049885</v>
      </c>
    </row>
    <row r="354" spans="1:4" x14ac:dyDescent="0.3">
      <c r="A354">
        <v>20900000</v>
      </c>
      <c r="B354">
        <v>982</v>
      </c>
      <c r="C354">
        <v>0</v>
      </c>
      <c r="D354">
        <v>4927879069</v>
      </c>
    </row>
    <row r="355" spans="1:4" x14ac:dyDescent="0.3">
      <c r="A355">
        <v>20900000</v>
      </c>
      <c r="B355">
        <v>6</v>
      </c>
      <c r="C355">
        <v>5</v>
      </c>
      <c r="D355">
        <v>17324976752</v>
      </c>
    </row>
    <row r="356" spans="1:4" x14ac:dyDescent="0.3">
      <c r="A356">
        <v>20900000</v>
      </c>
      <c r="B356">
        <v>6262</v>
      </c>
      <c r="C356">
        <v>2500000</v>
      </c>
      <c r="D356">
        <v>3828000587</v>
      </c>
    </row>
    <row r="357" spans="1:4" x14ac:dyDescent="0.3">
      <c r="A357">
        <v>20800000</v>
      </c>
      <c r="B357">
        <v>288</v>
      </c>
      <c r="C357">
        <v>1100000</v>
      </c>
      <c r="D357">
        <v>1870608170</v>
      </c>
    </row>
    <row r="358" spans="1:4" x14ac:dyDescent="0.3">
      <c r="A358">
        <v>20800000</v>
      </c>
      <c r="B358">
        <v>193</v>
      </c>
      <c r="C358">
        <v>1400000</v>
      </c>
      <c r="D358">
        <v>2378448129</v>
      </c>
    </row>
    <row r="359" spans="1:4" x14ac:dyDescent="0.3">
      <c r="A359">
        <v>20700000</v>
      </c>
      <c r="B359">
        <v>6</v>
      </c>
      <c r="C359">
        <v>6</v>
      </c>
      <c r="D359">
        <v>5410164682</v>
      </c>
    </row>
    <row r="360" spans="1:4" x14ac:dyDescent="0.3">
      <c r="A360">
        <v>20700000</v>
      </c>
      <c r="B360">
        <v>619</v>
      </c>
      <c r="C360">
        <v>42000000</v>
      </c>
      <c r="D360">
        <v>17963202261</v>
      </c>
    </row>
    <row r="361" spans="1:4" x14ac:dyDescent="0.3">
      <c r="A361">
        <v>20700000</v>
      </c>
      <c r="B361">
        <v>5062</v>
      </c>
      <c r="C361">
        <v>960600</v>
      </c>
      <c r="D361">
        <v>5091618606</v>
      </c>
    </row>
    <row r="362" spans="1:4" x14ac:dyDescent="0.3">
      <c r="A362">
        <v>20700000</v>
      </c>
      <c r="B362">
        <v>47926</v>
      </c>
      <c r="C362">
        <v>3500000</v>
      </c>
      <c r="D362">
        <v>12624879732</v>
      </c>
    </row>
    <row r="363" spans="1:4" x14ac:dyDescent="0.3">
      <c r="A363">
        <v>20700000</v>
      </c>
      <c r="B363">
        <v>889</v>
      </c>
      <c r="C363">
        <v>26500000</v>
      </c>
      <c r="D363">
        <v>8658941531</v>
      </c>
    </row>
    <row r="364" spans="1:4" x14ac:dyDescent="0.3">
      <c r="A364">
        <v>20600000</v>
      </c>
      <c r="B364">
        <v>15</v>
      </c>
      <c r="C364">
        <v>4</v>
      </c>
      <c r="D364">
        <v>4956090094</v>
      </c>
    </row>
    <row r="365" spans="1:4" x14ac:dyDescent="0.3">
      <c r="A365">
        <v>20600000</v>
      </c>
      <c r="B365">
        <v>83</v>
      </c>
      <c r="C365">
        <v>9300000</v>
      </c>
      <c r="D365">
        <v>7657171980</v>
      </c>
    </row>
    <row r="366" spans="1:4" x14ac:dyDescent="0.3">
      <c r="A366">
        <v>20600000</v>
      </c>
      <c r="B366">
        <v>156</v>
      </c>
      <c r="C366">
        <v>3900000</v>
      </c>
      <c r="D366">
        <v>10292874715</v>
      </c>
    </row>
    <row r="367" spans="1:4" x14ac:dyDescent="0.3">
      <c r="A367">
        <v>20500000</v>
      </c>
      <c r="B367">
        <v>296</v>
      </c>
      <c r="C367">
        <v>9400000</v>
      </c>
      <c r="D367">
        <v>11009148579</v>
      </c>
    </row>
    <row r="368" spans="1:4" x14ac:dyDescent="0.3">
      <c r="A368">
        <v>20500000</v>
      </c>
      <c r="B368">
        <v>33229</v>
      </c>
      <c r="C368">
        <v>7600000</v>
      </c>
      <c r="D368">
        <v>15038593883</v>
      </c>
    </row>
    <row r="369" spans="1:4" x14ac:dyDescent="0.3">
      <c r="A369">
        <v>20500000</v>
      </c>
      <c r="B369">
        <v>1323</v>
      </c>
      <c r="C369">
        <v>1300000</v>
      </c>
      <c r="D369">
        <v>8768697257</v>
      </c>
    </row>
    <row r="370" spans="1:4" x14ac:dyDescent="0.3">
      <c r="A370">
        <v>20400000</v>
      </c>
      <c r="B370">
        <v>239</v>
      </c>
      <c r="C370">
        <v>2000000</v>
      </c>
      <c r="D370">
        <v>3579555124</v>
      </c>
    </row>
    <row r="371" spans="1:4" x14ac:dyDescent="0.3">
      <c r="A371">
        <v>20400000</v>
      </c>
      <c r="B371">
        <v>51515</v>
      </c>
      <c r="C371">
        <v>43600000</v>
      </c>
      <c r="D371">
        <v>29406206620</v>
      </c>
    </row>
    <row r="372" spans="1:4" x14ac:dyDescent="0.3">
      <c r="A372">
        <v>20400000</v>
      </c>
      <c r="B372">
        <v>1006</v>
      </c>
      <c r="C372">
        <v>703000</v>
      </c>
      <c r="D372">
        <v>7311322368</v>
      </c>
    </row>
    <row r="373" spans="1:4" x14ac:dyDescent="0.3">
      <c r="A373">
        <v>20400000</v>
      </c>
      <c r="B373">
        <v>206</v>
      </c>
      <c r="C373">
        <v>1900000</v>
      </c>
      <c r="D373">
        <v>1796227417</v>
      </c>
    </row>
    <row r="374" spans="1:4" x14ac:dyDescent="0.3">
      <c r="A374">
        <v>20400000</v>
      </c>
      <c r="B374">
        <v>462</v>
      </c>
      <c r="C374">
        <v>1400000</v>
      </c>
      <c r="D374">
        <v>4707412332</v>
      </c>
    </row>
    <row r="375" spans="1:4" x14ac:dyDescent="0.3">
      <c r="A375">
        <v>20400000</v>
      </c>
      <c r="B375">
        <v>0</v>
      </c>
      <c r="C375">
        <v>0</v>
      </c>
      <c r="D375">
        <v>13397000296</v>
      </c>
    </row>
    <row r="376" spans="1:4" x14ac:dyDescent="0.3">
      <c r="A376">
        <v>20300000</v>
      </c>
      <c r="B376">
        <v>875</v>
      </c>
      <c r="C376">
        <v>5400000</v>
      </c>
      <c r="D376">
        <v>11819051552</v>
      </c>
    </row>
    <row r="377" spans="1:4" x14ac:dyDescent="0.3">
      <c r="A377">
        <v>20300000</v>
      </c>
      <c r="B377">
        <v>1245</v>
      </c>
      <c r="C377">
        <v>4100000</v>
      </c>
      <c r="D377">
        <v>2441288701</v>
      </c>
    </row>
    <row r="378" spans="1:4" x14ac:dyDescent="0.3">
      <c r="A378">
        <v>20200000</v>
      </c>
      <c r="B378">
        <v>0</v>
      </c>
      <c r="C378">
        <v>0</v>
      </c>
      <c r="D378">
        <v>7066711323</v>
      </c>
    </row>
    <row r="379" spans="1:4" x14ac:dyDescent="0.3">
      <c r="A379">
        <v>20200000</v>
      </c>
      <c r="B379">
        <v>226</v>
      </c>
      <c r="C379">
        <v>5400000</v>
      </c>
      <c r="D379">
        <v>7274150246</v>
      </c>
    </row>
    <row r="380" spans="1:4" x14ac:dyDescent="0.3">
      <c r="A380">
        <v>20200000</v>
      </c>
      <c r="B380">
        <v>761</v>
      </c>
      <c r="C380">
        <v>21700000</v>
      </c>
      <c r="D380">
        <v>19694265358</v>
      </c>
    </row>
    <row r="381" spans="1:4" x14ac:dyDescent="0.3">
      <c r="A381">
        <v>20200000</v>
      </c>
      <c r="B381">
        <v>3713</v>
      </c>
      <c r="C381">
        <v>3100000</v>
      </c>
      <c r="D381">
        <v>6098644584</v>
      </c>
    </row>
    <row r="382" spans="1:4" x14ac:dyDescent="0.3">
      <c r="A382">
        <v>20200000</v>
      </c>
      <c r="B382">
        <v>460</v>
      </c>
      <c r="C382">
        <v>12700000</v>
      </c>
      <c r="D382">
        <v>2951914200</v>
      </c>
    </row>
    <row r="383" spans="1:4" x14ac:dyDescent="0.3">
      <c r="A383">
        <v>20200000</v>
      </c>
      <c r="B383">
        <v>693</v>
      </c>
      <c r="C383">
        <v>746700</v>
      </c>
      <c r="D383">
        <v>2764127969</v>
      </c>
    </row>
    <row r="384" spans="1:4" x14ac:dyDescent="0.3">
      <c r="A384">
        <v>20200000</v>
      </c>
      <c r="B384">
        <v>1935</v>
      </c>
      <c r="C384">
        <v>59800000</v>
      </c>
      <c r="D384">
        <v>20919403720</v>
      </c>
    </row>
    <row r="385" spans="1:4" x14ac:dyDescent="0.3">
      <c r="A385">
        <v>20100000</v>
      </c>
      <c r="B385">
        <v>0</v>
      </c>
      <c r="C385">
        <v>0</v>
      </c>
      <c r="D385">
        <v>10366850490</v>
      </c>
    </row>
    <row r="386" spans="1:4" x14ac:dyDescent="0.3">
      <c r="A386">
        <v>20100000</v>
      </c>
      <c r="B386">
        <v>5491</v>
      </c>
      <c r="C386">
        <v>5100000</v>
      </c>
      <c r="D386">
        <v>6119294270</v>
      </c>
    </row>
    <row r="387" spans="1:4" x14ac:dyDescent="0.3">
      <c r="A387">
        <v>20100000</v>
      </c>
      <c r="B387">
        <v>3774</v>
      </c>
      <c r="C387">
        <v>10600000</v>
      </c>
      <c r="D387">
        <v>23353115850</v>
      </c>
    </row>
    <row r="388" spans="1:4" x14ac:dyDescent="0.3">
      <c r="A388">
        <v>20100000</v>
      </c>
      <c r="B388">
        <v>2384</v>
      </c>
      <c r="C388">
        <v>13300000</v>
      </c>
      <c r="D388">
        <v>14816075927</v>
      </c>
    </row>
    <row r="389" spans="1:4" x14ac:dyDescent="0.3">
      <c r="A389">
        <v>20100000</v>
      </c>
      <c r="B389">
        <v>7737</v>
      </c>
      <c r="C389">
        <v>437400</v>
      </c>
      <c r="D389">
        <v>17913237851</v>
      </c>
    </row>
    <row r="390" spans="1:4" x14ac:dyDescent="0.3">
      <c r="A390">
        <v>20100000</v>
      </c>
      <c r="B390">
        <v>1</v>
      </c>
      <c r="C390">
        <v>3</v>
      </c>
      <c r="D390">
        <v>5634695322</v>
      </c>
    </row>
    <row r="391" spans="1:4" x14ac:dyDescent="0.3">
      <c r="A391">
        <v>20100000</v>
      </c>
      <c r="B391">
        <v>241</v>
      </c>
      <c r="C391">
        <v>1200000</v>
      </c>
      <c r="D391">
        <v>6618524158</v>
      </c>
    </row>
    <row r="392" spans="1:4" x14ac:dyDescent="0.3">
      <c r="A392">
        <v>20100000</v>
      </c>
      <c r="B392">
        <v>1481</v>
      </c>
      <c r="C392">
        <v>713400</v>
      </c>
      <c r="D392">
        <v>11317309935</v>
      </c>
    </row>
    <row r="393" spans="1:4" x14ac:dyDescent="0.3">
      <c r="A393">
        <v>20100000</v>
      </c>
      <c r="B393">
        <v>4974</v>
      </c>
      <c r="C393">
        <v>260200</v>
      </c>
      <c r="D393">
        <v>8920141342</v>
      </c>
    </row>
    <row r="394" spans="1:4" x14ac:dyDescent="0.3">
      <c r="A394">
        <v>20000000</v>
      </c>
      <c r="B394">
        <v>1476</v>
      </c>
      <c r="C394">
        <v>0</v>
      </c>
      <c r="D394">
        <v>9715291883</v>
      </c>
    </row>
    <row r="395" spans="1:4" x14ac:dyDescent="0.3">
      <c r="A395">
        <v>20000000</v>
      </c>
      <c r="B395">
        <v>4339</v>
      </c>
      <c r="C395">
        <v>1100000</v>
      </c>
      <c r="D395">
        <v>13154314376</v>
      </c>
    </row>
    <row r="396" spans="1:4" x14ac:dyDescent="0.3">
      <c r="A396">
        <v>20000000</v>
      </c>
      <c r="B396">
        <v>1527</v>
      </c>
      <c r="C396">
        <v>63900</v>
      </c>
      <c r="D396">
        <v>559765455</v>
      </c>
    </row>
    <row r="397" spans="1:4" x14ac:dyDescent="0.3">
      <c r="A397">
        <v>20000000</v>
      </c>
      <c r="B397">
        <v>1527</v>
      </c>
      <c r="C397">
        <v>1900000</v>
      </c>
      <c r="D397">
        <v>3875172235</v>
      </c>
    </row>
    <row r="398" spans="1:4" x14ac:dyDescent="0.3">
      <c r="A398">
        <v>20000000</v>
      </c>
      <c r="B398">
        <v>1</v>
      </c>
      <c r="C398">
        <v>0</v>
      </c>
      <c r="D398">
        <v>6033295543</v>
      </c>
    </row>
    <row r="399" spans="1:4" x14ac:dyDescent="0.3">
      <c r="A399">
        <v>19900000</v>
      </c>
      <c r="B399">
        <v>416</v>
      </c>
      <c r="C399">
        <v>10300000</v>
      </c>
      <c r="D399">
        <v>13917423958</v>
      </c>
    </row>
    <row r="400" spans="1:4" x14ac:dyDescent="0.3">
      <c r="A400">
        <v>19800000</v>
      </c>
      <c r="B400">
        <v>760</v>
      </c>
      <c r="C400">
        <v>294600</v>
      </c>
      <c r="D400">
        <v>5759442450</v>
      </c>
    </row>
    <row r="401" spans="1:4" x14ac:dyDescent="0.3">
      <c r="A401">
        <v>19800000</v>
      </c>
      <c r="B401">
        <v>9930</v>
      </c>
      <c r="C401">
        <v>779</v>
      </c>
      <c r="D401">
        <v>12293479945</v>
      </c>
    </row>
    <row r="402" spans="1:4" x14ac:dyDescent="0.3">
      <c r="A402">
        <v>19800000</v>
      </c>
      <c r="B402">
        <v>1411</v>
      </c>
      <c r="C402">
        <v>271200</v>
      </c>
      <c r="D402">
        <v>3234880084</v>
      </c>
    </row>
    <row r="403" spans="1:4" x14ac:dyDescent="0.3">
      <c r="A403">
        <v>19700000</v>
      </c>
      <c r="B403">
        <v>2912</v>
      </c>
      <c r="C403">
        <v>1400000</v>
      </c>
      <c r="D403">
        <v>7452667615</v>
      </c>
    </row>
    <row r="404" spans="1:4" x14ac:dyDescent="0.3">
      <c r="A404">
        <v>19700000</v>
      </c>
      <c r="B404">
        <v>1</v>
      </c>
      <c r="C404">
        <v>0</v>
      </c>
      <c r="D404">
        <v>10955619815</v>
      </c>
    </row>
    <row r="405" spans="1:4" x14ac:dyDescent="0.3">
      <c r="A405">
        <v>19700000</v>
      </c>
      <c r="B405">
        <v>250</v>
      </c>
      <c r="C405">
        <v>180900</v>
      </c>
      <c r="D405">
        <v>1803249241</v>
      </c>
    </row>
    <row r="406" spans="1:4" x14ac:dyDescent="0.3">
      <c r="A406">
        <v>19700000</v>
      </c>
      <c r="B406">
        <v>4225</v>
      </c>
      <c r="C406">
        <v>2600000</v>
      </c>
      <c r="D406">
        <v>11323617496</v>
      </c>
    </row>
    <row r="407" spans="1:4" x14ac:dyDescent="0.3">
      <c r="A407">
        <v>19700000</v>
      </c>
      <c r="B407">
        <v>267</v>
      </c>
      <c r="C407">
        <v>16</v>
      </c>
      <c r="D407">
        <v>9808676159</v>
      </c>
    </row>
    <row r="408" spans="1:4" x14ac:dyDescent="0.3">
      <c r="A408">
        <v>19600000</v>
      </c>
      <c r="B408">
        <v>214</v>
      </c>
      <c r="C408">
        <v>110600000</v>
      </c>
      <c r="D408">
        <v>7906181776</v>
      </c>
    </row>
    <row r="409" spans="1:4" x14ac:dyDescent="0.3">
      <c r="A409">
        <v>19600000</v>
      </c>
      <c r="B409">
        <v>18661</v>
      </c>
      <c r="C409">
        <v>13200000</v>
      </c>
      <c r="D409">
        <v>13930021471</v>
      </c>
    </row>
    <row r="410" spans="1:4" x14ac:dyDescent="0.3">
      <c r="A410">
        <v>19600000</v>
      </c>
      <c r="B410">
        <v>674</v>
      </c>
      <c r="C410">
        <v>1100000</v>
      </c>
      <c r="D410">
        <v>3961318438</v>
      </c>
    </row>
    <row r="411" spans="1:4" x14ac:dyDescent="0.3">
      <c r="A411">
        <v>19600000</v>
      </c>
      <c r="B411">
        <v>17</v>
      </c>
      <c r="C411">
        <v>1</v>
      </c>
      <c r="D411">
        <v>2851024430</v>
      </c>
    </row>
    <row r="412" spans="1:4" x14ac:dyDescent="0.3">
      <c r="A412">
        <v>19600000</v>
      </c>
      <c r="B412">
        <v>1306</v>
      </c>
      <c r="C412">
        <v>5300000</v>
      </c>
      <c r="D412">
        <v>8779729549</v>
      </c>
    </row>
    <row r="413" spans="1:4" x14ac:dyDescent="0.3">
      <c r="A413">
        <v>19500000</v>
      </c>
      <c r="B413">
        <v>847</v>
      </c>
      <c r="C413">
        <v>0</v>
      </c>
      <c r="D413">
        <v>5234251168</v>
      </c>
    </row>
    <row r="414" spans="1:4" x14ac:dyDescent="0.3">
      <c r="A414">
        <v>19400000</v>
      </c>
      <c r="B414">
        <v>4750</v>
      </c>
      <c r="C414">
        <v>1500000</v>
      </c>
      <c r="D414">
        <v>2255542592</v>
      </c>
    </row>
    <row r="415" spans="1:4" x14ac:dyDescent="0.3">
      <c r="A415">
        <v>19400000</v>
      </c>
      <c r="B415">
        <v>125974</v>
      </c>
      <c r="C415">
        <v>13100000</v>
      </c>
      <c r="D415">
        <v>23038014291</v>
      </c>
    </row>
    <row r="416" spans="1:4" x14ac:dyDescent="0.3">
      <c r="A416">
        <v>19400000</v>
      </c>
      <c r="B416">
        <v>85</v>
      </c>
      <c r="C416">
        <v>114300</v>
      </c>
      <c r="D416">
        <v>1577859332</v>
      </c>
    </row>
    <row r="417" spans="1:4" x14ac:dyDescent="0.3">
      <c r="A417">
        <v>19400000</v>
      </c>
      <c r="B417">
        <v>10728</v>
      </c>
      <c r="C417">
        <v>2800000</v>
      </c>
      <c r="D417">
        <v>5529131886</v>
      </c>
    </row>
    <row r="418" spans="1:4" x14ac:dyDescent="0.3">
      <c r="A418">
        <v>19300000</v>
      </c>
      <c r="B418">
        <v>2175</v>
      </c>
      <c r="C418">
        <v>802500</v>
      </c>
      <c r="D418">
        <v>4508184467</v>
      </c>
    </row>
    <row r="419" spans="1:4" x14ac:dyDescent="0.3">
      <c r="A419">
        <v>19300000</v>
      </c>
      <c r="B419">
        <v>462</v>
      </c>
      <c r="C419">
        <v>3300000</v>
      </c>
      <c r="D419">
        <v>2897907132</v>
      </c>
    </row>
    <row r="420" spans="1:4" x14ac:dyDescent="0.3">
      <c r="A420">
        <v>19300000</v>
      </c>
      <c r="B420">
        <v>335</v>
      </c>
      <c r="C420">
        <v>1800000</v>
      </c>
      <c r="D420">
        <v>264228052</v>
      </c>
    </row>
    <row r="421" spans="1:4" x14ac:dyDescent="0.3">
      <c r="A421">
        <v>19200000</v>
      </c>
      <c r="B421">
        <v>8285</v>
      </c>
      <c r="C421">
        <v>1400000</v>
      </c>
      <c r="D421">
        <v>7590582024</v>
      </c>
    </row>
    <row r="422" spans="1:4" x14ac:dyDescent="0.3">
      <c r="A422">
        <v>19200000</v>
      </c>
      <c r="B422">
        <v>570</v>
      </c>
      <c r="C422">
        <v>131100</v>
      </c>
      <c r="D422">
        <v>4329121104</v>
      </c>
    </row>
    <row r="423" spans="1:4" x14ac:dyDescent="0.3">
      <c r="A423">
        <v>19100000</v>
      </c>
      <c r="B423">
        <v>37</v>
      </c>
      <c r="C423">
        <v>2200000</v>
      </c>
      <c r="D423">
        <v>6339584661</v>
      </c>
    </row>
    <row r="424" spans="1:4" x14ac:dyDescent="0.3">
      <c r="A424">
        <v>19100000</v>
      </c>
      <c r="B424">
        <v>2948</v>
      </c>
      <c r="C424">
        <v>3200000</v>
      </c>
      <c r="D424">
        <v>5194942269</v>
      </c>
    </row>
    <row r="425" spans="1:4" x14ac:dyDescent="0.3">
      <c r="A425">
        <v>19100000</v>
      </c>
      <c r="B425">
        <v>139</v>
      </c>
      <c r="C425">
        <v>1500000</v>
      </c>
      <c r="D425">
        <v>4566120190</v>
      </c>
    </row>
    <row r="426" spans="1:4" x14ac:dyDescent="0.3">
      <c r="A426">
        <v>19100000</v>
      </c>
      <c r="B426">
        <v>6526</v>
      </c>
      <c r="C426">
        <v>827600</v>
      </c>
      <c r="D426">
        <v>13124645973</v>
      </c>
    </row>
    <row r="427" spans="1:4" x14ac:dyDescent="0.3">
      <c r="A427">
        <v>19000000</v>
      </c>
      <c r="B427">
        <v>1525</v>
      </c>
      <c r="C427">
        <v>5100000</v>
      </c>
      <c r="D427">
        <v>8281724393</v>
      </c>
    </row>
    <row r="428" spans="1:4" x14ac:dyDescent="0.3">
      <c r="A428">
        <v>19000000</v>
      </c>
      <c r="B428">
        <v>1154</v>
      </c>
      <c r="C428">
        <v>3700000</v>
      </c>
      <c r="D428">
        <v>13824277846</v>
      </c>
    </row>
    <row r="429" spans="1:4" x14ac:dyDescent="0.3">
      <c r="A429">
        <v>19000000</v>
      </c>
      <c r="B429">
        <v>903</v>
      </c>
      <c r="C429">
        <v>5900000</v>
      </c>
      <c r="D429">
        <v>7229175322</v>
      </c>
    </row>
    <row r="430" spans="1:4" x14ac:dyDescent="0.3">
      <c r="A430">
        <v>19000000</v>
      </c>
      <c r="B430">
        <v>79</v>
      </c>
      <c r="C430">
        <v>4900000</v>
      </c>
      <c r="D430">
        <v>16014044618</v>
      </c>
    </row>
    <row r="431" spans="1:4" x14ac:dyDescent="0.3">
      <c r="A431">
        <v>19000000</v>
      </c>
      <c r="B431">
        <v>64496</v>
      </c>
      <c r="C431">
        <v>5200000</v>
      </c>
      <c r="D431">
        <v>15126092508</v>
      </c>
    </row>
    <row r="432" spans="1:4" x14ac:dyDescent="0.3">
      <c r="A432">
        <v>18900000</v>
      </c>
      <c r="B432">
        <v>0</v>
      </c>
      <c r="C432">
        <v>0</v>
      </c>
      <c r="D432">
        <v>8301731337</v>
      </c>
    </row>
    <row r="433" spans="1:4" x14ac:dyDescent="0.3">
      <c r="A433">
        <v>18900000</v>
      </c>
      <c r="B433">
        <v>375</v>
      </c>
      <c r="C433">
        <v>1200000</v>
      </c>
      <c r="D433">
        <v>2855519150</v>
      </c>
    </row>
    <row r="434" spans="1:4" x14ac:dyDescent="0.3">
      <c r="A434">
        <v>18900000</v>
      </c>
      <c r="B434">
        <v>719</v>
      </c>
      <c r="C434">
        <v>6700000</v>
      </c>
      <c r="D434">
        <v>9813245108</v>
      </c>
    </row>
    <row r="435" spans="1:4" x14ac:dyDescent="0.3">
      <c r="A435">
        <v>18800000</v>
      </c>
      <c r="B435">
        <v>2</v>
      </c>
      <c r="C435">
        <v>0</v>
      </c>
      <c r="D435">
        <v>7762077012</v>
      </c>
    </row>
    <row r="436" spans="1:4" x14ac:dyDescent="0.3">
      <c r="A436">
        <v>18800000</v>
      </c>
      <c r="B436">
        <v>9</v>
      </c>
      <c r="C436">
        <v>0.34</v>
      </c>
      <c r="D436">
        <v>7634430188</v>
      </c>
    </row>
    <row r="437" spans="1:4" x14ac:dyDescent="0.3">
      <c r="A437">
        <v>18800000</v>
      </c>
      <c r="B437">
        <v>304</v>
      </c>
      <c r="C437">
        <v>5200000</v>
      </c>
      <c r="D437">
        <v>3276891538</v>
      </c>
    </row>
    <row r="438" spans="1:4" x14ac:dyDescent="0.3">
      <c r="A438">
        <v>18800000</v>
      </c>
      <c r="B438">
        <v>2072</v>
      </c>
      <c r="C438">
        <v>1400000</v>
      </c>
      <c r="D438">
        <v>3654621568</v>
      </c>
    </row>
    <row r="439" spans="1:4" x14ac:dyDescent="0.3">
      <c r="A439">
        <v>18800000</v>
      </c>
      <c r="B439">
        <v>217</v>
      </c>
      <c r="C439">
        <v>4700000</v>
      </c>
      <c r="D439">
        <v>9573641299</v>
      </c>
    </row>
    <row r="440" spans="1:4" x14ac:dyDescent="0.3">
      <c r="A440">
        <v>18800000</v>
      </c>
      <c r="B440">
        <v>312</v>
      </c>
      <c r="C440">
        <v>3800000</v>
      </c>
      <c r="D440">
        <v>5257834105</v>
      </c>
    </row>
    <row r="441" spans="1:4" x14ac:dyDescent="0.3">
      <c r="A441">
        <v>18700000</v>
      </c>
      <c r="B441">
        <v>2</v>
      </c>
      <c r="C441">
        <v>0.05</v>
      </c>
      <c r="D441">
        <v>6148303268</v>
      </c>
    </row>
    <row r="442" spans="1:4" x14ac:dyDescent="0.3">
      <c r="A442">
        <v>18700000</v>
      </c>
      <c r="B442">
        <v>16</v>
      </c>
      <c r="C442">
        <v>5</v>
      </c>
      <c r="D442">
        <v>12295637162</v>
      </c>
    </row>
    <row r="443" spans="1:4" x14ac:dyDescent="0.3">
      <c r="A443">
        <v>18600000</v>
      </c>
      <c r="B443">
        <v>4487</v>
      </c>
      <c r="C443">
        <v>4900000</v>
      </c>
      <c r="D443">
        <v>6047584292</v>
      </c>
    </row>
    <row r="444" spans="1:4" x14ac:dyDescent="0.3">
      <c r="A444">
        <v>18600000</v>
      </c>
      <c r="B444">
        <v>457</v>
      </c>
      <c r="C444">
        <v>2100000</v>
      </c>
      <c r="D444">
        <v>7008250496</v>
      </c>
    </row>
    <row r="445" spans="1:4" x14ac:dyDescent="0.3">
      <c r="A445">
        <v>18600000</v>
      </c>
      <c r="B445">
        <v>6287</v>
      </c>
      <c r="C445">
        <v>8100000</v>
      </c>
      <c r="D445">
        <v>20196704276</v>
      </c>
    </row>
    <row r="446" spans="1:4" x14ac:dyDescent="0.3">
      <c r="A446">
        <v>18500000</v>
      </c>
      <c r="B446">
        <v>712</v>
      </c>
      <c r="C446">
        <v>136100</v>
      </c>
      <c r="D446">
        <v>4558380251</v>
      </c>
    </row>
    <row r="447" spans="1:4" x14ac:dyDescent="0.3">
      <c r="A447">
        <v>18500000</v>
      </c>
      <c r="B447">
        <v>679</v>
      </c>
      <c r="C447">
        <v>9500000</v>
      </c>
      <c r="D447">
        <v>4051072188</v>
      </c>
    </row>
    <row r="448" spans="1:4" x14ac:dyDescent="0.3">
      <c r="A448">
        <v>18500000</v>
      </c>
      <c r="B448">
        <v>1329</v>
      </c>
      <c r="C448">
        <v>0</v>
      </c>
      <c r="D448">
        <v>2908120896</v>
      </c>
    </row>
    <row r="449" spans="1:4" x14ac:dyDescent="0.3">
      <c r="A449">
        <v>18500000</v>
      </c>
      <c r="B449">
        <v>493</v>
      </c>
      <c r="C449">
        <v>2300000</v>
      </c>
      <c r="D449">
        <v>8147575884</v>
      </c>
    </row>
    <row r="450" spans="1:4" x14ac:dyDescent="0.3">
      <c r="A450">
        <v>18500000</v>
      </c>
      <c r="B450">
        <v>374</v>
      </c>
      <c r="C450">
        <v>1800000</v>
      </c>
      <c r="D450">
        <v>3457618361</v>
      </c>
    </row>
    <row r="451" spans="1:4" x14ac:dyDescent="0.3">
      <c r="A451">
        <v>18400000</v>
      </c>
      <c r="B451">
        <v>0</v>
      </c>
      <c r="C451">
        <v>0</v>
      </c>
      <c r="D451">
        <v>11280732382</v>
      </c>
    </row>
    <row r="452" spans="1:4" x14ac:dyDescent="0.3">
      <c r="A452">
        <v>18400000</v>
      </c>
      <c r="B452">
        <v>197</v>
      </c>
      <c r="C452">
        <v>12800000</v>
      </c>
      <c r="D452">
        <v>25367126292</v>
      </c>
    </row>
    <row r="453" spans="1:4" x14ac:dyDescent="0.3">
      <c r="A453">
        <v>18400000</v>
      </c>
      <c r="B453">
        <v>111</v>
      </c>
      <c r="C453">
        <v>692600</v>
      </c>
      <c r="D453">
        <v>4120324310</v>
      </c>
    </row>
    <row r="454" spans="1:4" x14ac:dyDescent="0.3">
      <c r="A454">
        <v>18400000</v>
      </c>
      <c r="B454">
        <v>3159</v>
      </c>
      <c r="C454">
        <v>2600000</v>
      </c>
      <c r="D454">
        <v>11544297793</v>
      </c>
    </row>
    <row r="455" spans="1:4" x14ac:dyDescent="0.3">
      <c r="A455">
        <v>18400000</v>
      </c>
      <c r="B455">
        <v>6943</v>
      </c>
      <c r="C455">
        <v>528200</v>
      </c>
      <c r="D455">
        <v>7038827526</v>
      </c>
    </row>
    <row r="456" spans="1:4" x14ac:dyDescent="0.3">
      <c r="A456">
        <v>18300000</v>
      </c>
      <c r="B456">
        <v>1324</v>
      </c>
      <c r="C456">
        <v>6700000</v>
      </c>
      <c r="D456">
        <v>1556003039</v>
      </c>
    </row>
    <row r="457" spans="1:4" x14ac:dyDescent="0.3">
      <c r="A457">
        <v>18300000</v>
      </c>
      <c r="B457">
        <v>142</v>
      </c>
      <c r="C457">
        <v>6100000</v>
      </c>
      <c r="D457">
        <v>7760819588</v>
      </c>
    </row>
    <row r="458" spans="1:4" x14ac:dyDescent="0.3">
      <c r="A458">
        <v>18300000</v>
      </c>
      <c r="B458">
        <v>786</v>
      </c>
      <c r="C458">
        <v>819000</v>
      </c>
      <c r="D458">
        <v>1606834186</v>
      </c>
    </row>
    <row r="459" spans="1:4" x14ac:dyDescent="0.3">
      <c r="A459">
        <v>18200000</v>
      </c>
      <c r="B459">
        <v>442</v>
      </c>
      <c r="C459">
        <v>22500000</v>
      </c>
      <c r="D459">
        <v>9937823152</v>
      </c>
    </row>
    <row r="460" spans="1:4" x14ac:dyDescent="0.3">
      <c r="A460">
        <v>18200000</v>
      </c>
      <c r="B460">
        <v>6903</v>
      </c>
      <c r="C460">
        <v>866200</v>
      </c>
      <c r="D460">
        <v>3213324455</v>
      </c>
    </row>
    <row r="461" spans="1:4" x14ac:dyDescent="0.3">
      <c r="A461">
        <v>18100000</v>
      </c>
      <c r="B461">
        <v>0</v>
      </c>
      <c r="C461">
        <v>0</v>
      </c>
      <c r="D461">
        <v>12249828886</v>
      </c>
    </row>
    <row r="462" spans="1:4" x14ac:dyDescent="0.3">
      <c r="A462">
        <v>18100000</v>
      </c>
      <c r="B462">
        <v>707</v>
      </c>
      <c r="C462">
        <v>8700000</v>
      </c>
      <c r="D462">
        <v>14857290259</v>
      </c>
    </row>
    <row r="463" spans="1:4" x14ac:dyDescent="0.3">
      <c r="A463">
        <v>18100000</v>
      </c>
      <c r="B463">
        <v>420</v>
      </c>
      <c r="C463">
        <v>23900000</v>
      </c>
      <c r="D463">
        <v>13378360425</v>
      </c>
    </row>
    <row r="464" spans="1:4" x14ac:dyDescent="0.3">
      <c r="A464">
        <v>18100000</v>
      </c>
      <c r="B464">
        <v>1037</v>
      </c>
      <c r="C464">
        <v>1300000</v>
      </c>
      <c r="D464">
        <v>3306242674</v>
      </c>
    </row>
    <row r="465" spans="1:4" x14ac:dyDescent="0.3">
      <c r="A465">
        <v>18100000</v>
      </c>
      <c r="B465">
        <v>1521</v>
      </c>
      <c r="C465">
        <v>2300000</v>
      </c>
      <c r="D465">
        <v>9983065083</v>
      </c>
    </row>
    <row r="466" spans="1:4" x14ac:dyDescent="0.3">
      <c r="A466">
        <v>18100000</v>
      </c>
      <c r="B466">
        <v>131</v>
      </c>
      <c r="C466">
        <v>3100000</v>
      </c>
      <c r="D466">
        <v>10703830496</v>
      </c>
    </row>
    <row r="467" spans="1:4" x14ac:dyDescent="0.3">
      <c r="A467">
        <v>18000000</v>
      </c>
      <c r="B467">
        <v>748</v>
      </c>
      <c r="C467">
        <v>66000000</v>
      </c>
      <c r="D467">
        <v>8716982055</v>
      </c>
    </row>
    <row r="468" spans="1:4" x14ac:dyDescent="0.3">
      <c r="A468">
        <v>18000000</v>
      </c>
      <c r="B468">
        <v>5692</v>
      </c>
      <c r="C468">
        <v>12400000</v>
      </c>
      <c r="D468">
        <v>17921124985</v>
      </c>
    </row>
    <row r="469" spans="1:4" x14ac:dyDescent="0.3">
      <c r="A469">
        <v>18000000</v>
      </c>
      <c r="B469">
        <v>237</v>
      </c>
      <c r="C469">
        <v>5300000</v>
      </c>
      <c r="D469">
        <v>10463166404</v>
      </c>
    </row>
    <row r="470" spans="1:4" x14ac:dyDescent="0.3">
      <c r="A470">
        <v>18000000</v>
      </c>
      <c r="B470">
        <v>45</v>
      </c>
      <c r="C470">
        <v>0.19</v>
      </c>
      <c r="D470">
        <v>15412333005</v>
      </c>
    </row>
    <row r="471" spans="1:4" x14ac:dyDescent="0.3">
      <c r="A471">
        <v>18000000</v>
      </c>
      <c r="B471">
        <v>2470</v>
      </c>
      <c r="C471">
        <v>2600000</v>
      </c>
      <c r="D471">
        <v>3980991248</v>
      </c>
    </row>
    <row r="472" spans="1:4" x14ac:dyDescent="0.3">
      <c r="A472">
        <v>18000000</v>
      </c>
      <c r="B472">
        <v>3566</v>
      </c>
      <c r="C472">
        <v>2100000</v>
      </c>
      <c r="D472">
        <v>6404852037</v>
      </c>
    </row>
    <row r="473" spans="1:4" x14ac:dyDescent="0.3">
      <c r="A473">
        <v>18000000</v>
      </c>
      <c r="B473">
        <v>650</v>
      </c>
      <c r="C473">
        <v>18800000</v>
      </c>
      <c r="D473">
        <v>9601137077</v>
      </c>
    </row>
    <row r="474" spans="1:4" x14ac:dyDescent="0.3">
      <c r="A474">
        <v>17900000</v>
      </c>
      <c r="B474">
        <v>2</v>
      </c>
      <c r="C474">
        <v>0.19</v>
      </c>
      <c r="D474">
        <v>6746269458</v>
      </c>
    </row>
    <row r="475" spans="1:4" x14ac:dyDescent="0.3">
      <c r="A475">
        <v>17900000</v>
      </c>
      <c r="B475">
        <v>185</v>
      </c>
      <c r="C475">
        <v>890300</v>
      </c>
      <c r="D475">
        <v>5244917119</v>
      </c>
    </row>
    <row r="476" spans="1:4" x14ac:dyDescent="0.3">
      <c r="A476">
        <v>17900000</v>
      </c>
      <c r="B476">
        <v>982</v>
      </c>
      <c r="C476">
        <v>2500000</v>
      </c>
      <c r="D476">
        <v>3841205465</v>
      </c>
    </row>
    <row r="477" spans="1:4" x14ac:dyDescent="0.3">
      <c r="A477">
        <v>17900000</v>
      </c>
      <c r="B477">
        <v>536</v>
      </c>
      <c r="C477">
        <v>415200</v>
      </c>
      <c r="D477">
        <v>7176572299</v>
      </c>
    </row>
    <row r="478" spans="1:4" x14ac:dyDescent="0.3">
      <c r="A478">
        <v>17900000</v>
      </c>
      <c r="B478">
        <v>1426</v>
      </c>
      <c r="C478">
        <v>4900000</v>
      </c>
      <c r="D478">
        <v>16174530046</v>
      </c>
    </row>
    <row r="479" spans="1:4" x14ac:dyDescent="0.3">
      <c r="A479">
        <v>17900000</v>
      </c>
      <c r="B479">
        <v>830</v>
      </c>
      <c r="C479">
        <v>21500000</v>
      </c>
      <c r="D479">
        <v>9887116267</v>
      </c>
    </row>
    <row r="480" spans="1:4" x14ac:dyDescent="0.3">
      <c r="A480">
        <v>17900000</v>
      </c>
      <c r="B480">
        <v>314</v>
      </c>
      <c r="C480">
        <v>1400000</v>
      </c>
      <c r="D480">
        <v>6888074944</v>
      </c>
    </row>
    <row r="481" spans="1:4" x14ac:dyDescent="0.3">
      <c r="A481">
        <v>17900000</v>
      </c>
      <c r="B481">
        <v>602</v>
      </c>
      <c r="C481">
        <v>4100000</v>
      </c>
      <c r="D481">
        <v>9867515979</v>
      </c>
    </row>
    <row r="482" spans="1:4" x14ac:dyDescent="0.3">
      <c r="A482">
        <v>17900000</v>
      </c>
      <c r="B482">
        <v>1344</v>
      </c>
      <c r="C482">
        <v>1300000</v>
      </c>
      <c r="D482">
        <v>5168721499</v>
      </c>
    </row>
    <row r="483" spans="1:4" x14ac:dyDescent="0.3">
      <c r="A483">
        <v>17800000</v>
      </c>
      <c r="B483">
        <v>772</v>
      </c>
      <c r="C483">
        <v>20700000</v>
      </c>
      <c r="D483">
        <v>11057945183</v>
      </c>
    </row>
    <row r="484" spans="1:4" x14ac:dyDescent="0.3">
      <c r="A484">
        <v>17800000</v>
      </c>
      <c r="B484">
        <v>26</v>
      </c>
      <c r="C484">
        <v>994</v>
      </c>
      <c r="D484">
        <v>8588704539</v>
      </c>
    </row>
    <row r="485" spans="1:4" x14ac:dyDescent="0.3">
      <c r="A485">
        <v>17700000</v>
      </c>
      <c r="B485">
        <v>60</v>
      </c>
      <c r="C485">
        <v>0</v>
      </c>
      <c r="D485">
        <v>4196061192</v>
      </c>
    </row>
    <row r="486" spans="1:4" x14ac:dyDescent="0.3">
      <c r="A486">
        <v>17700000</v>
      </c>
      <c r="B486">
        <v>512</v>
      </c>
      <c r="C486">
        <v>16600000</v>
      </c>
      <c r="D486">
        <v>7912733203</v>
      </c>
    </row>
    <row r="487" spans="1:4" x14ac:dyDescent="0.3">
      <c r="A487">
        <v>17700000</v>
      </c>
      <c r="B487">
        <v>178</v>
      </c>
      <c r="C487">
        <v>4700000</v>
      </c>
      <c r="D487">
        <v>20115544708</v>
      </c>
    </row>
    <row r="488" spans="1:4" x14ac:dyDescent="0.3">
      <c r="A488">
        <v>17700000</v>
      </c>
      <c r="B488">
        <v>739</v>
      </c>
      <c r="C488">
        <v>2300000</v>
      </c>
      <c r="D488">
        <v>3647267655</v>
      </c>
    </row>
    <row r="489" spans="1:4" x14ac:dyDescent="0.3">
      <c r="A489">
        <v>17700000</v>
      </c>
      <c r="B489">
        <v>2240</v>
      </c>
      <c r="C489">
        <v>1700000</v>
      </c>
      <c r="D489">
        <v>7739048000</v>
      </c>
    </row>
    <row r="490" spans="1:4" x14ac:dyDescent="0.3">
      <c r="A490">
        <v>17700000</v>
      </c>
      <c r="B490">
        <v>1888</v>
      </c>
      <c r="C490">
        <v>0</v>
      </c>
      <c r="D490">
        <v>7387621644</v>
      </c>
    </row>
    <row r="491" spans="1:4" x14ac:dyDescent="0.3">
      <c r="A491">
        <v>17700000</v>
      </c>
      <c r="B491">
        <v>1316</v>
      </c>
      <c r="C491">
        <v>30700000</v>
      </c>
      <c r="D491">
        <v>17247584185</v>
      </c>
    </row>
    <row r="492" spans="1:4" x14ac:dyDescent="0.3">
      <c r="A492">
        <v>17700000</v>
      </c>
      <c r="B492">
        <v>211620</v>
      </c>
      <c r="C492">
        <v>17800000</v>
      </c>
      <c r="D492">
        <v>8396875537</v>
      </c>
    </row>
    <row r="493" spans="1:4" x14ac:dyDescent="0.3">
      <c r="A493">
        <v>17700000</v>
      </c>
      <c r="B493">
        <v>1716</v>
      </c>
      <c r="C493">
        <v>5700000</v>
      </c>
      <c r="D493">
        <v>9059696049</v>
      </c>
    </row>
    <row r="494" spans="1:4" x14ac:dyDescent="0.3">
      <c r="A494">
        <v>17600000</v>
      </c>
      <c r="B494">
        <v>233</v>
      </c>
      <c r="C494">
        <v>1300000</v>
      </c>
      <c r="D494">
        <v>2274007523</v>
      </c>
    </row>
    <row r="495" spans="1:4" x14ac:dyDescent="0.3">
      <c r="A495">
        <v>17600000</v>
      </c>
      <c r="B495">
        <v>3151</v>
      </c>
      <c r="C495">
        <v>2600000</v>
      </c>
      <c r="D495">
        <v>9269174070</v>
      </c>
    </row>
    <row r="496" spans="1:4" x14ac:dyDescent="0.3">
      <c r="A496">
        <v>17600000</v>
      </c>
      <c r="B496">
        <v>326</v>
      </c>
      <c r="C496">
        <v>532700</v>
      </c>
      <c r="D496">
        <v>3802280098</v>
      </c>
    </row>
    <row r="497" spans="1:4" x14ac:dyDescent="0.3">
      <c r="A497">
        <v>17600000</v>
      </c>
      <c r="B497">
        <v>4702</v>
      </c>
      <c r="C497">
        <v>4800000</v>
      </c>
      <c r="D497">
        <v>6306204566</v>
      </c>
    </row>
    <row r="498" spans="1:4" x14ac:dyDescent="0.3">
      <c r="A498">
        <v>17500000</v>
      </c>
      <c r="B498">
        <v>149</v>
      </c>
      <c r="C498">
        <v>5300000</v>
      </c>
      <c r="D498">
        <v>7612385622</v>
      </c>
    </row>
    <row r="499" spans="1:4" x14ac:dyDescent="0.3">
      <c r="A499">
        <v>17500000</v>
      </c>
      <c r="B499">
        <v>709</v>
      </c>
      <c r="C499">
        <v>1000000</v>
      </c>
      <c r="D499">
        <v>2238134438</v>
      </c>
    </row>
    <row r="500" spans="1:4" x14ac:dyDescent="0.3">
      <c r="A500">
        <v>17500000</v>
      </c>
      <c r="B500">
        <v>182742</v>
      </c>
      <c r="C500">
        <v>18900000</v>
      </c>
      <c r="D500">
        <v>7263619576</v>
      </c>
    </row>
    <row r="501" spans="1:4" x14ac:dyDescent="0.3">
      <c r="A501">
        <v>17500000</v>
      </c>
      <c r="B501">
        <v>156215</v>
      </c>
      <c r="C501">
        <v>4700000</v>
      </c>
      <c r="D501">
        <v>16107116549</v>
      </c>
    </row>
    <row r="502" spans="1:4" x14ac:dyDescent="0.3">
      <c r="A502">
        <v>17400000</v>
      </c>
      <c r="B502">
        <v>2078</v>
      </c>
      <c r="C502">
        <v>20500000</v>
      </c>
      <c r="D502">
        <v>16560557488</v>
      </c>
    </row>
    <row r="503" spans="1:4" x14ac:dyDescent="0.3">
      <c r="A503">
        <v>17400000</v>
      </c>
      <c r="B503">
        <v>4411</v>
      </c>
      <c r="C503">
        <v>21100000</v>
      </c>
      <c r="D503">
        <v>17763586483</v>
      </c>
    </row>
    <row r="504" spans="1:4" x14ac:dyDescent="0.3">
      <c r="A504">
        <v>17400000</v>
      </c>
      <c r="B504">
        <v>118448</v>
      </c>
      <c r="C504">
        <v>11300000</v>
      </c>
      <c r="D504">
        <v>13043561912</v>
      </c>
    </row>
    <row r="505" spans="1:4" x14ac:dyDescent="0.3">
      <c r="A505">
        <v>17300000</v>
      </c>
      <c r="B505">
        <v>287</v>
      </c>
      <c r="C505">
        <v>40200</v>
      </c>
      <c r="D505">
        <v>902225615</v>
      </c>
    </row>
    <row r="506" spans="1:4" x14ac:dyDescent="0.3">
      <c r="A506">
        <v>17300000</v>
      </c>
      <c r="B506">
        <v>4778</v>
      </c>
      <c r="C506">
        <v>15900000</v>
      </c>
      <c r="D506">
        <v>11371738047</v>
      </c>
    </row>
    <row r="507" spans="1:4" x14ac:dyDescent="0.3">
      <c r="A507">
        <v>17300000</v>
      </c>
      <c r="B507">
        <v>180</v>
      </c>
      <c r="C507">
        <v>2200000</v>
      </c>
      <c r="D507">
        <v>1026425106</v>
      </c>
    </row>
    <row r="508" spans="1:4" x14ac:dyDescent="0.3">
      <c r="A508">
        <v>17300000</v>
      </c>
      <c r="B508">
        <v>582</v>
      </c>
      <c r="C508">
        <v>745200</v>
      </c>
      <c r="D508">
        <v>3684816159</v>
      </c>
    </row>
    <row r="509" spans="1:4" x14ac:dyDescent="0.3">
      <c r="A509">
        <v>17200000</v>
      </c>
      <c r="B509">
        <v>4685</v>
      </c>
      <c r="C509">
        <v>734200</v>
      </c>
      <c r="D509">
        <v>14573155899</v>
      </c>
    </row>
    <row r="510" spans="1:4" x14ac:dyDescent="0.3">
      <c r="A510">
        <v>17200000</v>
      </c>
      <c r="B510">
        <v>1567</v>
      </c>
      <c r="C510">
        <v>2500000</v>
      </c>
      <c r="D510">
        <v>3606912471</v>
      </c>
    </row>
    <row r="511" spans="1:4" x14ac:dyDescent="0.3">
      <c r="A511">
        <v>17200000</v>
      </c>
      <c r="B511">
        <v>138</v>
      </c>
      <c r="C511">
        <v>3500000</v>
      </c>
      <c r="D511">
        <v>7337212581</v>
      </c>
    </row>
    <row r="512" spans="1:4" x14ac:dyDescent="0.3">
      <c r="A512">
        <v>17200000</v>
      </c>
      <c r="B512">
        <v>7550</v>
      </c>
      <c r="C512">
        <v>739500</v>
      </c>
      <c r="D512">
        <v>5024088947</v>
      </c>
    </row>
    <row r="513" spans="1:4" x14ac:dyDescent="0.3">
      <c r="A513">
        <v>17200000</v>
      </c>
      <c r="B513">
        <v>1007</v>
      </c>
      <c r="C513">
        <v>4000000</v>
      </c>
      <c r="D513">
        <v>11445492404</v>
      </c>
    </row>
    <row r="514" spans="1:4" x14ac:dyDescent="0.3">
      <c r="A514">
        <v>17200000</v>
      </c>
      <c r="B514">
        <v>83</v>
      </c>
      <c r="C514">
        <v>1</v>
      </c>
      <c r="D514">
        <v>8903647480</v>
      </c>
    </row>
    <row r="515" spans="1:4" x14ac:dyDescent="0.3">
      <c r="A515">
        <v>17100000</v>
      </c>
      <c r="B515">
        <v>142</v>
      </c>
      <c r="C515">
        <v>84500</v>
      </c>
      <c r="D515">
        <v>2173106162</v>
      </c>
    </row>
    <row r="516" spans="1:4" x14ac:dyDescent="0.3">
      <c r="A516">
        <v>17100000</v>
      </c>
      <c r="B516">
        <v>148225</v>
      </c>
      <c r="C516">
        <v>2200000</v>
      </c>
      <c r="D516">
        <v>9710962528</v>
      </c>
    </row>
    <row r="517" spans="1:4" x14ac:dyDescent="0.3">
      <c r="A517">
        <v>17100000</v>
      </c>
      <c r="B517">
        <v>498</v>
      </c>
      <c r="C517">
        <v>1800000</v>
      </c>
      <c r="D517">
        <v>4448334716</v>
      </c>
    </row>
    <row r="518" spans="1:4" x14ac:dyDescent="0.3">
      <c r="A518">
        <v>17000000</v>
      </c>
      <c r="B518">
        <v>1</v>
      </c>
      <c r="C518">
        <v>0</v>
      </c>
      <c r="D518">
        <v>8229883114</v>
      </c>
    </row>
    <row r="519" spans="1:4" x14ac:dyDescent="0.3">
      <c r="A519">
        <v>17000000</v>
      </c>
      <c r="B519">
        <v>1407</v>
      </c>
      <c r="C519">
        <v>366100</v>
      </c>
      <c r="D519">
        <v>1001465469</v>
      </c>
    </row>
    <row r="520" spans="1:4" x14ac:dyDescent="0.3">
      <c r="A520">
        <v>17000000</v>
      </c>
      <c r="B520">
        <v>97</v>
      </c>
      <c r="C520">
        <v>2400000</v>
      </c>
      <c r="D520">
        <v>14543594822</v>
      </c>
    </row>
    <row r="521" spans="1:4" x14ac:dyDescent="0.3">
      <c r="A521">
        <v>17000000</v>
      </c>
      <c r="B521">
        <v>1015</v>
      </c>
      <c r="C521">
        <v>4500000</v>
      </c>
      <c r="D521">
        <v>10847948832</v>
      </c>
    </row>
    <row r="522" spans="1:4" x14ac:dyDescent="0.3">
      <c r="A522">
        <v>16900000</v>
      </c>
      <c r="B522">
        <v>441</v>
      </c>
      <c r="C522">
        <v>4300000</v>
      </c>
      <c r="D522">
        <v>9270331567</v>
      </c>
    </row>
    <row r="523" spans="1:4" x14ac:dyDescent="0.3">
      <c r="A523">
        <v>16900000</v>
      </c>
      <c r="B523">
        <v>2235</v>
      </c>
      <c r="C523">
        <v>3500000</v>
      </c>
      <c r="D523">
        <v>8684010451</v>
      </c>
    </row>
    <row r="524" spans="1:4" x14ac:dyDescent="0.3">
      <c r="A524">
        <v>16900000</v>
      </c>
      <c r="B524">
        <v>2337</v>
      </c>
      <c r="C524">
        <v>13200000</v>
      </c>
      <c r="D524">
        <v>9544277833</v>
      </c>
    </row>
    <row r="525" spans="1:4" x14ac:dyDescent="0.3">
      <c r="A525">
        <v>16900000</v>
      </c>
      <c r="B525">
        <v>366</v>
      </c>
      <c r="C525">
        <v>78500</v>
      </c>
      <c r="D525">
        <v>3827906874</v>
      </c>
    </row>
    <row r="526" spans="1:4" x14ac:dyDescent="0.3">
      <c r="A526">
        <v>16900000</v>
      </c>
      <c r="B526">
        <v>1910</v>
      </c>
      <c r="C526">
        <v>522600</v>
      </c>
      <c r="D526">
        <v>9111000228</v>
      </c>
    </row>
    <row r="527" spans="1:4" x14ac:dyDescent="0.3">
      <c r="A527">
        <v>16900000</v>
      </c>
      <c r="B527">
        <v>3900</v>
      </c>
      <c r="C527">
        <v>1700000</v>
      </c>
      <c r="D527">
        <v>4609753237</v>
      </c>
    </row>
    <row r="528" spans="1:4" x14ac:dyDescent="0.3">
      <c r="A528">
        <v>16900000</v>
      </c>
      <c r="B528">
        <v>4891</v>
      </c>
      <c r="C528">
        <v>7200000</v>
      </c>
      <c r="D528">
        <v>3523578665</v>
      </c>
    </row>
    <row r="529" spans="1:4" x14ac:dyDescent="0.3">
      <c r="A529">
        <v>16800000</v>
      </c>
      <c r="B529">
        <v>41</v>
      </c>
      <c r="C529">
        <v>0.05</v>
      </c>
      <c r="D529">
        <v>7206462713</v>
      </c>
    </row>
    <row r="530" spans="1:4" x14ac:dyDescent="0.3">
      <c r="A530">
        <v>16800000</v>
      </c>
      <c r="B530">
        <v>0</v>
      </c>
      <c r="C530">
        <v>0</v>
      </c>
      <c r="D530">
        <v>6518418501</v>
      </c>
    </row>
    <row r="531" spans="1:4" x14ac:dyDescent="0.3">
      <c r="A531">
        <v>16800000</v>
      </c>
      <c r="B531">
        <v>1</v>
      </c>
      <c r="C531">
        <v>0</v>
      </c>
      <c r="D531">
        <v>2315962318</v>
      </c>
    </row>
    <row r="532" spans="1:4" x14ac:dyDescent="0.3">
      <c r="A532">
        <v>16800000</v>
      </c>
      <c r="B532">
        <v>502</v>
      </c>
      <c r="C532">
        <v>2100000</v>
      </c>
      <c r="D532">
        <v>7195314800</v>
      </c>
    </row>
    <row r="533" spans="1:4" x14ac:dyDescent="0.3">
      <c r="A533">
        <v>16800000</v>
      </c>
      <c r="B533">
        <v>1491</v>
      </c>
      <c r="C533">
        <v>2100000</v>
      </c>
      <c r="D533">
        <v>3693798804</v>
      </c>
    </row>
    <row r="534" spans="1:4" x14ac:dyDescent="0.3">
      <c r="A534">
        <v>16700000</v>
      </c>
      <c r="B534">
        <v>3</v>
      </c>
      <c r="C534">
        <v>0.34</v>
      </c>
      <c r="D534">
        <v>10393037902</v>
      </c>
    </row>
    <row r="535" spans="1:4" x14ac:dyDescent="0.3">
      <c r="A535">
        <v>16700000</v>
      </c>
      <c r="B535">
        <v>920</v>
      </c>
      <c r="C535">
        <v>2200000</v>
      </c>
      <c r="D535">
        <v>8826138204</v>
      </c>
    </row>
    <row r="536" spans="1:4" x14ac:dyDescent="0.3">
      <c r="A536">
        <v>16700000</v>
      </c>
      <c r="B536">
        <v>13</v>
      </c>
      <c r="C536">
        <v>1800</v>
      </c>
      <c r="D536">
        <v>7979736581</v>
      </c>
    </row>
    <row r="537" spans="1:4" x14ac:dyDescent="0.3">
      <c r="A537">
        <v>16700000</v>
      </c>
      <c r="B537">
        <v>1693</v>
      </c>
      <c r="C537">
        <v>5000000</v>
      </c>
      <c r="D537">
        <v>7102965621</v>
      </c>
    </row>
    <row r="538" spans="1:4" x14ac:dyDescent="0.3">
      <c r="A538">
        <v>16700000</v>
      </c>
      <c r="B538">
        <v>8741</v>
      </c>
      <c r="C538">
        <v>774700</v>
      </c>
      <c r="D538">
        <v>5089284369</v>
      </c>
    </row>
    <row r="539" spans="1:4" x14ac:dyDescent="0.3">
      <c r="A539">
        <v>16600000</v>
      </c>
      <c r="B539">
        <v>112261</v>
      </c>
      <c r="C539">
        <v>2800000</v>
      </c>
      <c r="D539">
        <v>7435180827</v>
      </c>
    </row>
    <row r="540" spans="1:4" x14ac:dyDescent="0.3">
      <c r="A540">
        <v>16600000</v>
      </c>
      <c r="B540">
        <v>8976</v>
      </c>
      <c r="C540">
        <v>4300000</v>
      </c>
      <c r="D540">
        <v>11946217860</v>
      </c>
    </row>
    <row r="541" spans="1:4" x14ac:dyDescent="0.3">
      <c r="A541">
        <v>16600000</v>
      </c>
      <c r="B541">
        <v>20102</v>
      </c>
      <c r="C541">
        <v>7400000</v>
      </c>
      <c r="D541">
        <v>9439857193</v>
      </c>
    </row>
    <row r="542" spans="1:4" x14ac:dyDescent="0.3">
      <c r="A542">
        <v>16600000</v>
      </c>
      <c r="B542">
        <v>413</v>
      </c>
      <c r="C542">
        <v>9600000</v>
      </c>
      <c r="D542">
        <v>5819508534</v>
      </c>
    </row>
    <row r="543" spans="1:4" x14ac:dyDescent="0.3">
      <c r="A543">
        <v>16600000</v>
      </c>
      <c r="B543">
        <v>0</v>
      </c>
      <c r="C543">
        <v>0</v>
      </c>
      <c r="D543">
        <v>2798273962</v>
      </c>
    </row>
    <row r="544" spans="1:4" x14ac:dyDescent="0.3">
      <c r="A544">
        <v>16600000</v>
      </c>
      <c r="B544">
        <v>180</v>
      </c>
      <c r="C544">
        <v>723800</v>
      </c>
      <c r="D544">
        <v>1318442641</v>
      </c>
    </row>
    <row r="545" spans="1:4" x14ac:dyDescent="0.3">
      <c r="A545">
        <v>16600000</v>
      </c>
      <c r="B545">
        <v>2200</v>
      </c>
      <c r="C545">
        <v>29600000</v>
      </c>
      <c r="D545">
        <v>15278668857</v>
      </c>
    </row>
    <row r="546" spans="1:4" x14ac:dyDescent="0.3">
      <c r="A546">
        <v>16600000</v>
      </c>
      <c r="B546">
        <v>216</v>
      </c>
      <c r="C546">
        <v>3100</v>
      </c>
      <c r="D546">
        <v>3696973456</v>
      </c>
    </row>
    <row r="547" spans="1:4" x14ac:dyDescent="0.3">
      <c r="A547">
        <v>16500000</v>
      </c>
      <c r="B547">
        <v>21243</v>
      </c>
      <c r="C547">
        <v>6300000</v>
      </c>
      <c r="D547">
        <v>7043235131</v>
      </c>
    </row>
    <row r="548" spans="1:4" x14ac:dyDescent="0.3">
      <c r="A548">
        <v>16500000</v>
      </c>
      <c r="B548">
        <v>735</v>
      </c>
      <c r="C548">
        <v>1200000</v>
      </c>
      <c r="D548">
        <v>7406207930</v>
      </c>
    </row>
    <row r="549" spans="1:4" x14ac:dyDescent="0.3">
      <c r="A549">
        <v>16500000</v>
      </c>
      <c r="B549">
        <v>438</v>
      </c>
      <c r="C549">
        <v>5400000</v>
      </c>
      <c r="D549">
        <v>3037260680</v>
      </c>
    </row>
    <row r="550" spans="1:4" x14ac:dyDescent="0.3">
      <c r="A550">
        <v>16400000</v>
      </c>
      <c r="B550">
        <v>1</v>
      </c>
      <c r="C550">
        <v>0</v>
      </c>
      <c r="D550">
        <v>13478392540</v>
      </c>
    </row>
    <row r="551" spans="1:4" x14ac:dyDescent="0.3">
      <c r="A551">
        <v>16400000</v>
      </c>
      <c r="B551">
        <v>1</v>
      </c>
      <c r="C551">
        <v>0.05</v>
      </c>
      <c r="D551">
        <v>14431830557</v>
      </c>
    </row>
    <row r="552" spans="1:4" x14ac:dyDescent="0.3">
      <c r="A552">
        <v>16400000</v>
      </c>
      <c r="B552">
        <v>1091</v>
      </c>
      <c r="C552">
        <v>865300</v>
      </c>
      <c r="D552">
        <v>3955426159</v>
      </c>
    </row>
    <row r="553" spans="1:4" x14ac:dyDescent="0.3">
      <c r="A553">
        <v>16400000</v>
      </c>
      <c r="B553">
        <v>14662</v>
      </c>
      <c r="C553">
        <v>6400000</v>
      </c>
      <c r="D553">
        <v>7135820721</v>
      </c>
    </row>
    <row r="554" spans="1:4" x14ac:dyDescent="0.3">
      <c r="A554">
        <v>16400000</v>
      </c>
      <c r="B554">
        <v>428</v>
      </c>
      <c r="C554">
        <v>448400</v>
      </c>
      <c r="D554">
        <v>4434679706</v>
      </c>
    </row>
    <row r="555" spans="1:4" x14ac:dyDescent="0.3">
      <c r="A555">
        <v>16400000</v>
      </c>
      <c r="B555">
        <v>23952</v>
      </c>
      <c r="C555">
        <v>8700000</v>
      </c>
      <c r="D555">
        <v>12844432341</v>
      </c>
    </row>
    <row r="556" spans="1:4" x14ac:dyDescent="0.3">
      <c r="A556">
        <v>16400000</v>
      </c>
      <c r="B556">
        <v>56203</v>
      </c>
      <c r="C556">
        <v>4200000</v>
      </c>
      <c r="D556">
        <v>9463244435</v>
      </c>
    </row>
    <row r="557" spans="1:4" x14ac:dyDescent="0.3">
      <c r="A557">
        <v>16300000</v>
      </c>
      <c r="B557">
        <v>1444</v>
      </c>
      <c r="C557">
        <v>7300000</v>
      </c>
      <c r="D557">
        <v>7141825267</v>
      </c>
    </row>
    <row r="558" spans="1:4" x14ac:dyDescent="0.3">
      <c r="A558">
        <v>16300000</v>
      </c>
      <c r="B558">
        <v>80</v>
      </c>
      <c r="C558">
        <v>2000000</v>
      </c>
      <c r="D558">
        <v>6613422635</v>
      </c>
    </row>
    <row r="559" spans="1:4" x14ac:dyDescent="0.3">
      <c r="A559">
        <v>16300000</v>
      </c>
      <c r="B559">
        <v>989</v>
      </c>
      <c r="C559">
        <v>861300</v>
      </c>
      <c r="D559">
        <v>1656452554</v>
      </c>
    </row>
    <row r="560" spans="1:4" x14ac:dyDescent="0.3">
      <c r="A560">
        <v>16300000</v>
      </c>
      <c r="B560">
        <v>54</v>
      </c>
      <c r="C560">
        <v>1400</v>
      </c>
      <c r="D560">
        <v>3527627264</v>
      </c>
    </row>
    <row r="561" spans="1:4" x14ac:dyDescent="0.3">
      <c r="A561">
        <v>16300000</v>
      </c>
      <c r="B561">
        <v>490</v>
      </c>
      <c r="C561">
        <v>1400000</v>
      </c>
      <c r="D561">
        <v>6578828147</v>
      </c>
    </row>
    <row r="562" spans="1:4" x14ac:dyDescent="0.3">
      <c r="A562">
        <v>16300000</v>
      </c>
      <c r="B562">
        <v>352</v>
      </c>
      <c r="C562">
        <v>4200000</v>
      </c>
      <c r="D562">
        <v>12475714382</v>
      </c>
    </row>
    <row r="563" spans="1:4" x14ac:dyDescent="0.3">
      <c r="A563">
        <v>16300000</v>
      </c>
      <c r="B563">
        <v>230</v>
      </c>
      <c r="C563">
        <v>4100000</v>
      </c>
      <c r="D563">
        <v>10170264839</v>
      </c>
    </row>
    <row r="564" spans="1:4" x14ac:dyDescent="0.3">
      <c r="A564">
        <v>16300000</v>
      </c>
      <c r="B564">
        <v>652</v>
      </c>
      <c r="C564">
        <v>147800</v>
      </c>
      <c r="D564">
        <v>4768370464</v>
      </c>
    </row>
    <row r="565" spans="1:4" x14ac:dyDescent="0.3">
      <c r="A565">
        <v>16300000</v>
      </c>
      <c r="B565">
        <v>278</v>
      </c>
      <c r="C565">
        <v>1900000</v>
      </c>
      <c r="D565">
        <v>7520242626</v>
      </c>
    </row>
    <row r="566" spans="1:4" x14ac:dyDescent="0.3">
      <c r="A566">
        <v>16200000</v>
      </c>
      <c r="B566">
        <v>2</v>
      </c>
      <c r="C566">
        <v>24</v>
      </c>
      <c r="D566">
        <v>4813127504</v>
      </c>
    </row>
    <row r="567" spans="1:4" x14ac:dyDescent="0.3">
      <c r="A567">
        <v>16200000</v>
      </c>
      <c r="B567">
        <v>189</v>
      </c>
      <c r="C567">
        <v>1800</v>
      </c>
      <c r="D567">
        <v>14784781923</v>
      </c>
    </row>
    <row r="568" spans="1:4" x14ac:dyDescent="0.3">
      <c r="A568">
        <v>16200000</v>
      </c>
      <c r="B568">
        <v>593</v>
      </c>
      <c r="C568">
        <v>1200000</v>
      </c>
      <c r="D568">
        <v>8091706232</v>
      </c>
    </row>
    <row r="569" spans="1:4" x14ac:dyDescent="0.3">
      <c r="A569">
        <v>16200000</v>
      </c>
      <c r="B569">
        <v>258</v>
      </c>
      <c r="C569">
        <v>3000000</v>
      </c>
      <c r="D569">
        <v>10227242833</v>
      </c>
    </row>
    <row r="570" spans="1:4" x14ac:dyDescent="0.3">
      <c r="A570">
        <v>16200000</v>
      </c>
      <c r="B570">
        <v>1930</v>
      </c>
      <c r="C570">
        <v>1600000</v>
      </c>
      <c r="D570">
        <v>2990185467</v>
      </c>
    </row>
    <row r="571" spans="1:4" x14ac:dyDescent="0.3">
      <c r="A571">
        <v>16200000</v>
      </c>
      <c r="B571">
        <v>3943</v>
      </c>
      <c r="C571">
        <v>12300000</v>
      </c>
      <c r="D571">
        <v>9763592867</v>
      </c>
    </row>
    <row r="572" spans="1:4" x14ac:dyDescent="0.3">
      <c r="A572">
        <v>16200000</v>
      </c>
      <c r="B572">
        <v>244899</v>
      </c>
      <c r="C572">
        <v>10800000</v>
      </c>
      <c r="D572">
        <v>14563841315</v>
      </c>
    </row>
    <row r="573" spans="1:4" x14ac:dyDescent="0.3">
      <c r="A573">
        <v>16200000</v>
      </c>
      <c r="B573">
        <v>1294</v>
      </c>
      <c r="C573">
        <v>1300000</v>
      </c>
      <c r="D573">
        <v>4076692623</v>
      </c>
    </row>
    <row r="574" spans="1:4" x14ac:dyDescent="0.3">
      <c r="A574">
        <v>16200000</v>
      </c>
      <c r="B574">
        <v>10</v>
      </c>
      <c r="C574">
        <v>0.19</v>
      </c>
      <c r="D574">
        <v>4488680903</v>
      </c>
    </row>
    <row r="575" spans="1:4" x14ac:dyDescent="0.3">
      <c r="A575">
        <v>16200000</v>
      </c>
      <c r="B575">
        <v>31889</v>
      </c>
      <c r="C575">
        <v>5600000</v>
      </c>
      <c r="D575">
        <v>20522339099</v>
      </c>
    </row>
    <row r="576" spans="1:4" x14ac:dyDescent="0.3">
      <c r="A576">
        <v>16100000</v>
      </c>
      <c r="B576">
        <v>1123</v>
      </c>
      <c r="C576">
        <v>4700000</v>
      </c>
      <c r="D576">
        <v>5055576881</v>
      </c>
    </row>
    <row r="577" spans="1:4" x14ac:dyDescent="0.3">
      <c r="A577">
        <v>16100000</v>
      </c>
      <c r="B577">
        <v>0</v>
      </c>
      <c r="C577">
        <v>0</v>
      </c>
      <c r="D577">
        <v>0</v>
      </c>
    </row>
    <row r="578" spans="1:4" x14ac:dyDescent="0.3">
      <c r="A578">
        <v>16100000</v>
      </c>
      <c r="B578">
        <v>510</v>
      </c>
      <c r="C578">
        <v>1500000</v>
      </c>
      <c r="D578">
        <v>7399296005</v>
      </c>
    </row>
    <row r="579" spans="1:4" x14ac:dyDescent="0.3">
      <c r="A579">
        <v>16100000</v>
      </c>
      <c r="B579">
        <v>671</v>
      </c>
      <c r="C579">
        <v>19200000</v>
      </c>
      <c r="D579">
        <v>6872702790</v>
      </c>
    </row>
    <row r="580" spans="1:4" x14ac:dyDescent="0.3">
      <c r="A580">
        <v>16100000</v>
      </c>
      <c r="B580">
        <v>4045</v>
      </c>
      <c r="C580">
        <v>12800000</v>
      </c>
      <c r="D580">
        <v>15812009296</v>
      </c>
    </row>
    <row r="581" spans="1:4" x14ac:dyDescent="0.3">
      <c r="A581">
        <v>16100000</v>
      </c>
      <c r="B581">
        <v>2805</v>
      </c>
      <c r="C581">
        <v>461700</v>
      </c>
      <c r="D581">
        <v>1517638132</v>
      </c>
    </row>
    <row r="582" spans="1:4" x14ac:dyDescent="0.3">
      <c r="A582">
        <v>16100000</v>
      </c>
      <c r="B582">
        <v>723</v>
      </c>
      <c r="C582">
        <v>662500</v>
      </c>
      <c r="D582">
        <v>2687443643</v>
      </c>
    </row>
    <row r="583" spans="1:4" x14ac:dyDescent="0.3">
      <c r="A583">
        <v>16100000</v>
      </c>
      <c r="B583">
        <v>0</v>
      </c>
      <c r="C583">
        <v>0</v>
      </c>
      <c r="D583">
        <v>9642146451</v>
      </c>
    </row>
    <row r="584" spans="1:4" x14ac:dyDescent="0.3">
      <c r="A584">
        <v>16100000</v>
      </c>
      <c r="B584">
        <v>41</v>
      </c>
      <c r="C584">
        <v>37</v>
      </c>
      <c r="D584">
        <v>7126210721</v>
      </c>
    </row>
    <row r="585" spans="1:4" x14ac:dyDescent="0.3">
      <c r="A585">
        <v>16100000</v>
      </c>
      <c r="B585">
        <v>667</v>
      </c>
      <c r="C585">
        <v>23000000</v>
      </c>
      <c r="D585">
        <v>7155736006</v>
      </c>
    </row>
    <row r="586" spans="1:4" x14ac:dyDescent="0.3">
      <c r="A586">
        <v>16000000</v>
      </c>
      <c r="B586">
        <v>453</v>
      </c>
      <c r="C586">
        <v>3600000</v>
      </c>
      <c r="D586">
        <v>6543629679</v>
      </c>
    </row>
    <row r="587" spans="1:4" x14ac:dyDescent="0.3">
      <c r="A587">
        <v>16000000</v>
      </c>
      <c r="B587">
        <v>0</v>
      </c>
      <c r="C587">
        <v>0</v>
      </c>
      <c r="D587">
        <v>9786595271</v>
      </c>
    </row>
    <row r="588" spans="1:4" x14ac:dyDescent="0.3">
      <c r="A588">
        <v>16000000</v>
      </c>
      <c r="B588">
        <v>52144</v>
      </c>
      <c r="C588">
        <v>685800</v>
      </c>
      <c r="D588">
        <v>3018032423</v>
      </c>
    </row>
    <row r="589" spans="1:4" x14ac:dyDescent="0.3">
      <c r="A589">
        <v>16000000</v>
      </c>
      <c r="B589">
        <v>344</v>
      </c>
      <c r="C589">
        <v>5400000</v>
      </c>
      <c r="D589">
        <v>5997599089</v>
      </c>
    </row>
    <row r="590" spans="1:4" x14ac:dyDescent="0.3">
      <c r="A590">
        <v>16000000</v>
      </c>
      <c r="B590">
        <v>687</v>
      </c>
      <c r="C590">
        <v>225500</v>
      </c>
      <c r="D590">
        <v>3029872908</v>
      </c>
    </row>
    <row r="591" spans="1:4" x14ac:dyDescent="0.3">
      <c r="A591">
        <v>15900000</v>
      </c>
      <c r="B591">
        <v>2035</v>
      </c>
      <c r="C591">
        <v>475900</v>
      </c>
      <c r="D591">
        <v>9962188084</v>
      </c>
    </row>
    <row r="592" spans="1:4" x14ac:dyDescent="0.3">
      <c r="A592">
        <v>15900000</v>
      </c>
      <c r="B592">
        <v>796</v>
      </c>
      <c r="C592">
        <v>7900000</v>
      </c>
      <c r="D592">
        <v>9052367553</v>
      </c>
    </row>
    <row r="593" spans="1:4" x14ac:dyDescent="0.3">
      <c r="A593">
        <v>15900000</v>
      </c>
      <c r="B593">
        <v>433</v>
      </c>
      <c r="C593">
        <v>96300</v>
      </c>
      <c r="D593">
        <v>2609358468</v>
      </c>
    </row>
    <row r="594" spans="1:4" x14ac:dyDescent="0.3">
      <c r="A594">
        <v>15900000</v>
      </c>
      <c r="B594">
        <v>5105</v>
      </c>
      <c r="C594">
        <v>6500000</v>
      </c>
      <c r="D594">
        <v>9198986881</v>
      </c>
    </row>
    <row r="595" spans="1:4" x14ac:dyDescent="0.3">
      <c r="A595">
        <v>15900000</v>
      </c>
      <c r="B595">
        <v>132</v>
      </c>
      <c r="C595">
        <v>2900000</v>
      </c>
      <c r="D595">
        <v>6802382479</v>
      </c>
    </row>
    <row r="596" spans="1:4" x14ac:dyDescent="0.3">
      <c r="A596">
        <v>15900000</v>
      </c>
      <c r="B596">
        <v>4906</v>
      </c>
      <c r="C596">
        <v>3100000</v>
      </c>
      <c r="D596">
        <v>6534326412</v>
      </c>
    </row>
    <row r="597" spans="1:4" x14ac:dyDescent="0.3">
      <c r="A597">
        <v>15800000</v>
      </c>
      <c r="B597">
        <v>633</v>
      </c>
      <c r="C597">
        <v>1200000</v>
      </c>
      <c r="D597">
        <v>1349288771</v>
      </c>
    </row>
    <row r="598" spans="1:4" x14ac:dyDescent="0.3">
      <c r="A598">
        <v>15800000</v>
      </c>
      <c r="B598">
        <v>20679</v>
      </c>
      <c r="C598">
        <v>8900000</v>
      </c>
      <c r="D598">
        <v>3392918989</v>
      </c>
    </row>
    <row r="599" spans="1:4" x14ac:dyDescent="0.3">
      <c r="A599">
        <v>15800000</v>
      </c>
      <c r="B599">
        <v>10441</v>
      </c>
      <c r="C599">
        <v>1200000</v>
      </c>
      <c r="D599">
        <v>13116313599</v>
      </c>
    </row>
    <row r="600" spans="1:4" x14ac:dyDescent="0.3">
      <c r="A600">
        <v>15800000</v>
      </c>
      <c r="B600">
        <v>542</v>
      </c>
      <c r="C600">
        <v>3400000</v>
      </c>
      <c r="D600">
        <v>4122634467</v>
      </c>
    </row>
    <row r="601" spans="1:4" x14ac:dyDescent="0.3">
      <c r="A601">
        <v>15700000</v>
      </c>
      <c r="B601">
        <v>79</v>
      </c>
      <c r="C601">
        <v>6800000</v>
      </c>
      <c r="D601">
        <v>5914071870</v>
      </c>
    </row>
    <row r="602" spans="1:4" x14ac:dyDescent="0.3">
      <c r="A602">
        <v>15700000</v>
      </c>
      <c r="B602">
        <v>19703</v>
      </c>
      <c r="C602">
        <v>1500000</v>
      </c>
      <c r="D602">
        <v>6626563508</v>
      </c>
    </row>
    <row r="603" spans="1:4" x14ac:dyDescent="0.3">
      <c r="A603">
        <v>15700000</v>
      </c>
      <c r="B603">
        <v>1640</v>
      </c>
      <c r="C603">
        <v>4100000</v>
      </c>
      <c r="D603">
        <v>5558051295</v>
      </c>
    </row>
    <row r="604" spans="1:4" x14ac:dyDescent="0.3">
      <c r="A604">
        <v>15700000</v>
      </c>
      <c r="B604">
        <v>16874</v>
      </c>
      <c r="C604">
        <v>2500000</v>
      </c>
      <c r="D604">
        <v>9787697838</v>
      </c>
    </row>
    <row r="605" spans="1:4" x14ac:dyDescent="0.3">
      <c r="A605">
        <v>15700000</v>
      </c>
      <c r="B605">
        <v>7090</v>
      </c>
      <c r="C605">
        <v>16100000</v>
      </c>
      <c r="D605">
        <v>8696631898</v>
      </c>
    </row>
    <row r="606" spans="1:4" x14ac:dyDescent="0.3">
      <c r="A606">
        <v>15700000</v>
      </c>
      <c r="B606">
        <v>150</v>
      </c>
      <c r="C606">
        <v>45100</v>
      </c>
      <c r="D606">
        <v>6153495609</v>
      </c>
    </row>
    <row r="607" spans="1:4" x14ac:dyDescent="0.3">
      <c r="A607">
        <v>15600000</v>
      </c>
      <c r="B607">
        <v>6623</v>
      </c>
      <c r="C607">
        <v>4700000</v>
      </c>
      <c r="D607">
        <v>6862529416</v>
      </c>
    </row>
    <row r="608" spans="1:4" x14ac:dyDescent="0.3">
      <c r="A608">
        <v>15600000</v>
      </c>
      <c r="B608">
        <v>4245</v>
      </c>
      <c r="C608">
        <v>1300000</v>
      </c>
      <c r="D608">
        <v>6165757696</v>
      </c>
    </row>
    <row r="609" spans="1:4" x14ac:dyDescent="0.3">
      <c r="A609">
        <v>15600000</v>
      </c>
      <c r="B609">
        <v>2019</v>
      </c>
      <c r="C609">
        <v>2700000</v>
      </c>
      <c r="D609">
        <v>3869457097</v>
      </c>
    </row>
    <row r="610" spans="1:4" x14ac:dyDescent="0.3">
      <c r="A610">
        <v>15600000</v>
      </c>
      <c r="B610">
        <v>483</v>
      </c>
      <c r="C610">
        <v>0</v>
      </c>
      <c r="D610">
        <v>1511794214</v>
      </c>
    </row>
    <row r="611" spans="1:4" x14ac:dyDescent="0.3">
      <c r="A611">
        <v>15600000</v>
      </c>
      <c r="B611">
        <v>6542</v>
      </c>
      <c r="C611">
        <v>4200000</v>
      </c>
      <c r="D611">
        <v>7172386509</v>
      </c>
    </row>
    <row r="612" spans="1:4" x14ac:dyDescent="0.3">
      <c r="A612">
        <v>15500000</v>
      </c>
      <c r="B612">
        <v>0</v>
      </c>
      <c r="C612">
        <v>0</v>
      </c>
      <c r="D612">
        <v>5070970714</v>
      </c>
    </row>
    <row r="613" spans="1:4" x14ac:dyDescent="0.3">
      <c r="A613">
        <v>15500000</v>
      </c>
      <c r="B613">
        <v>1525</v>
      </c>
      <c r="C613">
        <v>6700000</v>
      </c>
      <c r="D613">
        <v>12714141740</v>
      </c>
    </row>
    <row r="614" spans="1:4" x14ac:dyDescent="0.3">
      <c r="A614">
        <v>15500000</v>
      </c>
      <c r="B614">
        <v>359</v>
      </c>
      <c r="C614">
        <v>8100000</v>
      </c>
      <c r="D614">
        <v>7776706184</v>
      </c>
    </row>
    <row r="615" spans="1:4" x14ac:dyDescent="0.3">
      <c r="A615">
        <v>15500000</v>
      </c>
      <c r="B615">
        <v>0</v>
      </c>
      <c r="C615">
        <v>0</v>
      </c>
      <c r="D615">
        <v>12880388253</v>
      </c>
    </row>
    <row r="616" spans="1:4" x14ac:dyDescent="0.3">
      <c r="A616">
        <v>15500000</v>
      </c>
      <c r="B616">
        <v>417</v>
      </c>
      <c r="C616">
        <v>1300000</v>
      </c>
      <c r="D616">
        <v>6396049701</v>
      </c>
    </row>
    <row r="617" spans="1:4" x14ac:dyDescent="0.3">
      <c r="A617">
        <v>15500000</v>
      </c>
      <c r="B617">
        <v>325</v>
      </c>
      <c r="C617">
        <v>7900000</v>
      </c>
      <c r="D617">
        <v>14619523361</v>
      </c>
    </row>
    <row r="618" spans="1:4" x14ac:dyDescent="0.3">
      <c r="A618">
        <v>15500000</v>
      </c>
      <c r="B618">
        <v>598</v>
      </c>
      <c r="C618">
        <v>4300000</v>
      </c>
      <c r="D618">
        <v>8984089026</v>
      </c>
    </row>
    <row r="619" spans="1:4" x14ac:dyDescent="0.3">
      <c r="A619">
        <v>15500000</v>
      </c>
      <c r="B619">
        <v>220</v>
      </c>
      <c r="C619">
        <v>4400000</v>
      </c>
      <c r="D619">
        <v>6386271870</v>
      </c>
    </row>
    <row r="620" spans="1:4" x14ac:dyDescent="0.3">
      <c r="A620">
        <v>15400000</v>
      </c>
      <c r="B620">
        <v>165</v>
      </c>
      <c r="C620">
        <v>1300000</v>
      </c>
      <c r="D620">
        <v>1781226000</v>
      </c>
    </row>
    <row r="621" spans="1:4" x14ac:dyDescent="0.3">
      <c r="A621">
        <v>15400000</v>
      </c>
      <c r="B621">
        <v>1647</v>
      </c>
      <c r="C621">
        <v>2700000</v>
      </c>
      <c r="D621">
        <v>1543608082</v>
      </c>
    </row>
    <row r="622" spans="1:4" x14ac:dyDescent="0.3">
      <c r="A622">
        <v>15400000</v>
      </c>
      <c r="B622">
        <v>21</v>
      </c>
      <c r="C622">
        <v>1800000</v>
      </c>
      <c r="D622">
        <v>4909687948</v>
      </c>
    </row>
    <row r="623" spans="1:4" x14ac:dyDescent="0.3">
      <c r="A623">
        <v>15400000</v>
      </c>
      <c r="B623">
        <v>1756</v>
      </c>
      <c r="C623">
        <v>76000</v>
      </c>
      <c r="D623">
        <v>5469103954</v>
      </c>
    </row>
    <row r="624" spans="1:4" x14ac:dyDescent="0.3">
      <c r="A624">
        <v>15400000</v>
      </c>
      <c r="B624">
        <v>4186</v>
      </c>
      <c r="C624">
        <v>947500</v>
      </c>
      <c r="D624">
        <v>4750420071</v>
      </c>
    </row>
    <row r="625" spans="1:4" x14ac:dyDescent="0.3">
      <c r="A625">
        <v>15400000</v>
      </c>
      <c r="B625">
        <v>1725</v>
      </c>
      <c r="C625">
        <v>4000000</v>
      </c>
      <c r="D625">
        <v>14564170905</v>
      </c>
    </row>
    <row r="626" spans="1:4" x14ac:dyDescent="0.3">
      <c r="A626">
        <v>15400000</v>
      </c>
      <c r="B626">
        <v>1577</v>
      </c>
      <c r="C626">
        <v>8000000</v>
      </c>
      <c r="D626">
        <v>3736069980</v>
      </c>
    </row>
    <row r="627" spans="1:4" x14ac:dyDescent="0.3">
      <c r="A627">
        <v>15400000</v>
      </c>
      <c r="B627">
        <v>379</v>
      </c>
      <c r="C627">
        <v>3800000</v>
      </c>
      <c r="D627">
        <v>11513738907</v>
      </c>
    </row>
    <row r="628" spans="1:4" x14ac:dyDescent="0.3">
      <c r="A628">
        <v>15300000</v>
      </c>
      <c r="B628">
        <v>1397</v>
      </c>
      <c r="C628">
        <v>284200</v>
      </c>
      <c r="D628">
        <v>1640078055</v>
      </c>
    </row>
    <row r="629" spans="1:4" x14ac:dyDescent="0.3">
      <c r="A629">
        <v>15300000</v>
      </c>
      <c r="B629">
        <v>87864</v>
      </c>
      <c r="C629">
        <v>17400000</v>
      </c>
      <c r="D629">
        <v>16545966132</v>
      </c>
    </row>
    <row r="630" spans="1:4" x14ac:dyDescent="0.3">
      <c r="A630">
        <v>15300000</v>
      </c>
      <c r="B630">
        <v>851</v>
      </c>
      <c r="C630">
        <v>3700000</v>
      </c>
      <c r="D630">
        <v>10714145606</v>
      </c>
    </row>
    <row r="631" spans="1:4" x14ac:dyDescent="0.3">
      <c r="A631">
        <v>15300000</v>
      </c>
      <c r="B631">
        <v>2175</v>
      </c>
      <c r="C631">
        <v>22800000</v>
      </c>
      <c r="D631">
        <v>9938811455</v>
      </c>
    </row>
    <row r="632" spans="1:4" x14ac:dyDescent="0.3">
      <c r="A632">
        <v>15300000</v>
      </c>
      <c r="B632">
        <v>10988</v>
      </c>
      <c r="C632">
        <v>4100000</v>
      </c>
      <c r="D632">
        <v>2656528205</v>
      </c>
    </row>
    <row r="633" spans="1:4" x14ac:dyDescent="0.3">
      <c r="A633">
        <v>15200000</v>
      </c>
      <c r="B633">
        <v>194</v>
      </c>
      <c r="C633">
        <v>3100000</v>
      </c>
      <c r="D633">
        <v>857725714</v>
      </c>
    </row>
    <row r="634" spans="1:4" x14ac:dyDescent="0.3">
      <c r="A634">
        <v>15200000</v>
      </c>
      <c r="B634">
        <v>106</v>
      </c>
      <c r="C634">
        <v>4700000</v>
      </c>
      <c r="D634">
        <v>4503880875</v>
      </c>
    </row>
    <row r="635" spans="1:4" x14ac:dyDescent="0.3">
      <c r="A635">
        <v>15200000</v>
      </c>
      <c r="B635">
        <v>11099</v>
      </c>
      <c r="C635">
        <v>10100000</v>
      </c>
      <c r="D635">
        <v>7151683497</v>
      </c>
    </row>
    <row r="636" spans="1:4" x14ac:dyDescent="0.3">
      <c r="A636">
        <v>15200000</v>
      </c>
      <c r="B636">
        <v>5056</v>
      </c>
      <c r="C636">
        <v>2800000</v>
      </c>
      <c r="D636">
        <v>6391679636</v>
      </c>
    </row>
    <row r="637" spans="1:4" x14ac:dyDescent="0.3">
      <c r="A637">
        <v>15200000</v>
      </c>
      <c r="B637">
        <v>9862</v>
      </c>
      <c r="C637">
        <v>5100000</v>
      </c>
      <c r="D637">
        <v>7564652648</v>
      </c>
    </row>
    <row r="638" spans="1:4" x14ac:dyDescent="0.3">
      <c r="A638">
        <v>15200000</v>
      </c>
      <c r="B638">
        <v>91704</v>
      </c>
      <c r="C638">
        <v>2400000</v>
      </c>
      <c r="D638">
        <v>6624168155</v>
      </c>
    </row>
    <row r="639" spans="1:4" x14ac:dyDescent="0.3">
      <c r="A639">
        <v>15200000</v>
      </c>
      <c r="B639">
        <v>160405</v>
      </c>
      <c r="C639">
        <v>9000000</v>
      </c>
      <c r="D639">
        <v>14198154095</v>
      </c>
    </row>
    <row r="640" spans="1:4" x14ac:dyDescent="0.3">
      <c r="A640">
        <v>15200000</v>
      </c>
      <c r="B640">
        <v>443</v>
      </c>
      <c r="C640">
        <v>479000</v>
      </c>
      <c r="D640">
        <v>1491452935</v>
      </c>
    </row>
    <row r="641" spans="1:4" x14ac:dyDescent="0.3">
      <c r="A641">
        <v>15200000</v>
      </c>
      <c r="B641">
        <v>654</v>
      </c>
      <c r="C641">
        <v>212500</v>
      </c>
      <c r="D641">
        <v>8333387785</v>
      </c>
    </row>
    <row r="642" spans="1:4" x14ac:dyDescent="0.3">
      <c r="A642">
        <v>15100000</v>
      </c>
      <c r="B642">
        <v>1</v>
      </c>
      <c r="C642">
        <v>0</v>
      </c>
      <c r="D642">
        <v>4967784343</v>
      </c>
    </row>
    <row r="643" spans="1:4" x14ac:dyDescent="0.3">
      <c r="A643">
        <v>15100000</v>
      </c>
      <c r="B643">
        <v>18</v>
      </c>
      <c r="C643">
        <v>1300000</v>
      </c>
      <c r="D643">
        <v>1576633086</v>
      </c>
    </row>
    <row r="644" spans="1:4" x14ac:dyDescent="0.3">
      <c r="A644">
        <v>15100000</v>
      </c>
      <c r="B644">
        <v>159</v>
      </c>
      <c r="C644">
        <v>4</v>
      </c>
      <c r="D644">
        <v>2400037562</v>
      </c>
    </row>
    <row r="645" spans="1:4" x14ac:dyDescent="0.3">
      <c r="A645">
        <v>15100000</v>
      </c>
      <c r="B645">
        <v>210</v>
      </c>
      <c r="C645">
        <v>767200</v>
      </c>
      <c r="D645">
        <v>1777072487</v>
      </c>
    </row>
    <row r="646" spans="1:4" x14ac:dyDescent="0.3">
      <c r="A646">
        <v>15100000</v>
      </c>
      <c r="B646">
        <v>1037</v>
      </c>
      <c r="C646">
        <v>2100000</v>
      </c>
      <c r="D646">
        <v>3060202847</v>
      </c>
    </row>
    <row r="647" spans="1:4" x14ac:dyDescent="0.3">
      <c r="A647">
        <v>15100000</v>
      </c>
      <c r="B647">
        <v>2618</v>
      </c>
      <c r="C647">
        <v>573900</v>
      </c>
      <c r="D647">
        <v>2761547758</v>
      </c>
    </row>
    <row r="648" spans="1:4" x14ac:dyDescent="0.3">
      <c r="A648">
        <v>15100000</v>
      </c>
      <c r="B648">
        <v>3810</v>
      </c>
      <c r="C648">
        <v>827100</v>
      </c>
      <c r="D648">
        <v>2143140898</v>
      </c>
    </row>
    <row r="649" spans="1:4" x14ac:dyDescent="0.3">
      <c r="A649">
        <v>15100000</v>
      </c>
      <c r="B649">
        <v>2717</v>
      </c>
      <c r="C649">
        <v>34200000</v>
      </c>
      <c r="D649">
        <v>13897932103</v>
      </c>
    </row>
    <row r="650" spans="1:4" x14ac:dyDescent="0.3">
      <c r="A650">
        <v>15100000</v>
      </c>
      <c r="B650">
        <v>3733</v>
      </c>
      <c r="C650">
        <v>4600000</v>
      </c>
      <c r="D650">
        <v>6668507856</v>
      </c>
    </row>
    <row r="651" spans="1:4" x14ac:dyDescent="0.3">
      <c r="A651">
        <v>15100000</v>
      </c>
      <c r="B651">
        <v>209520</v>
      </c>
      <c r="C651">
        <v>8700000</v>
      </c>
      <c r="D651">
        <v>10489367372</v>
      </c>
    </row>
    <row r="652" spans="1:4" x14ac:dyDescent="0.3">
      <c r="A652">
        <v>15100000</v>
      </c>
      <c r="B652">
        <v>533</v>
      </c>
      <c r="C652">
        <v>594000</v>
      </c>
      <c r="D652">
        <v>1760131384</v>
      </c>
    </row>
    <row r="653" spans="1:4" x14ac:dyDescent="0.3">
      <c r="A653">
        <v>15100000</v>
      </c>
      <c r="B653">
        <v>753</v>
      </c>
      <c r="C653">
        <v>2200000</v>
      </c>
      <c r="D653">
        <v>5324913850</v>
      </c>
    </row>
    <row r="654" spans="1:4" x14ac:dyDescent="0.3">
      <c r="A654">
        <v>15100000</v>
      </c>
      <c r="B654">
        <v>52</v>
      </c>
      <c r="C654">
        <v>4100000</v>
      </c>
      <c r="D654">
        <v>12413869881</v>
      </c>
    </row>
    <row r="655" spans="1:4" x14ac:dyDescent="0.3">
      <c r="A655">
        <v>15100000</v>
      </c>
      <c r="B655">
        <v>776</v>
      </c>
      <c r="C655">
        <v>2000000</v>
      </c>
      <c r="D655">
        <v>7857371770</v>
      </c>
    </row>
    <row r="656" spans="1:4" x14ac:dyDescent="0.3">
      <c r="A656">
        <v>15100000</v>
      </c>
      <c r="B656">
        <v>2997</v>
      </c>
      <c r="C656">
        <v>286600</v>
      </c>
      <c r="D656">
        <v>4236036141</v>
      </c>
    </row>
    <row r="657" spans="1:4" x14ac:dyDescent="0.3">
      <c r="A657">
        <v>15100000</v>
      </c>
      <c r="B657">
        <v>921</v>
      </c>
      <c r="C657">
        <v>24600000</v>
      </c>
      <c r="D657">
        <v>9477021288</v>
      </c>
    </row>
    <row r="658" spans="1:4" x14ac:dyDescent="0.3">
      <c r="A658">
        <v>15000000</v>
      </c>
      <c r="B658">
        <v>68</v>
      </c>
      <c r="C658">
        <v>0</v>
      </c>
      <c r="D658">
        <v>9996133066</v>
      </c>
    </row>
    <row r="659" spans="1:4" x14ac:dyDescent="0.3">
      <c r="A659">
        <v>15000000</v>
      </c>
      <c r="B659">
        <v>206</v>
      </c>
      <c r="C659">
        <v>48</v>
      </c>
      <c r="D659">
        <v>7536093065</v>
      </c>
    </row>
    <row r="660" spans="1:4" x14ac:dyDescent="0.3">
      <c r="A660">
        <v>15000000</v>
      </c>
      <c r="B660">
        <v>3168</v>
      </c>
      <c r="C660">
        <v>6300000</v>
      </c>
      <c r="D660">
        <v>8932038210</v>
      </c>
    </row>
    <row r="661" spans="1:4" x14ac:dyDescent="0.3">
      <c r="A661">
        <v>15000000</v>
      </c>
      <c r="B661">
        <v>965</v>
      </c>
      <c r="C661">
        <v>4900000</v>
      </c>
      <c r="D661">
        <v>8658553456</v>
      </c>
    </row>
    <row r="662" spans="1:4" x14ac:dyDescent="0.3">
      <c r="A662">
        <v>15000000</v>
      </c>
      <c r="B662">
        <v>899</v>
      </c>
      <c r="C662">
        <v>5500000</v>
      </c>
      <c r="D662">
        <v>9924103188</v>
      </c>
    </row>
    <row r="663" spans="1:4" x14ac:dyDescent="0.3">
      <c r="A663">
        <v>15000000</v>
      </c>
      <c r="B663">
        <v>2726</v>
      </c>
      <c r="C663">
        <v>11600000</v>
      </c>
      <c r="D663">
        <v>9978734160</v>
      </c>
    </row>
    <row r="664" spans="1:4" x14ac:dyDescent="0.3">
      <c r="A664">
        <v>15000000</v>
      </c>
      <c r="B664">
        <v>1362</v>
      </c>
      <c r="C664">
        <v>2100000</v>
      </c>
      <c r="D664">
        <v>7159750970</v>
      </c>
    </row>
    <row r="665" spans="1:4" x14ac:dyDescent="0.3">
      <c r="A665">
        <v>15000000</v>
      </c>
      <c r="B665">
        <v>1803</v>
      </c>
      <c r="C665">
        <v>15000000</v>
      </c>
      <c r="D665">
        <v>10239836582</v>
      </c>
    </row>
    <row r="666" spans="1:4" x14ac:dyDescent="0.3">
      <c r="A666">
        <v>15000000</v>
      </c>
      <c r="B666">
        <v>5198</v>
      </c>
      <c r="C666">
        <v>1400000</v>
      </c>
      <c r="D666">
        <v>6889304306</v>
      </c>
    </row>
    <row r="667" spans="1:4" x14ac:dyDescent="0.3">
      <c r="A667">
        <v>15000000</v>
      </c>
      <c r="B667">
        <v>0</v>
      </c>
      <c r="C667">
        <v>0</v>
      </c>
      <c r="D667">
        <v>2730879024</v>
      </c>
    </row>
    <row r="668" spans="1:4" x14ac:dyDescent="0.3">
      <c r="A668">
        <v>15000000</v>
      </c>
      <c r="B668">
        <v>20292</v>
      </c>
      <c r="C668">
        <v>2000000</v>
      </c>
      <c r="D668">
        <v>4741434420</v>
      </c>
    </row>
    <row r="669" spans="1:4" x14ac:dyDescent="0.3">
      <c r="A669">
        <v>15000000</v>
      </c>
      <c r="B669">
        <v>269050</v>
      </c>
      <c r="C669">
        <v>5400000</v>
      </c>
      <c r="D669">
        <v>11827310821</v>
      </c>
    </row>
    <row r="670" spans="1:4" x14ac:dyDescent="0.3">
      <c r="A670">
        <v>15000000</v>
      </c>
      <c r="B670">
        <v>795</v>
      </c>
      <c r="C670">
        <v>7000000</v>
      </c>
      <c r="D670">
        <v>8897705695</v>
      </c>
    </row>
    <row r="671" spans="1:4" x14ac:dyDescent="0.3">
      <c r="A671">
        <v>15000000</v>
      </c>
      <c r="B671">
        <v>340</v>
      </c>
      <c r="C671">
        <v>8800000</v>
      </c>
      <c r="D671">
        <v>11506702632</v>
      </c>
    </row>
    <row r="672" spans="1:4" x14ac:dyDescent="0.3">
      <c r="A672">
        <v>15000000</v>
      </c>
      <c r="B672">
        <v>1788</v>
      </c>
      <c r="C672">
        <v>13600000</v>
      </c>
      <c r="D672">
        <v>13562853889</v>
      </c>
    </row>
    <row r="673" spans="1:4" x14ac:dyDescent="0.3">
      <c r="A673">
        <v>15000000</v>
      </c>
      <c r="B673">
        <v>724</v>
      </c>
      <c r="C673">
        <v>1600000</v>
      </c>
      <c r="D673">
        <v>4008801873</v>
      </c>
    </row>
    <row r="674" spans="1:4" x14ac:dyDescent="0.3">
      <c r="A674">
        <v>15000000</v>
      </c>
      <c r="B674">
        <v>2324</v>
      </c>
      <c r="C674">
        <v>12000000</v>
      </c>
      <c r="D674">
        <v>4352427049</v>
      </c>
    </row>
    <row r="675" spans="1:4" x14ac:dyDescent="0.3">
      <c r="A675">
        <v>14900000</v>
      </c>
      <c r="B675">
        <v>1363</v>
      </c>
      <c r="C675">
        <v>16600000</v>
      </c>
      <c r="D675">
        <v>15913320995</v>
      </c>
    </row>
    <row r="676" spans="1:4" x14ac:dyDescent="0.3">
      <c r="A676">
        <v>14900000</v>
      </c>
      <c r="B676">
        <v>127</v>
      </c>
      <c r="C676">
        <v>2700000</v>
      </c>
      <c r="D676">
        <v>4395184343</v>
      </c>
    </row>
    <row r="677" spans="1:4" x14ac:dyDescent="0.3">
      <c r="A677">
        <v>14900000</v>
      </c>
      <c r="B677">
        <v>419</v>
      </c>
      <c r="C677">
        <v>5800000</v>
      </c>
      <c r="D677">
        <v>10069000444</v>
      </c>
    </row>
    <row r="678" spans="1:4" x14ac:dyDescent="0.3">
      <c r="A678">
        <v>14900000</v>
      </c>
      <c r="B678">
        <v>86</v>
      </c>
      <c r="C678">
        <v>530100</v>
      </c>
      <c r="D678">
        <v>4033400167</v>
      </c>
    </row>
    <row r="679" spans="1:4" x14ac:dyDescent="0.3">
      <c r="A679">
        <v>14900000</v>
      </c>
      <c r="B679">
        <v>66362</v>
      </c>
      <c r="C679">
        <v>2100000</v>
      </c>
      <c r="D679">
        <v>8074260978</v>
      </c>
    </row>
    <row r="680" spans="1:4" x14ac:dyDescent="0.3">
      <c r="A680">
        <v>14900000</v>
      </c>
      <c r="B680">
        <v>4175</v>
      </c>
      <c r="C680">
        <v>1900000</v>
      </c>
      <c r="D680">
        <v>5956193599</v>
      </c>
    </row>
    <row r="681" spans="1:4" x14ac:dyDescent="0.3">
      <c r="A681">
        <v>14900000</v>
      </c>
      <c r="B681">
        <v>8420</v>
      </c>
      <c r="C681">
        <v>665200</v>
      </c>
      <c r="D681">
        <v>4977284539</v>
      </c>
    </row>
    <row r="682" spans="1:4" x14ac:dyDescent="0.3">
      <c r="A682">
        <v>14800000</v>
      </c>
      <c r="B682">
        <v>0</v>
      </c>
      <c r="C682">
        <v>0</v>
      </c>
      <c r="D682">
        <v>9383431376</v>
      </c>
    </row>
    <row r="683" spans="1:4" x14ac:dyDescent="0.3">
      <c r="A683">
        <v>14800000</v>
      </c>
      <c r="B683">
        <v>2222</v>
      </c>
      <c r="C683">
        <v>57800000</v>
      </c>
      <c r="D683">
        <v>15788208522</v>
      </c>
    </row>
    <row r="684" spans="1:4" x14ac:dyDescent="0.3">
      <c r="A684">
        <v>14800000</v>
      </c>
      <c r="B684">
        <v>3867</v>
      </c>
      <c r="C684">
        <v>2600000</v>
      </c>
      <c r="D684">
        <v>8866012877</v>
      </c>
    </row>
    <row r="685" spans="1:4" x14ac:dyDescent="0.3">
      <c r="A685">
        <v>14800000</v>
      </c>
      <c r="B685">
        <v>195</v>
      </c>
      <c r="C685">
        <v>1100000</v>
      </c>
      <c r="D685">
        <v>3587576784</v>
      </c>
    </row>
    <row r="686" spans="1:4" x14ac:dyDescent="0.3">
      <c r="A686">
        <v>14800000</v>
      </c>
      <c r="B686">
        <v>233</v>
      </c>
      <c r="C686">
        <v>2500000</v>
      </c>
      <c r="D686">
        <v>8649303688</v>
      </c>
    </row>
    <row r="687" spans="1:4" x14ac:dyDescent="0.3">
      <c r="A687">
        <v>14800000</v>
      </c>
      <c r="B687">
        <v>1210</v>
      </c>
      <c r="C687">
        <v>2900000</v>
      </c>
      <c r="D687">
        <v>13356517783</v>
      </c>
    </row>
    <row r="688" spans="1:4" x14ac:dyDescent="0.3">
      <c r="A688">
        <v>14800000</v>
      </c>
      <c r="B688">
        <v>1481</v>
      </c>
      <c r="C688">
        <v>344500</v>
      </c>
      <c r="D688">
        <v>1833519700</v>
      </c>
    </row>
    <row r="689" spans="1:4" x14ac:dyDescent="0.3">
      <c r="A689">
        <v>14800000</v>
      </c>
      <c r="B689">
        <v>318</v>
      </c>
      <c r="C689">
        <v>4200000</v>
      </c>
      <c r="D689">
        <v>9076642765</v>
      </c>
    </row>
    <row r="690" spans="1:4" x14ac:dyDescent="0.3">
      <c r="A690">
        <v>14800000</v>
      </c>
      <c r="B690">
        <v>34</v>
      </c>
      <c r="C690">
        <v>1800</v>
      </c>
      <c r="D690">
        <v>272678287</v>
      </c>
    </row>
    <row r="691" spans="1:4" x14ac:dyDescent="0.3">
      <c r="A691">
        <v>14800000</v>
      </c>
      <c r="B691">
        <v>3834</v>
      </c>
      <c r="C691">
        <v>1000000</v>
      </c>
      <c r="D691">
        <v>5269059435</v>
      </c>
    </row>
    <row r="692" spans="1:4" x14ac:dyDescent="0.3">
      <c r="A692">
        <v>14700000</v>
      </c>
      <c r="B692">
        <v>43564</v>
      </c>
      <c r="C692">
        <v>3600000</v>
      </c>
      <c r="D692">
        <v>4029253667</v>
      </c>
    </row>
    <row r="693" spans="1:4" x14ac:dyDescent="0.3">
      <c r="A693">
        <v>14700000</v>
      </c>
      <c r="B693">
        <v>23490</v>
      </c>
      <c r="C693">
        <v>16700000</v>
      </c>
      <c r="D693">
        <v>12362331529</v>
      </c>
    </row>
    <row r="694" spans="1:4" x14ac:dyDescent="0.3">
      <c r="A694">
        <v>14700000</v>
      </c>
      <c r="B694">
        <v>85</v>
      </c>
      <c r="C694">
        <v>229500</v>
      </c>
      <c r="D694">
        <v>1321380490</v>
      </c>
    </row>
    <row r="695" spans="1:4" x14ac:dyDescent="0.3">
      <c r="A695">
        <v>14700000</v>
      </c>
      <c r="B695">
        <v>1996</v>
      </c>
      <c r="C695">
        <v>3800000</v>
      </c>
      <c r="D695">
        <v>8882319696</v>
      </c>
    </row>
    <row r="696" spans="1:4" x14ac:dyDescent="0.3">
      <c r="A696">
        <v>14700000</v>
      </c>
      <c r="B696">
        <v>317</v>
      </c>
      <c r="C696">
        <v>911000</v>
      </c>
      <c r="D696">
        <v>2465473772</v>
      </c>
    </row>
    <row r="697" spans="1:4" x14ac:dyDescent="0.3">
      <c r="A697">
        <v>14700000</v>
      </c>
      <c r="B697">
        <v>4340</v>
      </c>
      <c r="C697">
        <v>0</v>
      </c>
      <c r="D697">
        <v>7255848125</v>
      </c>
    </row>
    <row r="698" spans="1:4" x14ac:dyDescent="0.3">
      <c r="A698">
        <v>14700000</v>
      </c>
      <c r="B698">
        <v>80830</v>
      </c>
      <c r="C698">
        <v>8900000</v>
      </c>
      <c r="D698">
        <v>12961669452</v>
      </c>
    </row>
    <row r="699" spans="1:4" x14ac:dyDescent="0.3">
      <c r="A699">
        <v>14700000</v>
      </c>
      <c r="B699">
        <v>698</v>
      </c>
      <c r="C699">
        <v>1700000</v>
      </c>
      <c r="D699">
        <v>6751985988</v>
      </c>
    </row>
    <row r="700" spans="1:4" x14ac:dyDescent="0.3">
      <c r="A700">
        <v>14700000</v>
      </c>
      <c r="B700">
        <v>3978</v>
      </c>
      <c r="C700">
        <v>2000000</v>
      </c>
      <c r="D700">
        <v>4684983333</v>
      </c>
    </row>
    <row r="701" spans="1:4" x14ac:dyDescent="0.3">
      <c r="A701">
        <v>14700000</v>
      </c>
      <c r="B701">
        <v>554</v>
      </c>
      <c r="C701">
        <v>10900</v>
      </c>
      <c r="D701">
        <v>1506796393</v>
      </c>
    </row>
    <row r="702" spans="1:4" x14ac:dyDescent="0.3">
      <c r="A702">
        <v>14600000</v>
      </c>
      <c r="B702">
        <v>560</v>
      </c>
      <c r="C702">
        <v>6700000</v>
      </c>
      <c r="D702">
        <v>5525773746</v>
      </c>
    </row>
    <row r="703" spans="1:4" x14ac:dyDescent="0.3">
      <c r="A703">
        <v>14600000</v>
      </c>
      <c r="B703">
        <v>67</v>
      </c>
      <c r="C703">
        <v>1800000</v>
      </c>
      <c r="D703">
        <v>7952268926</v>
      </c>
    </row>
    <row r="704" spans="1:4" x14ac:dyDescent="0.3">
      <c r="A704">
        <v>14600000</v>
      </c>
      <c r="B704">
        <v>1244</v>
      </c>
      <c r="C704">
        <v>4400000</v>
      </c>
      <c r="D704">
        <v>3603556207</v>
      </c>
    </row>
    <row r="705" spans="1:4" x14ac:dyDescent="0.3">
      <c r="A705">
        <v>14600000</v>
      </c>
      <c r="B705">
        <v>4009</v>
      </c>
      <c r="C705">
        <v>7300000</v>
      </c>
      <c r="D705">
        <v>5766647017</v>
      </c>
    </row>
    <row r="706" spans="1:4" x14ac:dyDescent="0.3">
      <c r="A706">
        <v>14600000</v>
      </c>
      <c r="B706">
        <v>365</v>
      </c>
      <c r="C706">
        <v>1700000</v>
      </c>
      <c r="D706">
        <v>6017932195</v>
      </c>
    </row>
    <row r="707" spans="1:4" x14ac:dyDescent="0.3">
      <c r="A707">
        <v>14600000</v>
      </c>
      <c r="B707">
        <v>951</v>
      </c>
      <c r="C707">
        <v>506300</v>
      </c>
      <c r="D707">
        <v>4622581344</v>
      </c>
    </row>
    <row r="708" spans="1:4" x14ac:dyDescent="0.3">
      <c r="A708">
        <v>14600000</v>
      </c>
      <c r="B708">
        <v>1206</v>
      </c>
      <c r="C708">
        <v>5300000</v>
      </c>
      <c r="D708">
        <v>11182302317</v>
      </c>
    </row>
    <row r="709" spans="1:4" x14ac:dyDescent="0.3">
      <c r="A709">
        <v>14600000</v>
      </c>
      <c r="B709">
        <v>603</v>
      </c>
      <c r="C709">
        <v>2400000</v>
      </c>
      <c r="D709">
        <v>2750902766</v>
      </c>
    </row>
    <row r="710" spans="1:4" x14ac:dyDescent="0.3">
      <c r="A710">
        <v>14600000</v>
      </c>
      <c r="B710">
        <v>961</v>
      </c>
      <c r="C710">
        <v>2900000</v>
      </c>
      <c r="D710">
        <v>3337074920</v>
      </c>
    </row>
    <row r="711" spans="1:4" x14ac:dyDescent="0.3">
      <c r="A711">
        <v>14600000</v>
      </c>
      <c r="B711">
        <v>490</v>
      </c>
      <c r="C711">
        <v>787600</v>
      </c>
      <c r="D711">
        <v>2613197447</v>
      </c>
    </row>
    <row r="712" spans="1:4" x14ac:dyDescent="0.3">
      <c r="A712">
        <v>14500000</v>
      </c>
      <c r="B712">
        <v>39</v>
      </c>
      <c r="C712">
        <v>2300000</v>
      </c>
      <c r="D712">
        <v>9201428420</v>
      </c>
    </row>
    <row r="713" spans="1:4" x14ac:dyDescent="0.3">
      <c r="A713">
        <v>14500000</v>
      </c>
      <c r="B713">
        <v>514</v>
      </c>
      <c r="C713">
        <v>1100000</v>
      </c>
      <c r="D713">
        <v>1739129375</v>
      </c>
    </row>
    <row r="714" spans="1:4" x14ac:dyDescent="0.3">
      <c r="A714">
        <v>14500000</v>
      </c>
      <c r="B714">
        <v>293516</v>
      </c>
      <c r="C714">
        <v>20100000</v>
      </c>
      <c r="D714">
        <v>10303519926</v>
      </c>
    </row>
    <row r="715" spans="1:4" x14ac:dyDescent="0.3">
      <c r="A715">
        <v>14500000</v>
      </c>
      <c r="B715">
        <v>4790</v>
      </c>
      <c r="C715">
        <v>2300000</v>
      </c>
      <c r="D715">
        <v>6290721701</v>
      </c>
    </row>
    <row r="716" spans="1:4" x14ac:dyDescent="0.3">
      <c r="A716">
        <v>14500000</v>
      </c>
      <c r="B716">
        <v>479</v>
      </c>
      <c r="C716">
        <v>1400000</v>
      </c>
      <c r="D716">
        <v>6944967581</v>
      </c>
    </row>
    <row r="717" spans="1:4" x14ac:dyDescent="0.3">
      <c r="A717">
        <v>14500000</v>
      </c>
      <c r="B717">
        <v>605</v>
      </c>
      <c r="C717">
        <v>7200000</v>
      </c>
      <c r="D717">
        <v>4821183481</v>
      </c>
    </row>
    <row r="718" spans="1:4" x14ac:dyDescent="0.3">
      <c r="A718">
        <v>14500000</v>
      </c>
      <c r="B718">
        <v>453</v>
      </c>
      <c r="C718">
        <v>21600</v>
      </c>
      <c r="D718">
        <v>4577292740</v>
      </c>
    </row>
    <row r="719" spans="1:4" x14ac:dyDescent="0.3">
      <c r="A719">
        <v>14500000</v>
      </c>
      <c r="B719">
        <v>1717</v>
      </c>
      <c r="C719">
        <v>475700</v>
      </c>
      <c r="D719">
        <v>4260187928</v>
      </c>
    </row>
    <row r="720" spans="1:4" x14ac:dyDescent="0.3">
      <c r="A720">
        <v>14500000</v>
      </c>
      <c r="B720">
        <v>147</v>
      </c>
      <c r="C720">
        <v>4700000</v>
      </c>
      <c r="D720">
        <v>20042571499</v>
      </c>
    </row>
    <row r="721" spans="1:4" x14ac:dyDescent="0.3">
      <c r="A721">
        <v>14500000</v>
      </c>
      <c r="B721">
        <v>19201</v>
      </c>
      <c r="C721">
        <v>2300000</v>
      </c>
      <c r="D721">
        <v>8582696157</v>
      </c>
    </row>
    <row r="722" spans="1:4" x14ac:dyDescent="0.3">
      <c r="A722">
        <v>14500000</v>
      </c>
      <c r="B722">
        <v>5430</v>
      </c>
      <c r="C722">
        <v>136200</v>
      </c>
      <c r="D722">
        <v>3551889957</v>
      </c>
    </row>
    <row r="723" spans="1:4" x14ac:dyDescent="0.3">
      <c r="A723">
        <v>14500000</v>
      </c>
      <c r="B723">
        <v>68606</v>
      </c>
      <c r="C723">
        <v>2200000</v>
      </c>
      <c r="D723">
        <v>9383692066</v>
      </c>
    </row>
    <row r="724" spans="1:4" x14ac:dyDescent="0.3">
      <c r="A724">
        <v>14500000</v>
      </c>
      <c r="B724">
        <v>18972</v>
      </c>
      <c r="C724">
        <v>3200000</v>
      </c>
      <c r="D724">
        <v>4598387043</v>
      </c>
    </row>
    <row r="725" spans="1:4" x14ac:dyDescent="0.3">
      <c r="A725">
        <v>14500000</v>
      </c>
      <c r="B725">
        <v>618</v>
      </c>
      <c r="C725">
        <v>238100</v>
      </c>
      <c r="D725">
        <v>5014888374</v>
      </c>
    </row>
    <row r="726" spans="1:4" x14ac:dyDescent="0.3">
      <c r="A726">
        <v>14500000</v>
      </c>
      <c r="B726">
        <v>1064</v>
      </c>
      <c r="C726">
        <v>255800</v>
      </c>
      <c r="D726">
        <v>3517662420</v>
      </c>
    </row>
    <row r="727" spans="1:4" x14ac:dyDescent="0.3">
      <c r="A727">
        <v>14500000</v>
      </c>
      <c r="B727">
        <v>176</v>
      </c>
      <c r="C727">
        <v>1800000</v>
      </c>
      <c r="D727">
        <v>4315486422</v>
      </c>
    </row>
    <row r="728" spans="1:4" x14ac:dyDescent="0.3">
      <c r="A728">
        <v>14400000</v>
      </c>
      <c r="B728">
        <v>978</v>
      </c>
      <c r="C728">
        <v>3000000</v>
      </c>
      <c r="D728">
        <v>9023952946</v>
      </c>
    </row>
    <row r="729" spans="1:4" x14ac:dyDescent="0.3">
      <c r="A729">
        <v>14400000</v>
      </c>
      <c r="B729">
        <v>2</v>
      </c>
      <c r="C729">
        <v>0.1</v>
      </c>
      <c r="D729">
        <v>351763324</v>
      </c>
    </row>
    <row r="730" spans="1:4" x14ac:dyDescent="0.3">
      <c r="A730">
        <v>14400000</v>
      </c>
      <c r="B730">
        <v>5628</v>
      </c>
      <c r="C730">
        <v>10200000</v>
      </c>
      <c r="D730">
        <v>8011977288</v>
      </c>
    </row>
    <row r="731" spans="1:4" x14ac:dyDescent="0.3">
      <c r="A731">
        <v>14400000</v>
      </c>
      <c r="B731">
        <v>101401</v>
      </c>
      <c r="C731">
        <v>7200000</v>
      </c>
      <c r="D731">
        <v>18515587421</v>
      </c>
    </row>
    <row r="732" spans="1:4" x14ac:dyDescent="0.3">
      <c r="A732">
        <v>14400000</v>
      </c>
      <c r="B732">
        <v>3086</v>
      </c>
      <c r="C732">
        <v>666800</v>
      </c>
      <c r="D732">
        <v>2224121890</v>
      </c>
    </row>
    <row r="733" spans="1:4" x14ac:dyDescent="0.3">
      <c r="A733">
        <v>14400000</v>
      </c>
      <c r="B733">
        <v>1838</v>
      </c>
      <c r="C733">
        <v>3400000</v>
      </c>
      <c r="D733">
        <v>4156427797</v>
      </c>
    </row>
    <row r="734" spans="1:4" x14ac:dyDescent="0.3">
      <c r="A734">
        <v>14400000</v>
      </c>
      <c r="B734">
        <v>516</v>
      </c>
      <c r="C734">
        <v>1900000</v>
      </c>
      <c r="D734">
        <v>6543282459</v>
      </c>
    </row>
    <row r="735" spans="1:4" x14ac:dyDescent="0.3">
      <c r="A735">
        <v>14400000</v>
      </c>
      <c r="B735">
        <v>463</v>
      </c>
      <c r="C735">
        <v>414500</v>
      </c>
      <c r="D735">
        <v>3900312631</v>
      </c>
    </row>
    <row r="736" spans="1:4" x14ac:dyDescent="0.3">
      <c r="A736">
        <v>14400000</v>
      </c>
      <c r="B736">
        <v>1248</v>
      </c>
      <c r="C736">
        <v>1300000</v>
      </c>
      <c r="D736">
        <v>4597228794</v>
      </c>
    </row>
    <row r="737" spans="1:4" x14ac:dyDescent="0.3">
      <c r="A737">
        <v>14400000</v>
      </c>
      <c r="B737">
        <v>186</v>
      </c>
      <c r="C737">
        <v>4300000</v>
      </c>
      <c r="D737">
        <v>11423792969</v>
      </c>
    </row>
    <row r="738" spans="1:4" x14ac:dyDescent="0.3">
      <c r="A738">
        <v>14400000</v>
      </c>
      <c r="B738">
        <v>450</v>
      </c>
      <c r="C738">
        <v>170700</v>
      </c>
      <c r="D738">
        <v>4035738731</v>
      </c>
    </row>
    <row r="739" spans="1:4" x14ac:dyDescent="0.3">
      <c r="A739">
        <v>14400000</v>
      </c>
      <c r="B739">
        <v>222</v>
      </c>
      <c r="C739">
        <v>548000</v>
      </c>
      <c r="D739">
        <v>3086254545</v>
      </c>
    </row>
    <row r="740" spans="1:4" x14ac:dyDescent="0.3">
      <c r="A740">
        <v>14400000</v>
      </c>
      <c r="B740">
        <v>399</v>
      </c>
      <c r="C740">
        <v>48100</v>
      </c>
      <c r="D740">
        <v>1629801448</v>
      </c>
    </row>
    <row r="741" spans="1:4" x14ac:dyDescent="0.3">
      <c r="A741">
        <v>14300000</v>
      </c>
      <c r="B741">
        <v>576</v>
      </c>
      <c r="C741">
        <v>19900</v>
      </c>
      <c r="D741">
        <v>4776507159</v>
      </c>
    </row>
    <row r="742" spans="1:4" x14ac:dyDescent="0.3">
      <c r="A742">
        <v>14300000</v>
      </c>
      <c r="B742">
        <v>1</v>
      </c>
      <c r="C742">
        <v>0</v>
      </c>
      <c r="D742">
        <v>6388439235</v>
      </c>
    </row>
    <row r="743" spans="1:4" x14ac:dyDescent="0.3">
      <c r="A743">
        <v>14200000</v>
      </c>
      <c r="B743">
        <v>8</v>
      </c>
      <c r="C743">
        <v>346</v>
      </c>
      <c r="D743">
        <v>9964116817</v>
      </c>
    </row>
    <row r="744" spans="1:4" x14ac:dyDescent="0.3">
      <c r="A744">
        <v>14200000</v>
      </c>
      <c r="B744">
        <v>0</v>
      </c>
      <c r="C744">
        <v>0</v>
      </c>
      <c r="D744">
        <v>7946322061</v>
      </c>
    </row>
    <row r="745" spans="1:4" x14ac:dyDescent="0.3">
      <c r="A745">
        <v>14200000</v>
      </c>
      <c r="B745">
        <v>872</v>
      </c>
      <c r="C745">
        <v>17700000</v>
      </c>
      <c r="D745">
        <v>10238593147</v>
      </c>
    </row>
    <row r="746" spans="1:4" x14ac:dyDescent="0.3">
      <c r="A746">
        <v>14200000</v>
      </c>
      <c r="B746">
        <v>433</v>
      </c>
      <c r="C746">
        <v>6800000</v>
      </c>
      <c r="D746">
        <v>6554000320</v>
      </c>
    </row>
    <row r="747" spans="1:4" x14ac:dyDescent="0.3">
      <c r="A747">
        <v>14200000</v>
      </c>
      <c r="B747">
        <v>132398</v>
      </c>
      <c r="C747">
        <v>2900000</v>
      </c>
      <c r="D747">
        <v>11428794827</v>
      </c>
    </row>
    <row r="748" spans="1:4" x14ac:dyDescent="0.3">
      <c r="A748">
        <v>14200000</v>
      </c>
      <c r="B748">
        <v>1724</v>
      </c>
      <c r="C748">
        <v>619300</v>
      </c>
      <c r="D748">
        <v>3317805543</v>
      </c>
    </row>
    <row r="749" spans="1:4" x14ac:dyDescent="0.3">
      <c r="A749">
        <v>14200000</v>
      </c>
      <c r="B749">
        <v>1281</v>
      </c>
      <c r="C749">
        <v>913400</v>
      </c>
      <c r="D749">
        <v>4040297006</v>
      </c>
    </row>
    <row r="750" spans="1:4" x14ac:dyDescent="0.3">
      <c r="A750">
        <v>14200000</v>
      </c>
      <c r="B750">
        <v>1300</v>
      </c>
      <c r="C750">
        <v>2100000</v>
      </c>
      <c r="D750">
        <v>3920559552</v>
      </c>
    </row>
    <row r="751" spans="1:4" x14ac:dyDescent="0.3">
      <c r="A751">
        <v>14200000</v>
      </c>
      <c r="B751">
        <v>1823</v>
      </c>
      <c r="C751">
        <v>3000000</v>
      </c>
      <c r="D751">
        <v>6048517979</v>
      </c>
    </row>
    <row r="752" spans="1:4" x14ac:dyDescent="0.3">
      <c r="A752">
        <v>14200000</v>
      </c>
      <c r="B752">
        <v>342</v>
      </c>
      <c r="C752">
        <v>2600000</v>
      </c>
      <c r="D752">
        <v>2084791147</v>
      </c>
    </row>
    <row r="753" spans="1:4" x14ac:dyDescent="0.3">
      <c r="A753">
        <v>14200000</v>
      </c>
      <c r="B753">
        <v>60</v>
      </c>
      <c r="C753">
        <v>5</v>
      </c>
      <c r="D753">
        <v>6973932553</v>
      </c>
    </row>
    <row r="754" spans="1:4" x14ac:dyDescent="0.3">
      <c r="A754">
        <v>14200000</v>
      </c>
      <c r="B754">
        <v>876</v>
      </c>
      <c r="C754">
        <v>1700000</v>
      </c>
      <c r="D754">
        <v>1778318927</v>
      </c>
    </row>
    <row r="755" spans="1:4" x14ac:dyDescent="0.3">
      <c r="A755">
        <v>14100000</v>
      </c>
      <c r="B755">
        <v>846</v>
      </c>
      <c r="C755">
        <v>333200</v>
      </c>
      <c r="D755">
        <v>3594936775</v>
      </c>
    </row>
    <row r="756" spans="1:4" x14ac:dyDescent="0.3">
      <c r="A756">
        <v>14100000</v>
      </c>
      <c r="B756">
        <v>149</v>
      </c>
      <c r="C756">
        <v>1200000</v>
      </c>
      <c r="D756">
        <v>2131548711</v>
      </c>
    </row>
    <row r="757" spans="1:4" x14ac:dyDescent="0.3">
      <c r="A757">
        <v>14100000</v>
      </c>
      <c r="B757">
        <v>182</v>
      </c>
      <c r="C757">
        <v>4700000</v>
      </c>
      <c r="D757">
        <v>19013942981</v>
      </c>
    </row>
    <row r="758" spans="1:4" x14ac:dyDescent="0.3">
      <c r="A758">
        <v>14100000</v>
      </c>
      <c r="B758">
        <v>43</v>
      </c>
      <c r="C758">
        <v>6500000</v>
      </c>
      <c r="D758">
        <v>6884215292</v>
      </c>
    </row>
    <row r="759" spans="1:4" x14ac:dyDescent="0.3">
      <c r="A759">
        <v>14100000</v>
      </c>
      <c r="B759">
        <v>2854</v>
      </c>
      <c r="C759">
        <v>8500000</v>
      </c>
      <c r="D759">
        <v>6036496916</v>
      </c>
    </row>
    <row r="760" spans="1:4" x14ac:dyDescent="0.3">
      <c r="A760">
        <v>14100000</v>
      </c>
      <c r="B760">
        <v>1540</v>
      </c>
      <c r="C760">
        <v>600100</v>
      </c>
      <c r="D760">
        <v>4627069704</v>
      </c>
    </row>
    <row r="761" spans="1:4" x14ac:dyDescent="0.3">
      <c r="A761">
        <v>14100000</v>
      </c>
      <c r="B761">
        <v>777</v>
      </c>
      <c r="C761">
        <v>490600</v>
      </c>
      <c r="D761">
        <v>3280481927</v>
      </c>
    </row>
    <row r="762" spans="1:4" x14ac:dyDescent="0.3">
      <c r="A762">
        <v>14100000</v>
      </c>
      <c r="B762">
        <v>3</v>
      </c>
      <c r="C762">
        <v>7</v>
      </c>
      <c r="D762">
        <v>5129529846</v>
      </c>
    </row>
    <row r="763" spans="1:4" x14ac:dyDescent="0.3">
      <c r="A763">
        <v>14100000</v>
      </c>
      <c r="B763">
        <v>855</v>
      </c>
      <c r="C763">
        <v>17000000</v>
      </c>
      <c r="D763">
        <v>5405563355</v>
      </c>
    </row>
    <row r="764" spans="1:4" x14ac:dyDescent="0.3">
      <c r="A764">
        <v>14000000</v>
      </c>
      <c r="B764">
        <v>9652</v>
      </c>
      <c r="C764">
        <v>6400000</v>
      </c>
      <c r="D764">
        <v>13542939513</v>
      </c>
    </row>
    <row r="765" spans="1:4" x14ac:dyDescent="0.3">
      <c r="A765">
        <v>14000000</v>
      </c>
      <c r="B765">
        <v>3</v>
      </c>
      <c r="C765">
        <v>0.34</v>
      </c>
      <c r="D765">
        <v>12597067132</v>
      </c>
    </row>
    <row r="766" spans="1:4" x14ac:dyDescent="0.3">
      <c r="A766">
        <v>14000000</v>
      </c>
      <c r="B766">
        <v>41117</v>
      </c>
      <c r="C766">
        <v>65500000</v>
      </c>
      <c r="D766">
        <v>18917687143</v>
      </c>
    </row>
    <row r="767" spans="1:4" x14ac:dyDescent="0.3">
      <c r="A767">
        <v>14000000</v>
      </c>
      <c r="B767">
        <v>1307</v>
      </c>
      <c r="C767">
        <v>3300000</v>
      </c>
      <c r="D767">
        <v>5094050461</v>
      </c>
    </row>
    <row r="768" spans="1:4" x14ac:dyDescent="0.3">
      <c r="A768">
        <v>14000000</v>
      </c>
      <c r="B768">
        <v>5757</v>
      </c>
      <c r="C768">
        <v>490100</v>
      </c>
      <c r="D768">
        <v>4959982720</v>
      </c>
    </row>
    <row r="769" spans="1:4" x14ac:dyDescent="0.3">
      <c r="A769">
        <v>14000000</v>
      </c>
      <c r="B769">
        <v>651</v>
      </c>
      <c r="C769">
        <v>1300000</v>
      </c>
      <c r="D769">
        <v>4674164601</v>
      </c>
    </row>
    <row r="770" spans="1:4" x14ac:dyDescent="0.3">
      <c r="A770">
        <v>14000000</v>
      </c>
      <c r="B770">
        <v>62</v>
      </c>
      <c r="C770">
        <v>3400000</v>
      </c>
      <c r="D770">
        <v>9660950823</v>
      </c>
    </row>
    <row r="771" spans="1:4" x14ac:dyDescent="0.3">
      <c r="A771">
        <v>14000000</v>
      </c>
      <c r="B771">
        <v>294</v>
      </c>
      <c r="C771">
        <v>9700000</v>
      </c>
      <c r="D771">
        <v>8623705301</v>
      </c>
    </row>
    <row r="772" spans="1:4" x14ac:dyDescent="0.3">
      <c r="A772">
        <v>14000000</v>
      </c>
      <c r="B772">
        <v>431</v>
      </c>
      <c r="C772">
        <v>658000</v>
      </c>
      <c r="D772">
        <v>2214167846</v>
      </c>
    </row>
    <row r="773" spans="1:4" x14ac:dyDescent="0.3">
      <c r="A773">
        <v>13900000</v>
      </c>
      <c r="B773">
        <v>324</v>
      </c>
      <c r="C773">
        <v>11100000</v>
      </c>
      <c r="D773">
        <v>7450345720</v>
      </c>
    </row>
    <row r="774" spans="1:4" x14ac:dyDescent="0.3">
      <c r="A774">
        <v>13900000</v>
      </c>
      <c r="B774">
        <v>288</v>
      </c>
      <c r="C774">
        <v>6900000</v>
      </c>
      <c r="D774">
        <v>3193226072</v>
      </c>
    </row>
    <row r="775" spans="1:4" x14ac:dyDescent="0.3">
      <c r="A775">
        <v>13900000</v>
      </c>
      <c r="B775">
        <v>15075</v>
      </c>
      <c r="C775">
        <v>1600000</v>
      </c>
      <c r="D775">
        <v>5217553897</v>
      </c>
    </row>
    <row r="776" spans="1:4" x14ac:dyDescent="0.3">
      <c r="A776">
        <v>13900000</v>
      </c>
      <c r="B776">
        <v>503</v>
      </c>
      <c r="C776">
        <v>1300000</v>
      </c>
      <c r="D776">
        <v>5465532801</v>
      </c>
    </row>
    <row r="777" spans="1:4" x14ac:dyDescent="0.3">
      <c r="A777">
        <v>13900000</v>
      </c>
      <c r="B777">
        <v>369</v>
      </c>
      <c r="C777">
        <v>2100000</v>
      </c>
      <c r="D777">
        <v>2165885634</v>
      </c>
    </row>
    <row r="778" spans="1:4" x14ac:dyDescent="0.3">
      <c r="A778">
        <v>13900000</v>
      </c>
      <c r="B778">
        <v>183</v>
      </c>
      <c r="C778">
        <v>220700</v>
      </c>
      <c r="D778">
        <v>2244318380</v>
      </c>
    </row>
    <row r="779" spans="1:4" x14ac:dyDescent="0.3">
      <c r="A779">
        <v>13900000</v>
      </c>
      <c r="B779">
        <v>1660</v>
      </c>
      <c r="C779">
        <v>4700000</v>
      </c>
      <c r="D779">
        <v>12513842343</v>
      </c>
    </row>
    <row r="780" spans="1:4" x14ac:dyDescent="0.3">
      <c r="A780">
        <v>13900000</v>
      </c>
      <c r="B780">
        <v>5494</v>
      </c>
      <c r="C780">
        <v>5100000</v>
      </c>
      <c r="D780">
        <v>5673347763</v>
      </c>
    </row>
    <row r="781" spans="1:4" x14ac:dyDescent="0.3">
      <c r="A781">
        <v>13900000</v>
      </c>
      <c r="B781">
        <v>6</v>
      </c>
      <c r="C781">
        <v>0.05</v>
      </c>
      <c r="D781">
        <v>12129583055</v>
      </c>
    </row>
    <row r="782" spans="1:4" x14ac:dyDescent="0.3">
      <c r="A782">
        <v>13900000</v>
      </c>
      <c r="B782">
        <v>2254</v>
      </c>
      <c r="C782">
        <v>4200000</v>
      </c>
      <c r="D782">
        <v>9106781518</v>
      </c>
    </row>
    <row r="783" spans="1:4" x14ac:dyDescent="0.3">
      <c r="A783">
        <v>13800000</v>
      </c>
      <c r="B783">
        <v>16</v>
      </c>
      <c r="C783">
        <v>649600</v>
      </c>
      <c r="D783">
        <v>1493776391</v>
      </c>
    </row>
    <row r="784" spans="1:4" x14ac:dyDescent="0.3">
      <c r="A784">
        <v>13800000</v>
      </c>
      <c r="B784">
        <v>1505</v>
      </c>
      <c r="C784">
        <v>3800000</v>
      </c>
      <c r="D784">
        <v>6646953396</v>
      </c>
    </row>
    <row r="785" spans="1:4" x14ac:dyDescent="0.3">
      <c r="A785">
        <v>13800000</v>
      </c>
      <c r="B785">
        <v>4978</v>
      </c>
      <c r="C785">
        <v>10400000</v>
      </c>
      <c r="D785">
        <v>11039343563</v>
      </c>
    </row>
    <row r="786" spans="1:4" x14ac:dyDescent="0.3">
      <c r="A786">
        <v>13800000</v>
      </c>
      <c r="B786">
        <v>173</v>
      </c>
      <c r="C786">
        <v>4800000</v>
      </c>
      <c r="D786">
        <v>2224911030</v>
      </c>
    </row>
    <row r="787" spans="1:4" x14ac:dyDescent="0.3">
      <c r="A787">
        <v>13800000</v>
      </c>
      <c r="B787">
        <v>190093</v>
      </c>
      <c r="C787">
        <v>4800000</v>
      </c>
      <c r="D787">
        <v>5727888539</v>
      </c>
    </row>
    <row r="788" spans="1:4" x14ac:dyDescent="0.3">
      <c r="A788">
        <v>13800000</v>
      </c>
      <c r="B788">
        <v>520</v>
      </c>
      <c r="C788">
        <v>1300000</v>
      </c>
      <c r="D788">
        <v>5019136690</v>
      </c>
    </row>
    <row r="789" spans="1:4" x14ac:dyDescent="0.3">
      <c r="A789">
        <v>13800000</v>
      </c>
      <c r="B789">
        <v>887</v>
      </c>
      <c r="C789">
        <v>4000000</v>
      </c>
      <c r="D789">
        <v>1820559912</v>
      </c>
    </row>
    <row r="790" spans="1:4" x14ac:dyDescent="0.3">
      <c r="A790">
        <v>13700000</v>
      </c>
      <c r="B790">
        <v>1</v>
      </c>
      <c r="C790">
        <v>0.24</v>
      </c>
      <c r="D790">
        <v>2135195239</v>
      </c>
    </row>
    <row r="791" spans="1:4" x14ac:dyDescent="0.3">
      <c r="A791">
        <v>13700000</v>
      </c>
      <c r="B791">
        <v>1040</v>
      </c>
      <c r="C791">
        <v>18200000</v>
      </c>
      <c r="D791">
        <v>9596430464</v>
      </c>
    </row>
    <row r="792" spans="1:4" x14ac:dyDescent="0.3">
      <c r="A792">
        <v>13700000</v>
      </c>
      <c r="B792">
        <v>340</v>
      </c>
      <c r="C792">
        <v>1300000</v>
      </c>
      <c r="D792">
        <v>4963275018</v>
      </c>
    </row>
    <row r="793" spans="1:4" x14ac:dyDescent="0.3">
      <c r="A793">
        <v>13700000</v>
      </c>
      <c r="B793">
        <v>975</v>
      </c>
      <c r="C793">
        <v>1800000</v>
      </c>
      <c r="D793">
        <v>1973638757</v>
      </c>
    </row>
    <row r="794" spans="1:4" x14ac:dyDescent="0.3">
      <c r="A794">
        <v>13700000</v>
      </c>
      <c r="B794">
        <v>495</v>
      </c>
      <c r="C794">
        <v>1100000</v>
      </c>
      <c r="D794">
        <v>5178142148</v>
      </c>
    </row>
    <row r="795" spans="1:4" x14ac:dyDescent="0.3">
      <c r="A795">
        <v>13700000</v>
      </c>
      <c r="B795">
        <v>2158</v>
      </c>
      <c r="C795">
        <v>1100000</v>
      </c>
      <c r="D795">
        <v>2939201386</v>
      </c>
    </row>
    <row r="796" spans="1:4" x14ac:dyDescent="0.3">
      <c r="A796">
        <v>13700000</v>
      </c>
      <c r="B796">
        <v>696</v>
      </c>
      <c r="C796">
        <v>4200000</v>
      </c>
      <c r="D796">
        <v>1967930734</v>
      </c>
    </row>
    <row r="797" spans="1:4" x14ac:dyDescent="0.3">
      <c r="A797">
        <v>13700000</v>
      </c>
      <c r="B797">
        <v>438</v>
      </c>
      <c r="C797">
        <v>3100000</v>
      </c>
      <c r="D797">
        <v>8134379376</v>
      </c>
    </row>
    <row r="798" spans="1:4" x14ac:dyDescent="0.3">
      <c r="A798">
        <v>13700000</v>
      </c>
      <c r="B798">
        <v>3298</v>
      </c>
      <c r="C798">
        <v>357000</v>
      </c>
      <c r="D798">
        <v>1950178163</v>
      </c>
    </row>
    <row r="799" spans="1:4" x14ac:dyDescent="0.3">
      <c r="A799">
        <v>13700000</v>
      </c>
      <c r="B799">
        <v>863</v>
      </c>
      <c r="C799">
        <v>1700000</v>
      </c>
      <c r="D799">
        <v>5457203710</v>
      </c>
    </row>
    <row r="800" spans="1:4" x14ac:dyDescent="0.3">
      <c r="A800">
        <v>13600000</v>
      </c>
      <c r="B800">
        <v>1097</v>
      </c>
      <c r="C800">
        <v>516700</v>
      </c>
      <c r="D800">
        <v>5141201173</v>
      </c>
    </row>
    <row r="801" spans="1:4" x14ac:dyDescent="0.3">
      <c r="A801">
        <v>13600000</v>
      </c>
      <c r="B801">
        <v>8335</v>
      </c>
      <c r="C801">
        <v>2700000</v>
      </c>
      <c r="D801">
        <v>14717282742</v>
      </c>
    </row>
    <row r="802" spans="1:4" x14ac:dyDescent="0.3">
      <c r="A802">
        <v>13600000</v>
      </c>
      <c r="B802">
        <v>412</v>
      </c>
      <c r="C802">
        <v>1500000</v>
      </c>
      <c r="D802">
        <v>1948925559</v>
      </c>
    </row>
    <row r="803" spans="1:4" x14ac:dyDescent="0.3">
      <c r="A803">
        <v>13600000</v>
      </c>
      <c r="B803">
        <v>199</v>
      </c>
      <c r="C803">
        <v>733300</v>
      </c>
      <c r="D803">
        <v>3764608356</v>
      </c>
    </row>
    <row r="804" spans="1:4" x14ac:dyDescent="0.3">
      <c r="A804">
        <v>13600000</v>
      </c>
      <c r="B804">
        <v>273</v>
      </c>
      <c r="C804">
        <v>580200</v>
      </c>
      <c r="D804">
        <v>896891351</v>
      </c>
    </row>
    <row r="805" spans="1:4" x14ac:dyDescent="0.3">
      <c r="A805">
        <v>13600000</v>
      </c>
      <c r="B805">
        <v>16047</v>
      </c>
      <c r="C805">
        <v>2100000</v>
      </c>
      <c r="D805">
        <v>9685060624</v>
      </c>
    </row>
    <row r="806" spans="1:4" x14ac:dyDescent="0.3">
      <c r="A806">
        <v>13600000</v>
      </c>
      <c r="B806">
        <v>368</v>
      </c>
      <c r="C806">
        <v>2300000</v>
      </c>
      <c r="D806">
        <v>2122062016</v>
      </c>
    </row>
    <row r="807" spans="1:4" x14ac:dyDescent="0.3">
      <c r="A807">
        <v>13500000</v>
      </c>
      <c r="B807">
        <v>1357</v>
      </c>
      <c r="C807">
        <v>5300000</v>
      </c>
      <c r="D807">
        <v>7958771872</v>
      </c>
    </row>
    <row r="808" spans="1:4" x14ac:dyDescent="0.3">
      <c r="A808">
        <v>13500000</v>
      </c>
      <c r="B808">
        <v>1793</v>
      </c>
      <c r="C808">
        <v>8600000</v>
      </c>
      <c r="D808">
        <v>3912334359</v>
      </c>
    </row>
    <row r="809" spans="1:4" x14ac:dyDescent="0.3">
      <c r="A809">
        <v>13500000</v>
      </c>
      <c r="B809">
        <v>591</v>
      </c>
      <c r="C809">
        <v>1400000</v>
      </c>
      <c r="D809">
        <v>3445794123</v>
      </c>
    </row>
    <row r="810" spans="1:4" x14ac:dyDescent="0.3">
      <c r="A810">
        <v>13500000</v>
      </c>
      <c r="B810">
        <v>462</v>
      </c>
      <c r="C810">
        <v>64100</v>
      </c>
      <c r="D810">
        <v>1900272833</v>
      </c>
    </row>
    <row r="811" spans="1:4" x14ac:dyDescent="0.3">
      <c r="A811">
        <v>13500000</v>
      </c>
      <c r="B811">
        <v>321</v>
      </c>
      <c r="C811">
        <v>517800</v>
      </c>
      <c r="D811">
        <v>2750993392</v>
      </c>
    </row>
    <row r="812" spans="1:4" x14ac:dyDescent="0.3">
      <c r="A812">
        <v>13500000</v>
      </c>
      <c r="B812">
        <v>319</v>
      </c>
      <c r="C812">
        <v>644900</v>
      </c>
      <c r="D812">
        <v>1181292450</v>
      </c>
    </row>
    <row r="813" spans="1:4" x14ac:dyDescent="0.3">
      <c r="A813">
        <v>13500000</v>
      </c>
      <c r="B813">
        <v>19</v>
      </c>
      <c r="C813">
        <v>78</v>
      </c>
      <c r="D813">
        <v>5380132790</v>
      </c>
    </row>
    <row r="814" spans="1:4" x14ac:dyDescent="0.3">
      <c r="A814">
        <v>13500000</v>
      </c>
      <c r="B814">
        <v>975</v>
      </c>
      <c r="C814">
        <v>23800000</v>
      </c>
      <c r="D814">
        <v>11717217293</v>
      </c>
    </row>
    <row r="815" spans="1:4" x14ac:dyDescent="0.3">
      <c r="A815">
        <v>13500000</v>
      </c>
      <c r="B815">
        <v>814</v>
      </c>
      <c r="C815">
        <v>1700000</v>
      </c>
      <c r="D815">
        <v>5545936485</v>
      </c>
    </row>
    <row r="816" spans="1:4" x14ac:dyDescent="0.3">
      <c r="A816">
        <v>13500000</v>
      </c>
      <c r="B816">
        <v>1403</v>
      </c>
      <c r="C816">
        <v>3600000</v>
      </c>
      <c r="D816">
        <v>8265920659</v>
      </c>
    </row>
    <row r="817" spans="1:4" x14ac:dyDescent="0.3">
      <c r="A817">
        <v>13500000</v>
      </c>
      <c r="B817">
        <v>4312</v>
      </c>
      <c r="C817">
        <v>1600000</v>
      </c>
      <c r="D817">
        <v>4301581610</v>
      </c>
    </row>
    <row r="818" spans="1:4" x14ac:dyDescent="0.3">
      <c r="A818">
        <v>13400000</v>
      </c>
      <c r="B818">
        <v>256</v>
      </c>
      <c r="C818">
        <v>972700</v>
      </c>
      <c r="D818">
        <v>20563378</v>
      </c>
    </row>
    <row r="819" spans="1:4" x14ac:dyDescent="0.3">
      <c r="A819">
        <v>13400000</v>
      </c>
      <c r="B819">
        <v>0</v>
      </c>
      <c r="C819">
        <v>0</v>
      </c>
      <c r="D819">
        <v>2650061211</v>
      </c>
    </row>
    <row r="820" spans="1:4" x14ac:dyDescent="0.3">
      <c r="A820">
        <v>13400000</v>
      </c>
      <c r="B820">
        <v>1028</v>
      </c>
      <c r="C820">
        <v>50100</v>
      </c>
      <c r="D820">
        <v>2139769210</v>
      </c>
    </row>
    <row r="821" spans="1:4" x14ac:dyDescent="0.3">
      <c r="A821">
        <v>13400000</v>
      </c>
      <c r="B821">
        <v>477</v>
      </c>
      <c r="C821">
        <v>4400000</v>
      </c>
      <c r="D821">
        <v>4622628957</v>
      </c>
    </row>
    <row r="822" spans="1:4" x14ac:dyDescent="0.3">
      <c r="A822">
        <v>13400000</v>
      </c>
      <c r="B822">
        <v>319</v>
      </c>
      <c r="C822">
        <v>19100000</v>
      </c>
      <c r="D822">
        <v>10022557589</v>
      </c>
    </row>
    <row r="823" spans="1:4" x14ac:dyDescent="0.3">
      <c r="A823">
        <v>13400000</v>
      </c>
      <c r="B823">
        <v>3727</v>
      </c>
      <c r="C823">
        <v>805700</v>
      </c>
      <c r="D823">
        <v>4356686216</v>
      </c>
    </row>
    <row r="824" spans="1:4" x14ac:dyDescent="0.3">
      <c r="A824">
        <v>13400000</v>
      </c>
      <c r="B824">
        <v>1349</v>
      </c>
      <c r="C824">
        <v>695900</v>
      </c>
      <c r="D824">
        <v>2319515787</v>
      </c>
    </row>
    <row r="825" spans="1:4" x14ac:dyDescent="0.3">
      <c r="A825">
        <v>13400000</v>
      </c>
      <c r="B825">
        <v>96</v>
      </c>
      <c r="C825">
        <v>0.14000000000000001</v>
      </c>
      <c r="D825">
        <v>4306212515</v>
      </c>
    </row>
    <row r="826" spans="1:4" x14ac:dyDescent="0.3">
      <c r="A826">
        <v>13400000</v>
      </c>
      <c r="B826">
        <v>296272</v>
      </c>
      <c r="C826">
        <v>5500000</v>
      </c>
      <c r="D826">
        <v>9569814790</v>
      </c>
    </row>
    <row r="827" spans="1:4" x14ac:dyDescent="0.3">
      <c r="A827">
        <v>13400000</v>
      </c>
      <c r="B827">
        <v>1195</v>
      </c>
      <c r="C827">
        <v>2000000</v>
      </c>
      <c r="D827">
        <v>3363634923</v>
      </c>
    </row>
    <row r="828" spans="1:4" x14ac:dyDescent="0.3">
      <c r="A828">
        <v>13400000</v>
      </c>
      <c r="B828">
        <v>7356</v>
      </c>
      <c r="C828">
        <v>11000000</v>
      </c>
      <c r="D828">
        <v>11789678655</v>
      </c>
    </row>
    <row r="829" spans="1:4" x14ac:dyDescent="0.3">
      <c r="A829">
        <v>13300000</v>
      </c>
      <c r="B829">
        <v>3</v>
      </c>
      <c r="C829">
        <v>0.1</v>
      </c>
      <c r="D829">
        <v>3364230487</v>
      </c>
    </row>
    <row r="830" spans="1:4" x14ac:dyDescent="0.3">
      <c r="A830">
        <v>13300000</v>
      </c>
      <c r="B830">
        <v>1489</v>
      </c>
      <c r="C830">
        <v>2100000</v>
      </c>
      <c r="D830">
        <v>2831275503</v>
      </c>
    </row>
    <row r="831" spans="1:4" x14ac:dyDescent="0.3">
      <c r="A831">
        <v>13300000</v>
      </c>
      <c r="B831">
        <v>3640</v>
      </c>
      <c r="C831">
        <v>2100000</v>
      </c>
      <c r="D831">
        <v>2262690743</v>
      </c>
    </row>
    <row r="832" spans="1:4" x14ac:dyDescent="0.3">
      <c r="A832">
        <v>13300000</v>
      </c>
      <c r="B832">
        <v>2742</v>
      </c>
      <c r="C832">
        <v>7800000</v>
      </c>
      <c r="D832">
        <v>9088562002</v>
      </c>
    </row>
    <row r="833" spans="1:4" x14ac:dyDescent="0.3">
      <c r="A833">
        <v>13300000</v>
      </c>
      <c r="B833">
        <v>3166</v>
      </c>
      <c r="C833">
        <v>2200000</v>
      </c>
      <c r="D833">
        <v>4177184071</v>
      </c>
    </row>
    <row r="834" spans="1:4" x14ac:dyDescent="0.3">
      <c r="A834">
        <v>13300000</v>
      </c>
      <c r="B834">
        <v>331</v>
      </c>
      <c r="C834">
        <v>92600</v>
      </c>
      <c r="D834">
        <v>3299216601</v>
      </c>
    </row>
    <row r="835" spans="1:4" x14ac:dyDescent="0.3">
      <c r="A835">
        <v>13300000</v>
      </c>
      <c r="B835">
        <v>698</v>
      </c>
      <c r="C835">
        <v>203200</v>
      </c>
      <c r="D835">
        <v>3733856870</v>
      </c>
    </row>
    <row r="836" spans="1:4" x14ac:dyDescent="0.3">
      <c r="A836">
        <v>13300000</v>
      </c>
      <c r="B836">
        <v>4613</v>
      </c>
      <c r="C836">
        <v>9100000</v>
      </c>
      <c r="D836">
        <v>7773543609</v>
      </c>
    </row>
    <row r="837" spans="1:4" x14ac:dyDescent="0.3">
      <c r="A837">
        <v>13300000</v>
      </c>
      <c r="B837">
        <v>6916</v>
      </c>
      <c r="C837">
        <v>838500</v>
      </c>
      <c r="D837">
        <v>7406628736</v>
      </c>
    </row>
    <row r="838" spans="1:4" x14ac:dyDescent="0.3">
      <c r="A838">
        <v>13300000</v>
      </c>
      <c r="B838">
        <v>8195</v>
      </c>
      <c r="C838">
        <v>753300</v>
      </c>
      <c r="D838">
        <v>6050102764</v>
      </c>
    </row>
    <row r="839" spans="1:4" x14ac:dyDescent="0.3">
      <c r="A839">
        <v>13300000</v>
      </c>
      <c r="B839">
        <v>2411</v>
      </c>
      <c r="C839">
        <v>0</v>
      </c>
      <c r="D839">
        <v>7923901253</v>
      </c>
    </row>
    <row r="840" spans="1:4" x14ac:dyDescent="0.3">
      <c r="A840">
        <v>13300000</v>
      </c>
      <c r="B840">
        <v>1749</v>
      </c>
      <c r="C840">
        <v>258600</v>
      </c>
      <c r="D840">
        <v>6412313570</v>
      </c>
    </row>
    <row r="841" spans="1:4" x14ac:dyDescent="0.3">
      <c r="A841">
        <v>13300000</v>
      </c>
      <c r="B841">
        <v>1640</v>
      </c>
      <c r="C841">
        <v>3400000</v>
      </c>
      <c r="D841">
        <v>4129249415</v>
      </c>
    </row>
    <row r="842" spans="1:4" x14ac:dyDescent="0.3">
      <c r="A842">
        <v>13200000</v>
      </c>
      <c r="B842">
        <v>0</v>
      </c>
      <c r="C842">
        <v>0</v>
      </c>
      <c r="D842">
        <v>3568392223</v>
      </c>
    </row>
    <row r="843" spans="1:4" x14ac:dyDescent="0.3">
      <c r="A843">
        <v>13200000</v>
      </c>
      <c r="B843">
        <v>393</v>
      </c>
      <c r="C843">
        <v>551500</v>
      </c>
      <c r="D843">
        <v>1758603195</v>
      </c>
    </row>
    <row r="844" spans="1:4" x14ac:dyDescent="0.3">
      <c r="A844">
        <v>13200000</v>
      </c>
      <c r="B844">
        <v>1022</v>
      </c>
      <c r="C844">
        <v>888900</v>
      </c>
      <c r="D844">
        <v>1138262456</v>
      </c>
    </row>
    <row r="845" spans="1:4" x14ac:dyDescent="0.3">
      <c r="A845">
        <v>13200000</v>
      </c>
      <c r="B845">
        <v>8019</v>
      </c>
      <c r="C845">
        <v>1200000</v>
      </c>
      <c r="D845">
        <v>3789736218</v>
      </c>
    </row>
    <row r="846" spans="1:4" x14ac:dyDescent="0.3">
      <c r="A846">
        <v>13200000</v>
      </c>
      <c r="B846">
        <v>538</v>
      </c>
      <c r="C846">
        <v>15300000</v>
      </c>
      <c r="D846">
        <v>9884886099</v>
      </c>
    </row>
    <row r="847" spans="1:4" x14ac:dyDescent="0.3">
      <c r="A847">
        <v>13200000</v>
      </c>
      <c r="B847">
        <v>4279</v>
      </c>
      <c r="C847">
        <v>2500000</v>
      </c>
      <c r="D847">
        <v>5263540904</v>
      </c>
    </row>
    <row r="848" spans="1:4" x14ac:dyDescent="0.3">
      <c r="A848">
        <v>13200000</v>
      </c>
      <c r="B848">
        <v>1324</v>
      </c>
      <c r="C848">
        <v>12700000</v>
      </c>
      <c r="D848">
        <v>4205664894</v>
      </c>
    </row>
    <row r="849" spans="1:4" x14ac:dyDescent="0.3">
      <c r="A849">
        <v>13200000</v>
      </c>
      <c r="B849">
        <v>413</v>
      </c>
      <c r="C849">
        <v>3100000</v>
      </c>
      <c r="D849">
        <v>5224764969</v>
      </c>
    </row>
    <row r="850" spans="1:4" x14ac:dyDescent="0.3">
      <c r="A850">
        <v>13200000</v>
      </c>
      <c r="B850">
        <v>192</v>
      </c>
      <c r="C850">
        <v>420900</v>
      </c>
      <c r="D850">
        <v>1148422000</v>
      </c>
    </row>
    <row r="851" spans="1:4" x14ac:dyDescent="0.3">
      <c r="A851">
        <v>13200000</v>
      </c>
      <c r="B851">
        <v>237</v>
      </c>
      <c r="C851">
        <v>4100000</v>
      </c>
      <c r="D851">
        <v>20743586601</v>
      </c>
    </row>
    <row r="852" spans="1:4" x14ac:dyDescent="0.3">
      <c r="A852">
        <v>13200000</v>
      </c>
      <c r="B852">
        <v>172</v>
      </c>
      <c r="C852">
        <v>977700</v>
      </c>
      <c r="D852">
        <v>2036408398</v>
      </c>
    </row>
    <row r="853" spans="1:4" x14ac:dyDescent="0.3">
      <c r="A853">
        <v>13100000</v>
      </c>
      <c r="B853">
        <v>7</v>
      </c>
      <c r="C853">
        <v>0.1</v>
      </c>
      <c r="D853">
        <v>1936582704</v>
      </c>
    </row>
    <row r="854" spans="1:4" x14ac:dyDescent="0.3">
      <c r="A854">
        <v>13100000</v>
      </c>
      <c r="B854">
        <v>1327</v>
      </c>
      <c r="C854">
        <v>15800000</v>
      </c>
      <c r="D854">
        <v>9110348202</v>
      </c>
    </row>
    <row r="855" spans="1:4" x14ac:dyDescent="0.3">
      <c r="A855">
        <v>13100000</v>
      </c>
      <c r="B855">
        <v>1262</v>
      </c>
      <c r="C855">
        <v>1700000</v>
      </c>
      <c r="D855">
        <v>4712624489</v>
      </c>
    </row>
    <row r="856" spans="1:4" x14ac:dyDescent="0.3">
      <c r="A856">
        <v>13100000</v>
      </c>
      <c r="B856">
        <v>33</v>
      </c>
      <c r="C856">
        <v>12</v>
      </c>
      <c r="D856">
        <v>2182651464</v>
      </c>
    </row>
    <row r="857" spans="1:4" x14ac:dyDescent="0.3">
      <c r="A857">
        <v>13100000</v>
      </c>
      <c r="B857">
        <v>289</v>
      </c>
      <c r="C857">
        <v>2700000</v>
      </c>
      <c r="D857">
        <v>2733682792</v>
      </c>
    </row>
    <row r="858" spans="1:4" x14ac:dyDescent="0.3">
      <c r="A858">
        <v>13100000</v>
      </c>
      <c r="B858">
        <v>194</v>
      </c>
      <c r="C858">
        <v>2400000</v>
      </c>
      <c r="D858">
        <v>5264039679</v>
      </c>
    </row>
    <row r="859" spans="1:4" x14ac:dyDescent="0.3">
      <c r="A859">
        <v>13100000</v>
      </c>
      <c r="B859">
        <v>1077</v>
      </c>
      <c r="C859">
        <v>2100000</v>
      </c>
      <c r="D859">
        <v>2555801802</v>
      </c>
    </row>
    <row r="860" spans="1:4" x14ac:dyDescent="0.3">
      <c r="A860">
        <v>13100000</v>
      </c>
      <c r="B860">
        <v>1365</v>
      </c>
      <c r="C860">
        <v>1300000</v>
      </c>
      <c r="D860">
        <v>4214172991</v>
      </c>
    </row>
    <row r="861" spans="1:4" x14ac:dyDescent="0.3">
      <c r="A861">
        <v>13100000</v>
      </c>
      <c r="B861">
        <v>73</v>
      </c>
      <c r="C861">
        <v>2300000</v>
      </c>
      <c r="D861">
        <v>4608751851</v>
      </c>
    </row>
    <row r="862" spans="1:4" x14ac:dyDescent="0.3">
      <c r="A862">
        <v>13100000</v>
      </c>
      <c r="B862">
        <v>36760</v>
      </c>
      <c r="C862">
        <v>844200</v>
      </c>
      <c r="D862">
        <v>5333569294</v>
      </c>
    </row>
    <row r="863" spans="1:4" x14ac:dyDescent="0.3">
      <c r="A863">
        <v>13100000</v>
      </c>
      <c r="B863">
        <v>287</v>
      </c>
      <c r="C863">
        <v>520700</v>
      </c>
      <c r="D863">
        <v>1401914513</v>
      </c>
    </row>
    <row r="864" spans="1:4" x14ac:dyDescent="0.3">
      <c r="A864">
        <v>13100000</v>
      </c>
      <c r="B864">
        <v>1444</v>
      </c>
      <c r="C864">
        <v>3000000</v>
      </c>
      <c r="D864">
        <v>2879263916</v>
      </c>
    </row>
    <row r="865" spans="1:4" x14ac:dyDescent="0.3">
      <c r="A865">
        <v>13100000</v>
      </c>
      <c r="B865">
        <v>12</v>
      </c>
      <c r="C865">
        <v>18</v>
      </c>
      <c r="D865">
        <v>6637820731</v>
      </c>
    </row>
    <row r="866" spans="1:4" x14ac:dyDescent="0.3">
      <c r="A866">
        <v>13000000</v>
      </c>
      <c r="B866">
        <v>8</v>
      </c>
      <c r="C866">
        <v>0.1</v>
      </c>
      <c r="D866">
        <v>5057163256</v>
      </c>
    </row>
    <row r="867" spans="1:4" x14ac:dyDescent="0.3">
      <c r="A867">
        <v>13000000</v>
      </c>
      <c r="B867">
        <v>612</v>
      </c>
      <c r="C867">
        <v>0</v>
      </c>
      <c r="D867">
        <v>4637474071</v>
      </c>
    </row>
    <row r="868" spans="1:4" x14ac:dyDescent="0.3">
      <c r="A868">
        <v>13000000</v>
      </c>
      <c r="B868">
        <v>716</v>
      </c>
      <c r="C868">
        <v>2000000</v>
      </c>
      <c r="D868">
        <v>9999238237</v>
      </c>
    </row>
    <row r="869" spans="1:4" x14ac:dyDescent="0.3">
      <c r="A869">
        <v>13000000</v>
      </c>
      <c r="B869">
        <v>29</v>
      </c>
      <c r="C869">
        <v>0</v>
      </c>
      <c r="D869">
        <v>10664585</v>
      </c>
    </row>
    <row r="870" spans="1:4" x14ac:dyDescent="0.3">
      <c r="A870">
        <v>13000000</v>
      </c>
      <c r="B870">
        <v>22</v>
      </c>
      <c r="C870">
        <v>28</v>
      </c>
      <c r="D870">
        <v>301547793</v>
      </c>
    </row>
    <row r="871" spans="1:4" x14ac:dyDescent="0.3">
      <c r="A871">
        <v>13000000</v>
      </c>
      <c r="B871">
        <v>521</v>
      </c>
      <c r="C871">
        <v>1400000</v>
      </c>
      <c r="D871">
        <v>4349562794</v>
      </c>
    </row>
    <row r="872" spans="1:4" x14ac:dyDescent="0.3">
      <c r="A872">
        <v>13000000</v>
      </c>
      <c r="B872">
        <v>625</v>
      </c>
      <c r="C872">
        <v>146500</v>
      </c>
      <c r="D872">
        <v>1024467771</v>
      </c>
    </row>
    <row r="873" spans="1:4" x14ac:dyDescent="0.3">
      <c r="A873">
        <v>13000000</v>
      </c>
      <c r="B873">
        <v>1299</v>
      </c>
      <c r="C873">
        <v>17700000</v>
      </c>
      <c r="D873">
        <v>6270909026</v>
      </c>
    </row>
    <row r="874" spans="1:4" x14ac:dyDescent="0.3">
      <c r="A874">
        <v>13000000</v>
      </c>
      <c r="B874">
        <v>409</v>
      </c>
      <c r="C874">
        <v>1500000</v>
      </c>
      <c r="D874">
        <v>1698279553</v>
      </c>
    </row>
    <row r="875" spans="1:4" x14ac:dyDescent="0.3">
      <c r="A875">
        <v>13000000</v>
      </c>
      <c r="B875">
        <v>838</v>
      </c>
      <c r="C875">
        <v>1400000</v>
      </c>
      <c r="D875">
        <v>2683297849</v>
      </c>
    </row>
    <row r="876" spans="1:4" x14ac:dyDescent="0.3">
      <c r="A876">
        <v>13000000</v>
      </c>
      <c r="B876">
        <v>510</v>
      </c>
      <c r="C876">
        <v>51900000</v>
      </c>
      <c r="D876">
        <v>8739174649</v>
      </c>
    </row>
    <row r="877" spans="1:4" x14ac:dyDescent="0.3">
      <c r="A877">
        <v>12900000</v>
      </c>
      <c r="B877">
        <v>168</v>
      </c>
      <c r="C877">
        <v>9900000</v>
      </c>
      <c r="D877">
        <v>11504090820</v>
      </c>
    </row>
    <row r="878" spans="1:4" x14ac:dyDescent="0.3">
      <c r="A878">
        <v>12900000</v>
      </c>
      <c r="B878">
        <v>1598</v>
      </c>
      <c r="C878">
        <v>1400000</v>
      </c>
      <c r="D878">
        <v>3643698504</v>
      </c>
    </row>
    <row r="879" spans="1:4" x14ac:dyDescent="0.3">
      <c r="A879">
        <v>12900000</v>
      </c>
      <c r="B879">
        <v>137</v>
      </c>
      <c r="C879">
        <v>3600000</v>
      </c>
      <c r="D879">
        <v>15446707595</v>
      </c>
    </row>
    <row r="880" spans="1:4" x14ac:dyDescent="0.3">
      <c r="A880">
        <v>12900000</v>
      </c>
      <c r="B880">
        <v>39</v>
      </c>
      <c r="C880">
        <v>4400000</v>
      </c>
      <c r="D880">
        <v>6300933122</v>
      </c>
    </row>
    <row r="881" spans="1:4" x14ac:dyDescent="0.3">
      <c r="A881">
        <v>12900000</v>
      </c>
      <c r="B881">
        <v>2337</v>
      </c>
      <c r="C881">
        <v>40200</v>
      </c>
      <c r="D881">
        <v>2848466522</v>
      </c>
    </row>
    <row r="882" spans="1:4" x14ac:dyDescent="0.3">
      <c r="A882">
        <v>12900000</v>
      </c>
      <c r="B882">
        <v>69</v>
      </c>
      <c r="C882">
        <v>7100</v>
      </c>
      <c r="D882">
        <v>140022442</v>
      </c>
    </row>
    <row r="883" spans="1:4" x14ac:dyDescent="0.3">
      <c r="A883">
        <v>12900000</v>
      </c>
      <c r="B883">
        <v>4712</v>
      </c>
      <c r="C883">
        <v>1500000</v>
      </c>
      <c r="D883">
        <v>2112274210</v>
      </c>
    </row>
    <row r="884" spans="1:4" x14ac:dyDescent="0.3">
      <c r="A884">
        <v>12900000</v>
      </c>
      <c r="B884">
        <v>193</v>
      </c>
      <c r="C884">
        <v>192100</v>
      </c>
      <c r="D884">
        <v>3178222797</v>
      </c>
    </row>
    <row r="885" spans="1:4" x14ac:dyDescent="0.3">
      <c r="A885">
        <v>12900000</v>
      </c>
      <c r="B885">
        <v>1572</v>
      </c>
      <c r="C885">
        <v>575700</v>
      </c>
      <c r="D885">
        <v>2509752944</v>
      </c>
    </row>
    <row r="886" spans="1:4" x14ac:dyDescent="0.3">
      <c r="A886">
        <v>12900000</v>
      </c>
      <c r="B886">
        <v>169304</v>
      </c>
      <c r="C886">
        <v>3900000</v>
      </c>
      <c r="D886">
        <v>7520379951</v>
      </c>
    </row>
    <row r="887" spans="1:4" x14ac:dyDescent="0.3">
      <c r="A887">
        <v>12800000</v>
      </c>
      <c r="B887">
        <v>2385</v>
      </c>
      <c r="C887">
        <v>829000</v>
      </c>
      <c r="D887">
        <v>6804072897</v>
      </c>
    </row>
    <row r="888" spans="1:4" x14ac:dyDescent="0.3">
      <c r="A888">
        <v>12800000</v>
      </c>
      <c r="B888">
        <v>2044</v>
      </c>
      <c r="C888">
        <v>10300000</v>
      </c>
      <c r="D888">
        <v>7876740921</v>
      </c>
    </row>
    <row r="889" spans="1:4" x14ac:dyDescent="0.3">
      <c r="A889">
        <v>12800000</v>
      </c>
      <c r="B889">
        <v>681</v>
      </c>
      <c r="C889">
        <v>11000000</v>
      </c>
      <c r="D889">
        <v>9502983550</v>
      </c>
    </row>
    <row r="890" spans="1:4" x14ac:dyDescent="0.3">
      <c r="A890">
        <v>12800000</v>
      </c>
      <c r="B890">
        <v>168</v>
      </c>
      <c r="C890">
        <v>4300000</v>
      </c>
      <c r="D890">
        <v>14185611472</v>
      </c>
    </row>
    <row r="891" spans="1:4" x14ac:dyDescent="0.3">
      <c r="A891">
        <v>12800000</v>
      </c>
      <c r="B891">
        <v>233</v>
      </c>
      <c r="C891">
        <v>1300000</v>
      </c>
      <c r="D891">
        <v>3632438963</v>
      </c>
    </row>
    <row r="892" spans="1:4" x14ac:dyDescent="0.3">
      <c r="A892">
        <v>12800000</v>
      </c>
      <c r="B892">
        <v>323</v>
      </c>
      <c r="C892">
        <v>2600000</v>
      </c>
      <c r="D892">
        <v>6662288136</v>
      </c>
    </row>
    <row r="893" spans="1:4" x14ac:dyDescent="0.3">
      <c r="A893">
        <v>12800000</v>
      </c>
      <c r="B893">
        <v>1727</v>
      </c>
      <c r="C893">
        <v>1700000</v>
      </c>
      <c r="D893">
        <v>5863456698</v>
      </c>
    </row>
    <row r="894" spans="1:4" x14ac:dyDescent="0.3">
      <c r="A894">
        <v>12800000</v>
      </c>
      <c r="B894">
        <v>3483</v>
      </c>
      <c r="C894">
        <v>869600</v>
      </c>
      <c r="D894">
        <v>6970899521</v>
      </c>
    </row>
    <row r="895" spans="1:4" x14ac:dyDescent="0.3">
      <c r="A895">
        <v>12700000</v>
      </c>
      <c r="B895">
        <v>50</v>
      </c>
      <c r="C895">
        <v>0</v>
      </c>
      <c r="D895">
        <v>1450874545</v>
      </c>
    </row>
    <row r="896" spans="1:4" x14ac:dyDescent="0.3">
      <c r="A896">
        <v>12700000</v>
      </c>
      <c r="B896">
        <v>846</v>
      </c>
      <c r="C896">
        <v>333200</v>
      </c>
      <c r="D896">
        <v>2709954270</v>
      </c>
    </row>
    <row r="897" spans="1:4" x14ac:dyDescent="0.3">
      <c r="A897">
        <v>12700000</v>
      </c>
      <c r="B897">
        <v>1</v>
      </c>
      <c r="C897">
        <v>0.05</v>
      </c>
      <c r="D897">
        <v>5958994201</v>
      </c>
    </row>
    <row r="898" spans="1:4" x14ac:dyDescent="0.3">
      <c r="A898">
        <v>12700000</v>
      </c>
      <c r="B898">
        <v>782</v>
      </c>
      <c r="C898">
        <v>2500000</v>
      </c>
      <c r="D898">
        <v>1159290255</v>
      </c>
    </row>
    <row r="899" spans="1:4" x14ac:dyDescent="0.3">
      <c r="A899">
        <v>12700000</v>
      </c>
      <c r="B899">
        <v>119</v>
      </c>
      <c r="C899">
        <v>22700</v>
      </c>
      <c r="D899">
        <v>9927699419</v>
      </c>
    </row>
    <row r="900" spans="1:4" x14ac:dyDescent="0.3">
      <c r="A900">
        <v>12700000</v>
      </c>
      <c r="B900">
        <v>600</v>
      </c>
      <c r="C900">
        <v>773600</v>
      </c>
      <c r="D900">
        <v>6001189018</v>
      </c>
    </row>
    <row r="901" spans="1:4" x14ac:dyDescent="0.3">
      <c r="A901">
        <v>12700000</v>
      </c>
      <c r="B901">
        <v>534</v>
      </c>
      <c r="C901">
        <v>2200000</v>
      </c>
      <c r="D901">
        <v>5567832210</v>
      </c>
    </row>
    <row r="902" spans="1:4" x14ac:dyDescent="0.3">
      <c r="A902">
        <v>12700000</v>
      </c>
      <c r="B902">
        <v>812</v>
      </c>
      <c r="C902">
        <v>2100000</v>
      </c>
      <c r="D902">
        <v>4733873025</v>
      </c>
    </row>
    <row r="903" spans="1:4" x14ac:dyDescent="0.3">
      <c r="A903">
        <v>12700000</v>
      </c>
      <c r="B903">
        <v>142</v>
      </c>
      <c r="C903">
        <v>8200000</v>
      </c>
      <c r="D903">
        <v>13174393401</v>
      </c>
    </row>
    <row r="904" spans="1:4" x14ac:dyDescent="0.3">
      <c r="A904">
        <v>12700000</v>
      </c>
      <c r="B904">
        <v>504</v>
      </c>
      <c r="C904">
        <v>173700</v>
      </c>
      <c r="D904">
        <v>1081285962</v>
      </c>
    </row>
    <row r="905" spans="1:4" x14ac:dyDescent="0.3">
      <c r="A905">
        <v>12700000</v>
      </c>
      <c r="B905">
        <v>2483</v>
      </c>
      <c r="C905">
        <v>3700000</v>
      </c>
      <c r="D905">
        <v>4266957149</v>
      </c>
    </row>
    <row r="906" spans="1:4" x14ac:dyDescent="0.3">
      <c r="A906">
        <v>12700000</v>
      </c>
      <c r="B906">
        <v>252</v>
      </c>
      <c r="C906">
        <v>15700000</v>
      </c>
      <c r="D906">
        <v>1714955279</v>
      </c>
    </row>
    <row r="907" spans="1:4" x14ac:dyDescent="0.3">
      <c r="A907">
        <v>12700000</v>
      </c>
      <c r="B907">
        <v>594</v>
      </c>
      <c r="C907">
        <v>484000</v>
      </c>
      <c r="D907">
        <v>4579773883</v>
      </c>
    </row>
    <row r="908" spans="1:4" x14ac:dyDescent="0.3">
      <c r="A908">
        <v>12600000</v>
      </c>
      <c r="B908">
        <v>99</v>
      </c>
      <c r="C908">
        <v>1700000</v>
      </c>
      <c r="D908">
        <v>8831179714</v>
      </c>
    </row>
    <row r="909" spans="1:4" x14ac:dyDescent="0.3">
      <c r="A909">
        <v>12600000</v>
      </c>
      <c r="B909">
        <v>1101</v>
      </c>
      <c r="C909">
        <v>285700</v>
      </c>
      <c r="D909">
        <v>3152402405</v>
      </c>
    </row>
    <row r="910" spans="1:4" x14ac:dyDescent="0.3">
      <c r="A910">
        <v>12600000</v>
      </c>
      <c r="B910">
        <v>825</v>
      </c>
      <c r="C910">
        <v>2800000</v>
      </c>
      <c r="D910">
        <v>3303595310</v>
      </c>
    </row>
    <row r="911" spans="1:4" x14ac:dyDescent="0.3">
      <c r="A911">
        <v>12600000</v>
      </c>
      <c r="B911">
        <v>218</v>
      </c>
      <c r="C911">
        <v>1800000</v>
      </c>
      <c r="D911">
        <v>6969178081</v>
      </c>
    </row>
    <row r="912" spans="1:4" x14ac:dyDescent="0.3">
      <c r="A912">
        <v>12500000</v>
      </c>
      <c r="B912">
        <v>8</v>
      </c>
      <c r="C912">
        <v>0.05</v>
      </c>
      <c r="D912">
        <v>5379684248</v>
      </c>
    </row>
    <row r="913" spans="1:4" x14ac:dyDescent="0.3">
      <c r="A913">
        <v>12500000</v>
      </c>
      <c r="B913">
        <v>2738</v>
      </c>
      <c r="C913">
        <v>648100</v>
      </c>
      <c r="D913">
        <v>4384177908</v>
      </c>
    </row>
    <row r="914" spans="1:4" x14ac:dyDescent="0.3">
      <c r="A914">
        <v>12500000</v>
      </c>
      <c r="B914">
        <v>0</v>
      </c>
      <c r="C914">
        <v>0</v>
      </c>
      <c r="D914">
        <v>1302818088</v>
      </c>
    </row>
    <row r="915" spans="1:4" x14ac:dyDescent="0.3">
      <c r="A915">
        <v>12500000</v>
      </c>
      <c r="B915">
        <v>117</v>
      </c>
      <c r="C915">
        <v>630800</v>
      </c>
      <c r="D915">
        <v>4465772496</v>
      </c>
    </row>
    <row r="916" spans="1:4" x14ac:dyDescent="0.3">
      <c r="A916">
        <v>12500000</v>
      </c>
      <c r="B916">
        <v>1699</v>
      </c>
      <c r="C916">
        <v>11300000</v>
      </c>
      <c r="D916">
        <v>10384848759</v>
      </c>
    </row>
    <row r="917" spans="1:4" x14ac:dyDescent="0.3">
      <c r="A917">
        <v>12500000</v>
      </c>
      <c r="B917">
        <v>1810</v>
      </c>
      <c r="C917">
        <v>66900</v>
      </c>
      <c r="D917">
        <v>1002219689</v>
      </c>
    </row>
    <row r="918" spans="1:4" x14ac:dyDescent="0.3">
      <c r="A918">
        <v>12500000</v>
      </c>
      <c r="B918">
        <v>11907</v>
      </c>
      <c r="C918">
        <v>8600000</v>
      </c>
      <c r="D918">
        <v>11691081301</v>
      </c>
    </row>
    <row r="919" spans="1:4" x14ac:dyDescent="0.3">
      <c r="A919">
        <v>12500000</v>
      </c>
      <c r="B919">
        <v>19899</v>
      </c>
      <c r="C919">
        <v>531800</v>
      </c>
      <c r="D919">
        <v>5146004207</v>
      </c>
    </row>
    <row r="920" spans="1:4" x14ac:dyDescent="0.3">
      <c r="A920">
        <v>12500000</v>
      </c>
      <c r="B920">
        <v>102699</v>
      </c>
      <c r="C920">
        <v>16800000</v>
      </c>
      <c r="D920">
        <v>11552190002</v>
      </c>
    </row>
    <row r="921" spans="1:4" x14ac:dyDescent="0.3">
      <c r="A921">
        <v>12500000</v>
      </c>
      <c r="B921">
        <v>151136</v>
      </c>
      <c r="C921">
        <v>2800000</v>
      </c>
      <c r="D921">
        <v>4935793409</v>
      </c>
    </row>
    <row r="922" spans="1:4" x14ac:dyDescent="0.3">
      <c r="A922">
        <v>12500000</v>
      </c>
      <c r="B922">
        <v>322</v>
      </c>
      <c r="C922">
        <v>0</v>
      </c>
      <c r="D922">
        <v>4163639093</v>
      </c>
    </row>
    <row r="923" spans="1:4" x14ac:dyDescent="0.3">
      <c r="A923">
        <v>12500000</v>
      </c>
      <c r="B923">
        <v>61</v>
      </c>
      <c r="C923">
        <v>0</v>
      </c>
      <c r="D923">
        <v>161254021</v>
      </c>
    </row>
    <row r="924" spans="1:4" x14ac:dyDescent="0.3">
      <c r="A924">
        <v>12500000</v>
      </c>
      <c r="B924">
        <v>1076</v>
      </c>
      <c r="C924">
        <v>5300000</v>
      </c>
      <c r="D924">
        <v>2983799729</v>
      </c>
    </row>
    <row r="925" spans="1:4" x14ac:dyDescent="0.3">
      <c r="A925">
        <v>12500000</v>
      </c>
      <c r="B925">
        <v>601</v>
      </c>
      <c r="C925">
        <v>736300</v>
      </c>
      <c r="D925">
        <v>1136534702</v>
      </c>
    </row>
    <row r="926" spans="1:4" x14ac:dyDescent="0.3">
      <c r="A926">
        <v>12500000</v>
      </c>
      <c r="B926">
        <v>223</v>
      </c>
      <c r="C926">
        <v>419</v>
      </c>
      <c r="D926">
        <v>4340213066</v>
      </c>
    </row>
    <row r="927" spans="1:4" x14ac:dyDescent="0.3">
      <c r="A927">
        <v>12500000</v>
      </c>
      <c r="B927">
        <v>253</v>
      </c>
      <c r="C927">
        <v>10300000</v>
      </c>
      <c r="D927">
        <v>16690788752</v>
      </c>
    </row>
    <row r="928" spans="1:4" x14ac:dyDescent="0.3">
      <c r="A928">
        <v>12500000</v>
      </c>
      <c r="B928">
        <v>1888</v>
      </c>
      <c r="C928">
        <v>343600</v>
      </c>
      <c r="D928">
        <v>4625777945</v>
      </c>
    </row>
    <row r="929" spans="1:4" x14ac:dyDescent="0.3">
      <c r="A929">
        <v>12500000</v>
      </c>
      <c r="B929">
        <v>766</v>
      </c>
      <c r="C929">
        <v>1500000</v>
      </c>
      <c r="D929">
        <v>3140883140</v>
      </c>
    </row>
    <row r="930" spans="1:4" x14ac:dyDescent="0.3">
      <c r="A930">
        <v>12500000</v>
      </c>
      <c r="B930">
        <v>1109</v>
      </c>
      <c r="C930">
        <v>425700</v>
      </c>
      <c r="D930">
        <v>1402042328</v>
      </c>
    </row>
    <row r="931" spans="1:4" x14ac:dyDescent="0.3">
      <c r="A931">
        <v>12500000</v>
      </c>
      <c r="B931">
        <v>377</v>
      </c>
      <c r="C931">
        <v>5600000</v>
      </c>
      <c r="D931">
        <v>7489455451</v>
      </c>
    </row>
    <row r="932" spans="1:4" x14ac:dyDescent="0.3">
      <c r="A932">
        <v>12500000</v>
      </c>
      <c r="B932">
        <v>385</v>
      </c>
      <c r="C932">
        <v>407200</v>
      </c>
      <c r="D932">
        <v>1612094871</v>
      </c>
    </row>
    <row r="933" spans="1:4" x14ac:dyDescent="0.3">
      <c r="A933">
        <v>12500000</v>
      </c>
      <c r="B933">
        <v>1459</v>
      </c>
      <c r="C933">
        <v>783300</v>
      </c>
      <c r="D933">
        <v>6956320454</v>
      </c>
    </row>
    <row r="934" spans="1:4" x14ac:dyDescent="0.3">
      <c r="A934">
        <v>12400000</v>
      </c>
      <c r="B934">
        <v>689</v>
      </c>
      <c r="C934">
        <v>1000000</v>
      </c>
      <c r="D934">
        <v>1689090619</v>
      </c>
    </row>
    <row r="935" spans="1:4" x14ac:dyDescent="0.3">
      <c r="A935">
        <v>12400000</v>
      </c>
      <c r="B935">
        <v>0</v>
      </c>
      <c r="C935">
        <v>0</v>
      </c>
      <c r="D935">
        <v>3392022527</v>
      </c>
    </row>
    <row r="936" spans="1:4" x14ac:dyDescent="0.3">
      <c r="A936">
        <v>12400000</v>
      </c>
      <c r="B936">
        <v>1</v>
      </c>
      <c r="C936">
        <v>0.1</v>
      </c>
      <c r="D936">
        <v>13959586308</v>
      </c>
    </row>
    <row r="937" spans="1:4" x14ac:dyDescent="0.3">
      <c r="A937">
        <v>12400000</v>
      </c>
      <c r="B937">
        <v>459</v>
      </c>
      <c r="C937">
        <v>1800000</v>
      </c>
      <c r="D937">
        <v>7741764747</v>
      </c>
    </row>
    <row r="938" spans="1:4" x14ac:dyDescent="0.3">
      <c r="A938">
        <v>12400000</v>
      </c>
      <c r="B938">
        <v>729</v>
      </c>
      <c r="C938">
        <v>1500000</v>
      </c>
      <c r="D938">
        <v>2315226648</v>
      </c>
    </row>
    <row r="939" spans="1:4" x14ac:dyDescent="0.3">
      <c r="A939">
        <v>12400000</v>
      </c>
      <c r="B939">
        <v>218</v>
      </c>
      <c r="C939">
        <v>13100000</v>
      </c>
      <c r="D939">
        <v>1971226335</v>
      </c>
    </row>
    <row r="940" spans="1:4" x14ac:dyDescent="0.3">
      <c r="A940">
        <v>12400000</v>
      </c>
      <c r="B940">
        <v>1212</v>
      </c>
      <c r="C940">
        <v>4600000</v>
      </c>
      <c r="D940">
        <v>7683670251</v>
      </c>
    </row>
    <row r="941" spans="1:4" x14ac:dyDescent="0.3">
      <c r="A941">
        <v>12400000</v>
      </c>
      <c r="B941">
        <v>398</v>
      </c>
      <c r="C941">
        <v>43400000</v>
      </c>
      <c r="D941">
        <v>7597013023</v>
      </c>
    </row>
    <row r="942" spans="1:4" x14ac:dyDescent="0.3">
      <c r="A942">
        <v>12400000</v>
      </c>
      <c r="B942">
        <v>0</v>
      </c>
      <c r="C942">
        <v>0</v>
      </c>
      <c r="D942">
        <v>16086808918</v>
      </c>
    </row>
    <row r="943" spans="1:4" x14ac:dyDescent="0.3">
      <c r="A943">
        <v>12400000</v>
      </c>
      <c r="B943">
        <v>1340</v>
      </c>
      <c r="C943">
        <v>8500000</v>
      </c>
      <c r="D943">
        <v>4779139505</v>
      </c>
    </row>
    <row r="944" spans="1:4" x14ac:dyDescent="0.3">
      <c r="A944">
        <v>12400000</v>
      </c>
      <c r="B944">
        <v>99</v>
      </c>
      <c r="C944">
        <v>2400000</v>
      </c>
      <c r="D944">
        <v>6993406259</v>
      </c>
    </row>
    <row r="945" spans="1:4" x14ac:dyDescent="0.3">
      <c r="A945">
        <v>12400000</v>
      </c>
      <c r="B945">
        <v>690</v>
      </c>
      <c r="C945">
        <v>1300</v>
      </c>
      <c r="D945">
        <v>2394143260</v>
      </c>
    </row>
    <row r="946" spans="1:4" x14ac:dyDescent="0.3">
      <c r="A946">
        <v>12400000</v>
      </c>
      <c r="B946">
        <v>205</v>
      </c>
      <c r="C946">
        <v>2400000</v>
      </c>
      <c r="D946">
        <v>6202090191</v>
      </c>
    </row>
    <row r="947" spans="1:4" x14ac:dyDescent="0.3">
      <c r="A947">
        <v>12400000</v>
      </c>
      <c r="B947">
        <v>409</v>
      </c>
      <c r="C947">
        <v>38700</v>
      </c>
      <c r="D947">
        <v>1113066203</v>
      </c>
    </row>
    <row r="948" spans="1:4" x14ac:dyDescent="0.3">
      <c r="A948">
        <v>12400000</v>
      </c>
      <c r="B948">
        <v>9</v>
      </c>
      <c r="C948">
        <v>0</v>
      </c>
      <c r="D948">
        <v>2602614088</v>
      </c>
    </row>
    <row r="949" spans="1:4" x14ac:dyDescent="0.3">
      <c r="A949">
        <v>12400000</v>
      </c>
      <c r="B949">
        <v>226</v>
      </c>
      <c r="C949">
        <v>493300</v>
      </c>
      <c r="D949">
        <v>2862685032</v>
      </c>
    </row>
    <row r="950" spans="1:4" x14ac:dyDescent="0.3">
      <c r="A950">
        <v>12400000</v>
      </c>
      <c r="B950">
        <v>4422</v>
      </c>
      <c r="C950">
        <v>1700000</v>
      </c>
      <c r="D950">
        <v>12607488647</v>
      </c>
    </row>
    <row r="951" spans="1:4" x14ac:dyDescent="0.3">
      <c r="A951">
        <v>12400000</v>
      </c>
      <c r="B951">
        <v>12419</v>
      </c>
      <c r="C951">
        <v>4000000</v>
      </c>
      <c r="D951">
        <v>6933660906</v>
      </c>
    </row>
    <row r="952" spans="1:4" x14ac:dyDescent="0.3">
      <c r="A952">
        <v>12400000</v>
      </c>
      <c r="B952">
        <v>1024</v>
      </c>
      <c r="C952">
        <v>1200000</v>
      </c>
      <c r="D952">
        <v>2840137980</v>
      </c>
    </row>
    <row r="953" spans="1:4" x14ac:dyDescent="0.3">
      <c r="A953">
        <v>12400000</v>
      </c>
      <c r="B953">
        <v>813</v>
      </c>
      <c r="C953">
        <v>460600</v>
      </c>
      <c r="D953">
        <v>4021409291</v>
      </c>
    </row>
    <row r="954" spans="1:4" x14ac:dyDescent="0.3">
      <c r="A954">
        <v>12300000</v>
      </c>
      <c r="B954">
        <v>1500</v>
      </c>
      <c r="C954">
        <v>3100000</v>
      </c>
      <c r="D954">
        <v>1674409945</v>
      </c>
    </row>
    <row r="955" spans="1:4" x14ac:dyDescent="0.3">
      <c r="A955">
        <v>12300000</v>
      </c>
      <c r="B955">
        <v>62</v>
      </c>
      <c r="C955">
        <v>1200000</v>
      </c>
      <c r="D955">
        <v>2129773714</v>
      </c>
    </row>
    <row r="956" spans="1:4" x14ac:dyDescent="0.3">
      <c r="A956">
        <v>12300000</v>
      </c>
      <c r="B956">
        <v>1200</v>
      </c>
      <c r="C956">
        <v>26500000</v>
      </c>
      <c r="D956">
        <v>9029609749</v>
      </c>
    </row>
    <row r="957" spans="1:4" x14ac:dyDescent="0.3">
      <c r="A957">
        <v>12300000</v>
      </c>
      <c r="B957">
        <v>2452</v>
      </c>
      <c r="C957">
        <v>3200</v>
      </c>
      <c r="D957">
        <v>2214684303</v>
      </c>
    </row>
    <row r="958" spans="1:4" x14ac:dyDescent="0.3">
      <c r="A958">
        <v>12300000</v>
      </c>
      <c r="B958">
        <v>39</v>
      </c>
      <c r="C958">
        <v>185800</v>
      </c>
      <c r="D958">
        <v>374123483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64494-A91F-4A9D-91A6-51486369B780}">
  <dimension ref="A1:N958"/>
  <sheetViews>
    <sheetView topLeftCell="A5" workbookViewId="0">
      <selection activeCell="H24" sqref="H24"/>
    </sheetView>
  </sheetViews>
  <sheetFormatPr defaultRowHeight="14.4" x14ac:dyDescent="0.3"/>
  <cols>
    <col min="1" max="1" width="10.5546875" bestFit="1" customWidth="1"/>
    <col min="2" max="2" width="7.88671875" bestFit="1" customWidth="1"/>
    <col min="5" max="5" width="22.88671875" customWidth="1"/>
    <col min="6" max="7" width="11" customWidth="1"/>
    <col min="9" max="9" width="10" bestFit="1" customWidth="1"/>
    <col min="10" max="10" width="9.88671875" bestFit="1" customWidth="1"/>
    <col min="11" max="11" width="12.5546875" bestFit="1" customWidth="1"/>
    <col min="12" max="12" width="10" bestFit="1" customWidth="1"/>
    <col min="13" max="13" width="9.88671875" bestFit="1" customWidth="1"/>
    <col min="14" max="14" width="12.5546875" bestFit="1" customWidth="1"/>
  </cols>
  <sheetData>
    <row r="1" spans="1:14" x14ac:dyDescent="0.3">
      <c r="A1" s="3" t="s">
        <v>1297</v>
      </c>
      <c r="B1" s="3" t="s">
        <v>1300</v>
      </c>
    </row>
    <row r="2" spans="1:14" x14ac:dyDescent="0.3">
      <c r="A2">
        <v>37000000</v>
      </c>
      <c r="B2">
        <v>301308</v>
      </c>
    </row>
    <row r="3" spans="1:14" x14ac:dyDescent="0.3">
      <c r="A3">
        <v>13400000</v>
      </c>
      <c r="B3">
        <v>296272</v>
      </c>
    </row>
    <row r="4" spans="1:14" ht="15" thickBot="1" x14ac:dyDescent="0.35">
      <c r="A4">
        <v>14500000</v>
      </c>
      <c r="B4">
        <v>293516</v>
      </c>
    </row>
    <row r="5" spans="1:14" x14ac:dyDescent="0.3">
      <c r="A5">
        <v>57600000</v>
      </c>
      <c r="B5">
        <v>283775</v>
      </c>
      <c r="E5" s="24" t="s">
        <v>1324</v>
      </c>
      <c r="F5" s="24" t="s">
        <v>1325</v>
      </c>
      <c r="G5" s="24" t="s">
        <v>1326</v>
      </c>
      <c r="I5" s="20" t="s">
        <v>1326</v>
      </c>
      <c r="J5" s="20" t="s">
        <v>1339</v>
      </c>
      <c r="K5" s="20" t="s">
        <v>1340</v>
      </c>
      <c r="L5" s="20" t="s">
        <v>1326</v>
      </c>
      <c r="M5" s="20" t="s">
        <v>1339</v>
      </c>
      <c r="N5" s="20" t="s">
        <v>1340</v>
      </c>
    </row>
    <row r="6" spans="1:14" x14ac:dyDescent="0.3">
      <c r="A6">
        <v>35500000</v>
      </c>
      <c r="B6">
        <v>273255</v>
      </c>
      <c r="E6" s="4" t="s">
        <v>1327</v>
      </c>
      <c r="F6" s="23">
        <v>12300000</v>
      </c>
      <c r="G6" s="23">
        <v>62572000</v>
      </c>
      <c r="I6">
        <v>62572000</v>
      </c>
      <c r="J6">
        <v>930</v>
      </c>
      <c r="K6" s="25">
        <v>0.97178683385579934</v>
      </c>
      <c r="L6">
        <v>62572000</v>
      </c>
      <c r="M6">
        <v>930</v>
      </c>
      <c r="N6" s="25">
        <v>0.97178683385579934</v>
      </c>
    </row>
    <row r="7" spans="1:14" x14ac:dyDescent="0.3">
      <c r="A7">
        <v>15000000</v>
      </c>
      <c r="B7">
        <v>269050</v>
      </c>
      <c r="E7" s="4" t="s">
        <v>1328</v>
      </c>
      <c r="F7" s="23">
        <v>62572001</v>
      </c>
      <c r="G7" s="23">
        <v>112844000</v>
      </c>
      <c r="I7">
        <v>112844000</v>
      </c>
      <c r="J7">
        <v>21</v>
      </c>
      <c r="K7" s="25">
        <v>0.99373040752351094</v>
      </c>
      <c r="L7">
        <v>112844000</v>
      </c>
      <c r="M7">
        <v>21</v>
      </c>
      <c r="N7" s="25">
        <v>0.99373040752351094</v>
      </c>
    </row>
    <row r="8" spans="1:14" x14ac:dyDescent="0.3">
      <c r="A8">
        <v>16200000</v>
      </c>
      <c r="B8">
        <v>244899</v>
      </c>
      <c r="E8" s="4" t="s">
        <v>1329</v>
      </c>
      <c r="F8" s="23">
        <v>112844001</v>
      </c>
      <c r="G8" s="23">
        <v>163116000</v>
      </c>
      <c r="I8">
        <v>163116000</v>
      </c>
      <c r="J8">
        <v>3</v>
      </c>
      <c r="K8" s="25">
        <v>0.99686520376175547</v>
      </c>
      <c r="L8">
        <v>163116000</v>
      </c>
      <c r="M8">
        <v>3</v>
      </c>
      <c r="N8" s="25">
        <v>0.99686520376175547</v>
      </c>
    </row>
    <row r="9" spans="1:14" x14ac:dyDescent="0.3">
      <c r="A9">
        <v>17700000</v>
      </c>
      <c r="B9">
        <v>211620</v>
      </c>
      <c r="E9" s="4" t="s">
        <v>1330</v>
      </c>
      <c r="F9" s="23">
        <v>163116001</v>
      </c>
      <c r="G9" s="23">
        <v>213388000</v>
      </c>
      <c r="I9">
        <v>213388000</v>
      </c>
      <c r="J9">
        <v>2</v>
      </c>
      <c r="K9" s="25">
        <v>0.99895506792058519</v>
      </c>
      <c r="L9">
        <v>213388000</v>
      </c>
      <c r="M9">
        <v>2</v>
      </c>
      <c r="N9" s="25">
        <v>0.99895506792058519</v>
      </c>
    </row>
    <row r="10" spans="1:14" x14ac:dyDescent="0.3">
      <c r="A10">
        <v>15100000</v>
      </c>
      <c r="B10">
        <v>209520</v>
      </c>
      <c r="E10" s="4" t="s">
        <v>1331</v>
      </c>
      <c r="F10" s="23">
        <v>213388001</v>
      </c>
      <c r="G10" s="23">
        <v>245000000</v>
      </c>
      <c r="I10">
        <v>245000000</v>
      </c>
      <c r="J10">
        <v>1</v>
      </c>
      <c r="K10" s="25">
        <v>1</v>
      </c>
      <c r="L10">
        <v>245000000</v>
      </c>
      <c r="M10">
        <v>1</v>
      </c>
      <c r="N10" s="25">
        <v>1</v>
      </c>
    </row>
    <row r="11" spans="1:14" ht="15" thickBot="1" x14ac:dyDescent="0.35">
      <c r="A11">
        <v>38600000</v>
      </c>
      <c r="B11">
        <v>200933</v>
      </c>
      <c r="I11" s="19" t="s">
        <v>1338</v>
      </c>
      <c r="J11" s="19">
        <v>0</v>
      </c>
      <c r="K11" s="26">
        <v>1</v>
      </c>
      <c r="L11" s="19" t="s">
        <v>1338</v>
      </c>
      <c r="M11" s="19">
        <v>0</v>
      </c>
      <c r="N11" s="26">
        <v>1</v>
      </c>
    </row>
    <row r="12" spans="1:14" x14ac:dyDescent="0.3">
      <c r="A12">
        <v>44200000</v>
      </c>
      <c r="B12">
        <v>193890</v>
      </c>
    </row>
    <row r="13" spans="1:14" x14ac:dyDescent="0.3">
      <c r="A13">
        <v>13800000</v>
      </c>
      <c r="B13">
        <v>190093</v>
      </c>
    </row>
    <row r="14" spans="1:14" x14ac:dyDescent="0.3">
      <c r="A14">
        <v>17500000</v>
      </c>
      <c r="B14">
        <v>182742</v>
      </c>
    </row>
    <row r="15" spans="1:14" ht="15" thickBot="1" x14ac:dyDescent="0.35">
      <c r="A15">
        <v>30500000</v>
      </c>
      <c r="B15">
        <v>180092</v>
      </c>
    </row>
    <row r="16" spans="1:14" x14ac:dyDescent="0.3">
      <c r="A16">
        <v>12900000</v>
      </c>
      <c r="B16">
        <v>169304</v>
      </c>
      <c r="E16" s="24" t="s">
        <v>1332</v>
      </c>
      <c r="F16" s="24" t="s">
        <v>1325</v>
      </c>
      <c r="G16" s="24" t="s">
        <v>1326</v>
      </c>
      <c r="I16" s="20" t="s">
        <v>1326</v>
      </c>
      <c r="J16" s="20" t="s">
        <v>1339</v>
      </c>
      <c r="K16" s="20" t="s">
        <v>1340</v>
      </c>
      <c r="L16" s="20" t="s">
        <v>1326</v>
      </c>
      <c r="M16" s="20" t="s">
        <v>1339</v>
      </c>
      <c r="N16" s="20" t="s">
        <v>1340</v>
      </c>
    </row>
    <row r="17" spans="1:14" x14ac:dyDescent="0.3">
      <c r="A17">
        <v>15200000</v>
      </c>
      <c r="B17">
        <v>160405</v>
      </c>
      <c r="E17" s="4" t="s">
        <v>1333</v>
      </c>
      <c r="F17" s="23">
        <v>0</v>
      </c>
      <c r="G17" s="23">
        <v>60261</v>
      </c>
      <c r="I17">
        <v>60261</v>
      </c>
      <c r="J17">
        <v>912</v>
      </c>
      <c r="K17" s="25">
        <v>0.95297805642633227</v>
      </c>
      <c r="L17">
        <v>60261</v>
      </c>
      <c r="M17">
        <v>912</v>
      </c>
      <c r="N17" s="25">
        <v>0.95297805642633227</v>
      </c>
    </row>
    <row r="18" spans="1:14" x14ac:dyDescent="0.3">
      <c r="A18">
        <v>17500000</v>
      </c>
      <c r="B18">
        <v>156215</v>
      </c>
      <c r="E18" s="4" t="s">
        <v>1334</v>
      </c>
      <c r="F18" s="23">
        <v>60262</v>
      </c>
      <c r="G18" s="23">
        <v>120523.2</v>
      </c>
      <c r="I18">
        <v>120523.2</v>
      </c>
      <c r="J18">
        <v>23</v>
      </c>
      <c r="K18" s="25">
        <v>0.97701149425287359</v>
      </c>
      <c r="L18">
        <v>120523.2</v>
      </c>
      <c r="M18">
        <v>23</v>
      </c>
      <c r="N18" s="25">
        <v>0.97701149425287359</v>
      </c>
    </row>
    <row r="19" spans="1:14" x14ac:dyDescent="0.3">
      <c r="A19">
        <v>12500000</v>
      </c>
      <c r="B19">
        <v>151136</v>
      </c>
      <c r="E19" s="4" t="s">
        <v>1335</v>
      </c>
      <c r="F19" s="23">
        <v>120523.3</v>
      </c>
      <c r="G19" s="23">
        <v>180784.8</v>
      </c>
      <c r="I19">
        <v>180784.8</v>
      </c>
      <c r="J19">
        <v>9</v>
      </c>
      <c r="K19" s="25">
        <v>0.98641588296760707</v>
      </c>
      <c r="L19">
        <v>180784.8</v>
      </c>
      <c r="M19">
        <v>9</v>
      </c>
      <c r="N19" s="25">
        <v>0.98641588296760707</v>
      </c>
    </row>
    <row r="20" spans="1:14" x14ac:dyDescent="0.3">
      <c r="A20">
        <v>17100000</v>
      </c>
      <c r="B20">
        <v>148225</v>
      </c>
      <c r="E20" s="4" t="s">
        <v>1336</v>
      </c>
      <c r="F20" s="23">
        <v>180784.9</v>
      </c>
      <c r="G20" s="23">
        <v>241046.39999999999</v>
      </c>
      <c r="I20">
        <v>241046.39999999999</v>
      </c>
      <c r="J20">
        <v>6</v>
      </c>
      <c r="K20" s="25">
        <v>0.99268547544409613</v>
      </c>
      <c r="L20">
        <v>301308</v>
      </c>
      <c r="M20">
        <v>7</v>
      </c>
      <c r="N20" s="25">
        <v>0.99373040752351094</v>
      </c>
    </row>
    <row r="21" spans="1:14" x14ac:dyDescent="0.3">
      <c r="A21">
        <v>14200000</v>
      </c>
      <c r="B21">
        <v>132398</v>
      </c>
      <c r="E21" s="4" t="s">
        <v>1337</v>
      </c>
      <c r="F21" s="23">
        <v>241046.5</v>
      </c>
      <c r="G21" s="23">
        <v>301308</v>
      </c>
      <c r="I21">
        <v>301308</v>
      </c>
      <c r="J21">
        <v>7</v>
      </c>
      <c r="K21" s="25">
        <v>1</v>
      </c>
      <c r="L21">
        <v>241046.39999999999</v>
      </c>
      <c r="M21">
        <v>6</v>
      </c>
      <c r="N21" s="25">
        <v>1</v>
      </c>
    </row>
    <row r="22" spans="1:14" ht="15" thickBot="1" x14ac:dyDescent="0.35">
      <c r="A22">
        <v>70500000</v>
      </c>
      <c r="B22">
        <v>129204</v>
      </c>
      <c r="I22" s="19" t="s">
        <v>1338</v>
      </c>
      <c r="J22" s="19">
        <v>0</v>
      </c>
      <c r="K22" s="26">
        <v>1</v>
      </c>
      <c r="L22" s="19" t="s">
        <v>1338</v>
      </c>
      <c r="M22" s="19">
        <v>0</v>
      </c>
      <c r="N22" s="26">
        <v>1</v>
      </c>
    </row>
    <row r="23" spans="1:14" x14ac:dyDescent="0.3">
      <c r="A23">
        <v>19400000</v>
      </c>
      <c r="B23">
        <v>125974</v>
      </c>
    </row>
    <row r="24" spans="1:14" x14ac:dyDescent="0.3">
      <c r="A24">
        <v>17400000</v>
      </c>
      <c r="B24">
        <v>118448</v>
      </c>
    </row>
    <row r="25" spans="1:14" x14ac:dyDescent="0.3">
      <c r="A25">
        <v>159000000</v>
      </c>
      <c r="B25">
        <v>116536</v>
      </c>
    </row>
    <row r="26" spans="1:14" x14ac:dyDescent="0.3">
      <c r="A26">
        <v>64600000</v>
      </c>
      <c r="B26">
        <v>112915</v>
      </c>
    </row>
    <row r="27" spans="1:14" x14ac:dyDescent="0.3">
      <c r="A27">
        <v>16600000</v>
      </c>
      <c r="B27">
        <v>112261</v>
      </c>
    </row>
    <row r="28" spans="1:14" x14ac:dyDescent="0.3">
      <c r="A28">
        <v>43200000</v>
      </c>
      <c r="B28">
        <v>109871</v>
      </c>
    </row>
    <row r="29" spans="1:14" x14ac:dyDescent="0.3">
      <c r="A29">
        <v>28300000</v>
      </c>
      <c r="B29">
        <v>106983</v>
      </c>
    </row>
    <row r="30" spans="1:14" x14ac:dyDescent="0.3">
      <c r="A30">
        <v>12500000</v>
      </c>
      <c r="B30">
        <v>102699</v>
      </c>
    </row>
    <row r="31" spans="1:14" x14ac:dyDescent="0.3">
      <c r="A31">
        <v>14400000</v>
      </c>
      <c r="B31">
        <v>101401</v>
      </c>
    </row>
    <row r="32" spans="1:14" x14ac:dyDescent="0.3">
      <c r="A32">
        <v>44600000</v>
      </c>
      <c r="B32">
        <v>100755</v>
      </c>
    </row>
    <row r="33" spans="1:2" x14ac:dyDescent="0.3">
      <c r="A33">
        <v>33500000</v>
      </c>
      <c r="B33">
        <v>96214</v>
      </c>
    </row>
    <row r="34" spans="1:2" x14ac:dyDescent="0.3">
      <c r="A34">
        <v>31900000</v>
      </c>
      <c r="B34">
        <v>93311</v>
      </c>
    </row>
    <row r="35" spans="1:2" x14ac:dyDescent="0.3">
      <c r="A35">
        <v>15200000</v>
      </c>
      <c r="B35">
        <v>91704</v>
      </c>
    </row>
    <row r="36" spans="1:2" x14ac:dyDescent="0.3">
      <c r="A36">
        <v>25000000</v>
      </c>
      <c r="B36">
        <v>89179</v>
      </c>
    </row>
    <row r="37" spans="1:2" x14ac:dyDescent="0.3">
      <c r="A37">
        <v>15300000</v>
      </c>
      <c r="B37">
        <v>87864</v>
      </c>
    </row>
    <row r="38" spans="1:2" x14ac:dyDescent="0.3">
      <c r="A38">
        <v>14700000</v>
      </c>
      <c r="B38">
        <v>80830</v>
      </c>
    </row>
    <row r="39" spans="1:2" x14ac:dyDescent="0.3">
      <c r="A39">
        <v>39000000</v>
      </c>
      <c r="B39">
        <v>72580</v>
      </c>
    </row>
    <row r="40" spans="1:2" x14ac:dyDescent="0.3">
      <c r="A40">
        <v>83000000</v>
      </c>
      <c r="B40">
        <v>71270</v>
      </c>
    </row>
    <row r="41" spans="1:2" x14ac:dyDescent="0.3">
      <c r="A41">
        <v>96000000</v>
      </c>
      <c r="B41">
        <v>70127</v>
      </c>
    </row>
    <row r="42" spans="1:2" x14ac:dyDescent="0.3">
      <c r="A42">
        <v>14500000</v>
      </c>
      <c r="B42">
        <v>68606</v>
      </c>
    </row>
    <row r="43" spans="1:2" x14ac:dyDescent="0.3">
      <c r="A43">
        <v>14900000</v>
      </c>
      <c r="B43">
        <v>66362</v>
      </c>
    </row>
    <row r="44" spans="1:2" x14ac:dyDescent="0.3">
      <c r="A44">
        <v>25900000</v>
      </c>
      <c r="B44">
        <v>65286</v>
      </c>
    </row>
    <row r="45" spans="1:2" x14ac:dyDescent="0.3">
      <c r="A45">
        <v>19000000</v>
      </c>
      <c r="B45">
        <v>64496</v>
      </c>
    </row>
    <row r="46" spans="1:2" x14ac:dyDescent="0.3">
      <c r="A46">
        <v>22600000</v>
      </c>
      <c r="B46">
        <v>60964</v>
      </c>
    </row>
    <row r="47" spans="1:2" x14ac:dyDescent="0.3">
      <c r="A47">
        <v>16400000</v>
      </c>
      <c r="B47">
        <v>56203</v>
      </c>
    </row>
    <row r="48" spans="1:2" x14ac:dyDescent="0.3">
      <c r="A48">
        <v>16000000</v>
      </c>
      <c r="B48">
        <v>52144</v>
      </c>
    </row>
    <row r="49" spans="1:2" x14ac:dyDescent="0.3">
      <c r="A49">
        <v>20400000</v>
      </c>
      <c r="B49">
        <v>51515</v>
      </c>
    </row>
    <row r="50" spans="1:2" x14ac:dyDescent="0.3">
      <c r="A50">
        <v>25200000</v>
      </c>
      <c r="B50">
        <v>51129</v>
      </c>
    </row>
    <row r="51" spans="1:2" x14ac:dyDescent="0.3">
      <c r="A51">
        <v>20700000</v>
      </c>
      <c r="B51">
        <v>47926</v>
      </c>
    </row>
    <row r="52" spans="1:2" x14ac:dyDescent="0.3">
      <c r="A52">
        <v>32000000</v>
      </c>
      <c r="B52">
        <v>44892</v>
      </c>
    </row>
    <row r="53" spans="1:2" x14ac:dyDescent="0.3">
      <c r="A53">
        <v>14700000</v>
      </c>
      <c r="B53">
        <v>43564</v>
      </c>
    </row>
    <row r="54" spans="1:2" x14ac:dyDescent="0.3">
      <c r="A54">
        <v>14000000</v>
      </c>
      <c r="B54">
        <v>41117</v>
      </c>
    </row>
    <row r="55" spans="1:2" x14ac:dyDescent="0.3">
      <c r="A55">
        <v>59500000</v>
      </c>
      <c r="B55">
        <v>39113</v>
      </c>
    </row>
    <row r="56" spans="1:2" x14ac:dyDescent="0.3">
      <c r="A56">
        <v>13100000</v>
      </c>
      <c r="B56">
        <v>36760</v>
      </c>
    </row>
    <row r="57" spans="1:2" x14ac:dyDescent="0.3">
      <c r="A57">
        <v>20500000</v>
      </c>
      <c r="B57">
        <v>33229</v>
      </c>
    </row>
    <row r="58" spans="1:2" x14ac:dyDescent="0.3">
      <c r="A58">
        <v>21200000</v>
      </c>
      <c r="B58">
        <v>31989</v>
      </c>
    </row>
    <row r="59" spans="1:2" x14ac:dyDescent="0.3">
      <c r="A59">
        <v>16200000</v>
      </c>
      <c r="B59">
        <v>31889</v>
      </c>
    </row>
    <row r="60" spans="1:2" x14ac:dyDescent="0.3">
      <c r="A60">
        <v>25100000</v>
      </c>
      <c r="B60">
        <v>24837</v>
      </c>
    </row>
    <row r="61" spans="1:2" x14ac:dyDescent="0.3">
      <c r="A61">
        <v>38200000</v>
      </c>
      <c r="B61">
        <v>24089</v>
      </c>
    </row>
    <row r="62" spans="1:2" x14ac:dyDescent="0.3">
      <c r="A62">
        <v>16400000</v>
      </c>
      <c r="B62">
        <v>23952</v>
      </c>
    </row>
    <row r="63" spans="1:2" x14ac:dyDescent="0.3">
      <c r="A63">
        <v>24100000</v>
      </c>
      <c r="B63">
        <v>23491</v>
      </c>
    </row>
    <row r="64" spans="1:2" x14ac:dyDescent="0.3">
      <c r="A64">
        <v>14700000</v>
      </c>
      <c r="B64">
        <v>23490</v>
      </c>
    </row>
    <row r="65" spans="1:2" x14ac:dyDescent="0.3">
      <c r="A65">
        <v>23100000</v>
      </c>
      <c r="B65">
        <v>22578</v>
      </c>
    </row>
    <row r="66" spans="1:2" x14ac:dyDescent="0.3">
      <c r="A66">
        <v>16500000</v>
      </c>
      <c r="B66">
        <v>21243</v>
      </c>
    </row>
    <row r="67" spans="1:2" x14ac:dyDescent="0.3">
      <c r="A67">
        <v>15800000</v>
      </c>
      <c r="B67">
        <v>20679</v>
      </c>
    </row>
    <row r="68" spans="1:2" x14ac:dyDescent="0.3">
      <c r="A68">
        <v>15000000</v>
      </c>
      <c r="B68">
        <v>20292</v>
      </c>
    </row>
    <row r="69" spans="1:2" x14ac:dyDescent="0.3">
      <c r="A69">
        <v>21300000</v>
      </c>
      <c r="B69">
        <v>20225</v>
      </c>
    </row>
    <row r="70" spans="1:2" x14ac:dyDescent="0.3">
      <c r="A70">
        <v>16600000</v>
      </c>
      <c r="B70">
        <v>20102</v>
      </c>
    </row>
    <row r="71" spans="1:2" x14ac:dyDescent="0.3">
      <c r="A71">
        <v>245000000</v>
      </c>
      <c r="B71">
        <v>20082</v>
      </c>
    </row>
    <row r="72" spans="1:2" x14ac:dyDescent="0.3">
      <c r="A72">
        <v>12500000</v>
      </c>
      <c r="B72">
        <v>19899</v>
      </c>
    </row>
    <row r="73" spans="1:2" x14ac:dyDescent="0.3">
      <c r="A73">
        <v>15700000</v>
      </c>
      <c r="B73">
        <v>19703</v>
      </c>
    </row>
    <row r="74" spans="1:2" x14ac:dyDescent="0.3">
      <c r="A74">
        <v>58000000</v>
      </c>
      <c r="B74">
        <v>19487</v>
      </c>
    </row>
    <row r="75" spans="1:2" x14ac:dyDescent="0.3">
      <c r="A75">
        <v>14500000</v>
      </c>
      <c r="B75">
        <v>19201</v>
      </c>
    </row>
    <row r="76" spans="1:2" x14ac:dyDescent="0.3">
      <c r="A76">
        <v>14500000</v>
      </c>
      <c r="B76">
        <v>18972</v>
      </c>
    </row>
    <row r="77" spans="1:2" x14ac:dyDescent="0.3">
      <c r="A77">
        <v>24500000</v>
      </c>
      <c r="B77">
        <v>18950</v>
      </c>
    </row>
    <row r="78" spans="1:2" x14ac:dyDescent="0.3">
      <c r="A78">
        <v>19600000</v>
      </c>
      <c r="B78">
        <v>18661</v>
      </c>
    </row>
    <row r="79" spans="1:2" x14ac:dyDescent="0.3">
      <c r="A79">
        <v>15700000</v>
      </c>
      <c r="B79">
        <v>16874</v>
      </c>
    </row>
    <row r="80" spans="1:2" x14ac:dyDescent="0.3">
      <c r="A80">
        <v>13600000</v>
      </c>
      <c r="B80">
        <v>16047</v>
      </c>
    </row>
    <row r="81" spans="1:2" x14ac:dyDescent="0.3">
      <c r="A81">
        <v>38200000</v>
      </c>
      <c r="B81">
        <v>15672</v>
      </c>
    </row>
    <row r="82" spans="1:2" x14ac:dyDescent="0.3">
      <c r="A82">
        <v>23100000</v>
      </c>
      <c r="B82">
        <v>15462</v>
      </c>
    </row>
    <row r="83" spans="1:2" x14ac:dyDescent="0.3">
      <c r="A83">
        <v>21700000</v>
      </c>
      <c r="B83">
        <v>15126</v>
      </c>
    </row>
    <row r="84" spans="1:2" x14ac:dyDescent="0.3">
      <c r="A84">
        <v>13900000</v>
      </c>
      <c r="B84">
        <v>15075</v>
      </c>
    </row>
    <row r="85" spans="1:2" x14ac:dyDescent="0.3">
      <c r="A85">
        <v>16400000</v>
      </c>
      <c r="B85">
        <v>14662</v>
      </c>
    </row>
    <row r="86" spans="1:2" x14ac:dyDescent="0.3">
      <c r="A86">
        <v>12400000</v>
      </c>
      <c r="B86">
        <v>12419</v>
      </c>
    </row>
    <row r="87" spans="1:2" x14ac:dyDescent="0.3">
      <c r="A87">
        <v>12500000</v>
      </c>
      <c r="B87">
        <v>11907</v>
      </c>
    </row>
    <row r="88" spans="1:2" x14ac:dyDescent="0.3">
      <c r="A88">
        <v>32100000</v>
      </c>
      <c r="B88">
        <v>11882</v>
      </c>
    </row>
    <row r="89" spans="1:2" x14ac:dyDescent="0.3">
      <c r="A89">
        <v>30100000</v>
      </c>
      <c r="B89">
        <v>11501</v>
      </c>
    </row>
    <row r="90" spans="1:2" x14ac:dyDescent="0.3">
      <c r="A90">
        <v>47400000</v>
      </c>
      <c r="B90">
        <v>11451</v>
      </c>
    </row>
    <row r="91" spans="1:2" x14ac:dyDescent="0.3">
      <c r="A91">
        <v>15200000</v>
      </c>
      <c r="B91">
        <v>11099</v>
      </c>
    </row>
    <row r="92" spans="1:2" x14ac:dyDescent="0.3">
      <c r="A92">
        <v>15300000</v>
      </c>
      <c r="B92">
        <v>10988</v>
      </c>
    </row>
    <row r="93" spans="1:2" x14ac:dyDescent="0.3">
      <c r="A93">
        <v>42500000</v>
      </c>
      <c r="B93">
        <v>10938</v>
      </c>
    </row>
    <row r="94" spans="1:2" x14ac:dyDescent="0.3">
      <c r="A94">
        <v>19400000</v>
      </c>
      <c r="B94">
        <v>10728</v>
      </c>
    </row>
    <row r="95" spans="1:2" x14ac:dyDescent="0.3">
      <c r="A95">
        <v>15800000</v>
      </c>
      <c r="B95">
        <v>10441</v>
      </c>
    </row>
    <row r="96" spans="1:2" x14ac:dyDescent="0.3">
      <c r="A96">
        <v>21800000</v>
      </c>
      <c r="B96">
        <v>10162</v>
      </c>
    </row>
    <row r="97" spans="1:2" x14ac:dyDescent="0.3">
      <c r="A97">
        <v>26500000</v>
      </c>
      <c r="B97">
        <v>10022</v>
      </c>
    </row>
    <row r="98" spans="1:2" x14ac:dyDescent="0.3">
      <c r="A98">
        <v>19800000</v>
      </c>
      <c r="B98">
        <v>9930</v>
      </c>
    </row>
    <row r="99" spans="1:2" x14ac:dyDescent="0.3">
      <c r="A99">
        <v>15200000</v>
      </c>
      <c r="B99">
        <v>9862</v>
      </c>
    </row>
    <row r="100" spans="1:2" x14ac:dyDescent="0.3">
      <c r="A100">
        <v>20900000</v>
      </c>
      <c r="B100">
        <v>9850</v>
      </c>
    </row>
    <row r="101" spans="1:2" x14ac:dyDescent="0.3">
      <c r="A101">
        <v>14000000</v>
      </c>
      <c r="B101">
        <v>9652</v>
      </c>
    </row>
    <row r="102" spans="1:2" x14ac:dyDescent="0.3">
      <c r="A102">
        <v>36600000</v>
      </c>
      <c r="B102">
        <v>9168</v>
      </c>
    </row>
    <row r="103" spans="1:2" x14ac:dyDescent="0.3">
      <c r="A103">
        <v>31200000</v>
      </c>
      <c r="B103">
        <v>8976</v>
      </c>
    </row>
    <row r="104" spans="1:2" x14ac:dyDescent="0.3">
      <c r="A104">
        <v>16600000</v>
      </c>
      <c r="B104">
        <v>8976</v>
      </c>
    </row>
    <row r="105" spans="1:2" x14ac:dyDescent="0.3">
      <c r="A105">
        <v>25400000</v>
      </c>
      <c r="B105">
        <v>8775</v>
      </c>
    </row>
    <row r="106" spans="1:2" x14ac:dyDescent="0.3">
      <c r="A106">
        <v>16700000</v>
      </c>
      <c r="B106">
        <v>8741</v>
      </c>
    </row>
    <row r="107" spans="1:2" x14ac:dyDescent="0.3">
      <c r="A107">
        <v>96700000</v>
      </c>
      <c r="B107">
        <v>8548</v>
      </c>
    </row>
    <row r="108" spans="1:2" x14ac:dyDescent="0.3">
      <c r="A108">
        <v>65600000</v>
      </c>
      <c r="B108">
        <v>8502</v>
      </c>
    </row>
    <row r="109" spans="1:2" x14ac:dyDescent="0.3">
      <c r="A109">
        <v>14900000</v>
      </c>
      <c r="B109">
        <v>8420</v>
      </c>
    </row>
    <row r="110" spans="1:2" x14ac:dyDescent="0.3">
      <c r="A110">
        <v>13600000</v>
      </c>
      <c r="B110">
        <v>8335</v>
      </c>
    </row>
    <row r="111" spans="1:2" x14ac:dyDescent="0.3">
      <c r="A111">
        <v>19200000</v>
      </c>
      <c r="B111">
        <v>8285</v>
      </c>
    </row>
    <row r="112" spans="1:2" x14ac:dyDescent="0.3">
      <c r="A112">
        <v>13300000</v>
      </c>
      <c r="B112">
        <v>8195</v>
      </c>
    </row>
    <row r="113" spans="1:2" x14ac:dyDescent="0.3">
      <c r="A113">
        <v>13200000</v>
      </c>
      <c r="B113">
        <v>8019</v>
      </c>
    </row>
    <row r="114" spans="1:2" x14ac:dyDescent="0.3">
      <c r="A114">
        <v>20100000</v>
      </c>
      <c r="B114">
        <v>7737</v>
      </c>
    </row>
    <row r="115" spans="1:2" x14ac:dyDescent="0.3">
      <c r="A115">
        <v>33800000</v>
      </c>
      <c r="B115">
        <v>7606</v>
      </c>
    </row>
    <row r="116" spans="1:2" x14ac:dyDescent="0.3">
      <c r="A116">
        <v>35500000</v>
      </c>
      <c r="B116">
        <v>7566</v>
      </c>
    </row>
    <row r="117" spans="1:2" x14ac:dyDescent="0.3">
      <c r="A117">
        <v>17200000</v>
      </c>
      <c r="B117">
        <v>7550</v>
      </c>
    </row>
    <row r="118" spans="1:2" x14ac:dyDescent="0.3">
      <c r="A118">
        <v>13400000</v>
      </c>
      <c r="B118">
        <v>7356</v>
      </c>
    </row>
    <row r="119" spans="1:2" x14ac:dyDescent="0.3">
      <c r="A119">
        <v>15700000</v>
      </c>
      <c r="B119">
        <v>7090</v>
      </c>
    </row>
    <row r="120" spans="1:2" x14ac:dyDescent="0.3">
      <c r="A120">
        <v>18400000</v>
      </c>
      <c r="B120">
        <v>6943</v>
      </c>
    </row>
    <row r="121" spans="1:2" x14ac:dyDescent="0.3">
      <c r="A121">
        <v>13300000</v>
      </c>
      <c r="B121">
        <v>6916</v>
      </c>
    </row>
    <row r="122" spans="1:2" x14ac:dyDescent="0.3">
      <c r="A122">
        <v>18200000</v>
      </c>
      <c r="B122">
        <v>6903</v>
      </c>
    </row>
    <row r="123" spans="1:2" x14ac:dyDescent="0.3">
      <c r="A123">
        <v>26500000</v>
      </c>
      <c r="B123">
        <v>6873</v>
      </c>
    </row>
    <row r="124" spans="1:2" x14ac:dyDescent="0.3">
      <c r="A124">
        <v>31800000</v>
      </c>
      <c r="B124">
        <v>6734</v>
      </c>
    </row>
    <row r="125" spans="1:2" x14ac:dyDescent="0.3">
      <c r="A125">
        <v>23400000</v>
      </c>
      <c r="B125">
        <v>6672</v>
      </c>
    </row>
    <row r="126" spans="1:2" x14ac:dyDescent="0.3">
      <c r="A126">
        <v>15600000</v>
      </c>
      <c r="B126">
        <v>6623</v>
      </c>
    </row>
    <row r="127" spans="1:2" x14ac:dyDescent="0.3">
      <c r="A127">
        <v>15600000</v>
      </c>
      <c r="B127">
        <v>6542</v>
      </c>
    </row>
    <row r="128" spans="1:2" x14ac:dyDescent="0.3">
      <c r="A128">
        <v>19100000</v>
      </c>
      <c r="B128">
        <v>6526</v>
      </c>
    </row>
    <row r="129" spans="1:2" x14ac:dyDescent="0.3">
      <c r="A129">
        <v>31700000</v>
      </c>
      <c r="B129">
        <v>6518</v>
      </c>
    </row>
    <row r="130" spans="1:2" x14ac:dyDescent="0.3">
      <c r="A130">
        <v>26700000</v>
      </c>
      <c r="B130">
        <v>6471</v>
      </c>
    </row>
    <row r="131" spans="1:2" x14ac:dyDescent="0.3">
      <c r="A131">
        <v>18600000</v>
      </c>
      <c r="B131">
        <v>6287</v>
      </c>
    </row>
    <row r="132" spans="1:2" x14ac:dyDescent="0.3">
      <c r="A132">
        <v>22000000</v>
      </c>
      <c r="B132">
        <v>6274</v>
      </c>
    </row>
    <row r="133" spans="1:2" x14ac:dyDescent="0.3">
      <c r="A133">
        <v>20900000</v>
      </c>
      <c r="B133">
        <v>6262</v>
      </c>
    </row>
    <row r="134" spans="1:2" x14ac:dyDescent="0.3">
      <c r="A134">
        <v>23500000</v>
      </c>
      <c r="B134">
        <v>6066</v>
      </c>
    </row>
    <row r="135" spans="1:2" x14ac:dyDescent="0.3">
      <c r="A135">
        <v>26200000</v>
      </c>
      <c r="B135">
        <v>5985</v>
      </c>
    </row>
    <row r="136" spans="1:2" x14ac:dyDescent="0.3">
      <c r="A136">
        <v>28400000</v>
      </c>
      <c r="B136">
        <v>5809</v>
      </c>
    </row>
    <row r="137" spans="1:2" x14ac:dyDescent="0.3">
      <c r="A137">
        <v>14000000</v>
      </c>
      <c r="B137">
        <v>5757</v>
      </c>
    </row>
    <row r="138" spans="1:2" x14ac:dyDescent="0.3">
      <c r="A138">
        <v>23000000</v>
      </c>
      <c r="B138">
        <v>5718</v>
      </c>
    </row>
    <row r="139" spans="1:2" x14ac:dyDescent="0.3">
      <c r="A139">
        <v>18000000</v>
      </c>
      <c r="B139">
        <v>5692</v>
      </c>
    </row>
    <row r="140" spans="1:2" x14ac:dyDescent="0.3">
      <c r="A140">
        <v>14400000</v>
      </c>
      <c r="B140">
        <v>5628</v>
      </c>
    </row>
    <row r="141" spans="1:2" x14ac:dyDescent="0.3">
      <c r="A141">
        <v>36500000</v>
      </c>
      <c r="B141">
        <v>5621</v>
      </c>
    </row>
    <row r="142" spans="1:2" x14ac:dyDescent="0.3">
      <c r="A142">
        <v>13900000</v>
      </c>
      <c r="B142">
        <v>5494</v>
      </c>
    </row>
    <row r="143" spans="1:2" x14ac:dyDescent="0.3">
      <c r="A143">
        <v>20100000</v>
      </c>
      <c r="B143">
        <v>5491</v>
      </c>
    </row>
    <row r="144" spans="1:2" x14ac:dyDescent="0.3">
      <c r="A144">
        <v>35200000</v>
      </c>
      <c r="B144">
        <v>5490</v>
      </c>
    </row>
    <row r="145" spans="1:2" x14ac:dyDescent="0.3">
      <c r="A145">
        <v>27300000</v>
      </c>
      <c r="B145">
        <v>5438</v>
      </c>
    </row>
    <row r="146" spans="1:2" x14ac:dyDescent="0.3">
      <c r="A146">
        <v>28400000</v>
      </c>
      <c r="B146">
        <v>5436</v>
      </c>
    </row>
    <row r="147" spans="1:2" x14ac:dyDescent="0.3">
      <c r="A147">
        <v>14500000</v>
      </c>
      <c r="B147">
        <v>5430</v>
      </c>
    </row>
    <row r="148" spans="1:2" x14ac:dyDescent="0.3">
      <c r="A148">
        <v>15000000</v>
      </c>
      <c r="B148">
        <v>5198</v>
      </c>
    </row>
    <row r="149" spans="1:2" x14ac:dyDescent="0.3">
      <c r="A149">
        <v>30100000</v>
      </c>
      <c r="B149">
        <v>5114</v>
      </c>
    </row>
    <row r="150" spans="1:2" x14ac:dyDescent="0.3">
      <c r="A150">
        <v>15900000</v>
      </c>
      <c r="B150">
        <v>5105</v>
      </c>
    </row>
    <row r="151" spans="1:2" x14ac:dyDescent="0.3">
      <c r="A151">
        <v>20700000</v>
      </c>
      <c r="B151">
        <v>5062</v>
      </c>
    </row>
    <row r="152" spans="1:2" x14ac:dyDescent="0.3">
      <c r="A152">
        <v>15200000</v>
      </c>
      <c r="B152">
        <v>5056</v>
      </c>
    </row>
    <row r="153" spans="1:2" x14ac:dyDescent="0.3">
      <c r="A153">
        <v>23000000</v>
      </c>
      <c r="B153">
        <v>5041</v>
      </c>
    </row>
    <row r="154" spans="1:2" x14ac:dyDescent="0.3">
      <c r="A154">
        <v>13800000</v>
      </c>
      <c r="B154">
        <v>4978</v>
      </c>
    </row>
    <row r="155" spans="1:2" x14ac:dyDescent="0.3">
      <c r="A155">
        <v>20100000</v>
      </c>
      <c r="B155">
        <v>4974</v>
      </c>
    </row>
    <row r="156" spans="1:2" x14ac:dyDescent="0.3">
      <c r="A156">
        <v>15900000</v>
      </c>
      <c r="B156">
        <v>4906</v>
      </c>
    </row>
    <row r="157" spans="1:2" x14ac:dyDescent="0.3">
      <c r="A157">
        <v>29600000</v>
      </c>
      <c r="B157">
        <v>4903</v>
      </c>
    </row>
    <row r="158" spans="1:2" x14ac:dyDescent="0.3">
      <c r="A158">
        <v>16900000</v>
      </c>
      <c r="B158">
        <v>4891</v>
      </c>
    </row>
    <row r="159" spans="1:2" x14ac:dyDescent="0.3">
      <c r="A159">
        <v>14500000</v>
      </c>
      <c r="B159">
        <v>4790</v>
      </c>
    </row>
    <row r="160" spans="1:2" x14ac:dyDescent="0.3">
      <c r="A160">
        <v>17300000</v>
      </c>
      <c r="B160">
        <v>4778</v>
      </c>
    </row>
    <row r="161" spans="1:2" x14ac:dyDescent="0.3">
      <c r="A161">
        <v>19400000</v>
      </c>
      <c r="B161">
        <v>4750</v>
      </c>
    </row>
    <row r="162" spans="1:2" x14ac:dyDescent="0.3">
      <c r="A162">
        <v>59300000</v>
      </c>
      <c r="B162">
        <v>4741</v>
      </c>
    </row>
    <row r="163" spans="1:2" x14ac:dyDescent="0.3">
      <c r="A163">
        <v>21100000</v>
      </c>
      <c r="B163">
        <v>4728</v>
      </c>
    </row>
    <row r="164" spans="1:2" x14ac:dyDescent="0.3">
      <c r="A164">
        <v>111000000</v>
      </c>
      <c r="B164">
        <v>4716</v>
      </c>
    </row>
    <row r="165" spans="1:2" x14ac:dyDescent="0.3">
      <c r="A165">
        <v>12900000</v>
      </c>
      <c r="B165">
        <v>4712</v>
      </c>
    </row>
    <row r="166" spans="1:2" x14ac:dyDescent="0.3">
      <c r="A166">
        <v>17600000</v>
      </c>
      <c r="B166">
        <v>4702</v>
      </c>
    </row>
    <row r="167" spans="1:2" x14ac:dyDescent="0.3">
      <c r="A167">
        <v>17200000</v>
      </c>
      <c r="B167">
        <v>4685</v>
      </c>
    </row>
    <row r="168" spans="1:2" x14ac:dyDescent="0.3">
      <c r="A168">
        <v>45500000</v>
      </c>
      <c r="B168">
        <v>4660</v>
      </c>
    </row>
    <row r="169" spans="1:2" x14ac:dyDescent="0.3">
      <c r="A169">
        <v>13300000</v>
      </c>
      <c r="B169">
        <v>4613</v>
      </c>
    </row>
    <row r="170" spans="1:2" x14ac:dyDescent="0.3">
      <c r="A170">
        <v>41400000</v>
      </c>
      <c r="B170">
        <v>4510</v>
      </c>
    </row>
    <row r="171" spans="1:2" x14ac:dyDescent="0.3">
      <c r="A171">
        <v>18600000</v>
      </c>
      <c r="B171">
        <v>4487</v>
      </c>
    </row>
    <row r="172" spans="1:2" x14ac:dyDescent="0.3">
      <c r="A172">
        <v>23100000</v>
      </c>
      <c r="B172">
        <v>4445</v>
      </c>
    </row>
    <row r="173" spans="1:2" x14ac:dyDescent="0.3">
      <c r="A173">
        <v>12400000</v>
      </c>
      <c r="B173">
        <v>4422</v>
      </c>
    </row>
    <row r="174" spans="1:2" x14ac:dyDescent="0.3">
      <c r="A174">
        <v>17400000</v>
      </c>
      <c r="B174">
        <v>4411</v>
      </c>
    </row>
    <row r="175" spans="1:2" x14ac:dyDescent="0.3">
      <c r="A175">
        <v>14700000</v>
      </c>
      <c r="B175">
        <v>4340</v>
      </c>
    </row>
    <row r="176" spans="1:2" x14ac:dyDescent="0.3">
      <c r="A176">
        <v>20000000</v>
      </c>
      <c r="B176">
        <v>4339</v>
      </c>
    </row>
    <row r="177" spans="1:2" x14ac:dyDescent="0.3">
      <c r="A177">
        <v>45200000</v>
      </c>
      <c r="B177">
        <v>4331</v>
      </c>
    </row>
    <row r="178" spans="1:2" x14ac:dyDescent="0.3">
      <c r="A178">
        <v>13500000</v>
      </c>
      <c r="B178">
        <v>4312</v>
      </c>
    </row>
    <row r="179" spans="1:2" x14ac:dyDescent="0.3">
      <c r="A179">
        <v>13200000</v>
      </c>
      <c r="B179">
        <v>4279</v>
      </c>
    </row>
    <row r="180" spans="1:2" x14ac:dyDescent="0.3">
      <c r="A180">
        <v>15600000</v>
      </c>
      <c r="B180">
        <v>4245</v>
      </c>
    </row>
    <row r="181" spans="1:2" x14ac:dyDescent="0.3">
      <c r="A181">
        <v>19700000</v>
      </c>
      <c r="B181">
        <v>4225</v>
      </c>
    </row>
    <row r="182" spans="1:2" x14ac:dyDescent="0.3">
      <c r="A182">
        <v>15400000</v>
      </c>
      <c r="B182">
        <v>4186</v>
      </c>
    </row>
    <row r="183" spans="1:2" x14ac:dyDescent="0.3">
      <c r="A183">
        <v>14900000</v>
      </c>
      <c r="B183">
        <v>4175</v>
      </c>
    </row>
    <row r="184" spans="1:2" x14ac:dyDescent="0.3">
      <c r="A184">
        <v>31900000</v>
      </c>
      <c r="B184">
        <v>4158</v>
      </c>
    </row>
    <row r="185" spans="1:2" x14ac:dyDescent="0.3">
      <c r="A185">
        <v>16100000</v>
      </c>
      <c r="B185">
        <v>4045</v>
      </c>
    </row>
    <row r="186" spans="1:2" x14ac:dyDescent="0.3">
      <c r="A186">
        <v>24000000</v>
      </c>
      <c r="B186">
        <v>4009</v>
      </c>
    </row>
    <row r="187" spans="1:2" x14ac:dyDescent="0.3">
      <c r="A187">
        <v>14600000</v>
      </c>
      <c r="B187">
        <v>4009</v>
      </c>
    </row>
    <row r="188" spans="1:2" x14ac:dyDescent="0.3">
      <c r="A188">
        <v>14700000</v>
      </c>
      <c r="B188">
        <v>3978</v>
      </c>
    </row>
    <row r="189" spans="1:2" x14ac:dyDescent="0.3">
      <c r="A189">
        <v>26900000</v>
      </c>
      <c r="B189">
        <v>3956</v>
      </c>
    </row>
    <row r="190" spans="1:2" x14ac:dyDescent="0.3">
      <c r="A190">
        <v>16200000</v>
      </c>
      <c r="B190">
        <v>3943</v>
      </c>
    </row>
    <row r="191" spans="1:2" x14ac:dyDescent="0.3">
      <c r="A191">
        <v>16900000</v>
      </c>
      <c r="B191">
        <v>3900</v>
      </c>
    </row>
    <row r="192" spans="1:2" x14ac:dyDescent="0.3">
      <c r="A192">
        <v>57200000</v>
      </c>
      <c r="B192">
        <v>3882</v>
      </c>
    </row>
    <row r="193" spans="1:2" x14ac:dyDescent="0.3">
      <c r="A193">
        <v>28000000</v>
      </c>
      <c r="B193">
        <v>3878</v>
      </c>
    </row>
    <row r="194" spans="1:2" x14ac:dyDescent="0.3">
      <c r="A194">
        <v>14800000</v>
      </c>
      <c r="B194">
        <v>3867</v>
      </c>
    </row>
    <row r="195" spans="1:2" x14ac:dyDescent="0.3">
      <c r="A195">
        <v>14800000</v>
      </c>
      <c r="B195">
        <v>3834</v>
      </c>
    </row>
    <row r="196" spans="1:2" x14ac:dyDescent="0.3">
      <c r="A196">
        <v>15100000</v>
      </c>
      <c r="B196">
        <v>3810</v>
      </c>
    </row>
    <row r="197" spans="1:2" x14ac:dyDescent="0.3">
      <c r="A197">
        <v>23100000</v>
      </c>
      <c r="B197">
        <v>3781</v>
      </c>
    </row>
    <row r="198" spans="1:2" x14ac:dyDescent="0.3">
      <c r="A198">
        <v>20100000</v>
      </c>
      <c r="B198">
        <v>3774</v>
      </c>
    </row>
    <row r="199" spans="1:2" x14ac:dyDescent="0.3">
      <c r="A199">
        <v>33500000</v>
      </c>
      <c r="B199">
        <v>3741</v>
      </c>
    </row>
    <row r="200" spans="1:2" x14ac:dyDescent="0.3">
      <c r="A200">
        <v>15100000</v>
      </c>
      <c r="B200">
        <v>3733</v>
      </c>
    </row>
    <row r="201" spans="1:2" x14ac:dyDescent="0.3">
      <c r="A201">
        <v>13400000</v>
      </c>
      <c r="B201">
        <v>3727</v>
      </c>
    </row>
    <row r="202" spans="1:2" x14ac:dyDescent="0.3">
      <c r="A202">
        <v>25400000</v>
      </c>
      <c r="B202">
        <v>3716</v>
      </c>
    </row>
    <row r="203" spans="1:2" x14ac:dyDescent="0.3">
      <c r="A203">
        <v>20200000</v>
      </c>
      <c r="B203">
        <v>3713</v>
      </c>
    </row>
    <row r="204" spans="1:2" x14ac:dyDescent="0.3">
      <c r="A204">
        <v>54600000</v>
      </c>
      <c r="B204">
        <v>3707</v>
      </c>
    </row>
    <row r="205" spans="1:2" x14ac:dyDescent="0.3">
      <c r="A205">
        <v>27400000</v>
      </c>
      <c r="B205">
        <v>3664</v>
      </c>
    </row>
    <row r="206" spans="1:2" x14ac:dyDescent="0.3">
      <c r="A206">
        <v>23300000</v>
      </c>
      <c r="B206">
        <v>3657</v>
      </c>
    </row>
    <row r="207" spans="1:2" x14ac:dyDescent="0.3">
      <c r="A207">
        <v>29200000</v>
      </c>
      <c r="B207">
        <v>3654</v>
      </c>
    </row>
    <row r="208" spans="1:2" x14ac:dyDescent="0.3">
      <c r="A208">
        <v>13300000</v>
      </c>
      <c r="B208">
        <v>3640</v>
      </c>
    </row>
    <row r="209" spans="1:2" x14ac:dyDescent="0.3">
      <c r="A209">
        <v>26400000</v>
      </c>
      <c r="B209">
        <v>3622</v>
      </c>
    </row>
    <row r="210" spans="1:2" x14ac:dyDescent="0.3">
      <c r="A210">
        <v>31400000</v>
      </c>
      <c r="B210">
        <v>3589</v>
      </c>
    </row>
    <row r="211" spans="1:2" x14ac:dyDescent="0.3">
      <c r="A211">
        <v>18000000</v>
      </c>
      <c r="B211">
        <v>3566</v>
      </c>
    </row>
    <row r="212" spans="1:2" x14ac:dyDescent="0.3">
      <c r="A212">
        <v>38300000</v>
      </c>
      <c r="B212">
        <v>3532</v>
      </c>
    </row>
    <row r="213" spans="1:2" x14ac:dyDescent="0.3">
      <c r="A213">
        <v>12800000</v>
      </c>
      <c r="B213">
        <v>3483</v>
      </c>
    </row>
    <row r="214" spans="1:2" x14ac:dyDescent="0.3">
      <c r="A214">
        <v>46600000</v>
      </c>
      <c r="B214">
        <v>3444</v>
      </c>
    </row>
    <row r="215" spans="1:2" x14ac:dyDescent="0.3">
      <c r="A215">
        <v>22500000</v>
      </c>
      <c r="B215">
        <v>3377</v>
      </c>
    </row>
    <row r="216" spans="1:2" x14ac:dyDescent="0.3">
      <c r="A216">
        <v>33700000</v>
      </c>
      <c r="B216">
        <v>3366</v>
      </c>
    </row>
    <row r="217" spans="1:2" x14ac:dyDescent="0.3">
      <c r="A217">
        <v>47500000</v>
      </c>
      <c r="B217">
        <v>3322</v>
      </c>
    </row>
    <row r="218" spans="1:2" x14ac:dyDescent="0.3">
      <c r="A218">
        <v>22500000</v>
      </c>
      <c r="B218">
        <v>3315</v>
      </c>
    </row>
    <row r="219" spans="1:2" x14ac:dyDescent="0.3">
      <c r="A219">
        <v>13700000</v>
      </c>
      <c r="B219">
        <v>3298</v>
      </c>
    </row>
    <row r="220" spans="1:2" x14ac:dyDescent="0.3">
      <c r="A220">
        <v>15000000</v>
      </c>
      <c r="B220">
        <v>3168</v>
      </c>
    </row>
    <row r="221" spans="1:2" x14ac:dyDescent="0.3">
      <c r="A221">
        <v>13300000</v>
      </c>
      <c r="B221">
        <v>3166</v>
      </c>
    </row>
    <row r="222" spans="1:2" x14ac:dyDescent="0.3">
      <c r="A222">
        <v>18400000</v>
      </c>
      <c r="B222">
        <v>3159</v>
      </c>
    </row>
    <row r="223" spans="1:2" x14ac:dyDescent="0.3">
      <c r="A223">
        <v>17600000</v>
      </c>
      <c r="B223">
        <v>3151</v>
      </c>
    </row>
    <row r="224" spans="1:2" x14ac:dyDescent="0.3">
      <c r="A224">
        <v>32100000</v>
      </c>
      <c r="B224">
        <v>3091</v>
      </c>
    </row>
    <row r="225" spans="1:2" x14ac:dyDescent="0.3">
      <c r="A225">
        <v>14400000</v>
      </c>
      <c r="B225">
        <v>3086</v>
      </c>
    </row>
    <row r="226" spans="1:2" x14ac:dyDescent="0.3">
      <c r="A226">
        <v>38900000</v>
      </c>
      <c r="B226">
        <v>3043</v>
      </c>
    </row>
    <row r="227" spans="1:2" x14ac:dyDescent="0.3">
      <c r="A227">
        <v>31200000</v>
      </c>
      <c r="B227">
        <v>3027</v>
      </c>
    </row>
    <row r="228" spans="1:2" x14ac:dyDescent="0.3">
      <c r="A228">
        <v>28200000</v>
      </c>
      <c r="B228">
        <v>3009</v>
      </c>
    </row>
    <row r="229" spans="1:2" x14ac:dyDescent="0.3">
      <c r="A229">
        <v>15100000</v>
      </c>
      <c r="B229">
        <v>2997</v>
      </c>
    </row>
    <row r="230" spans="1:2" x14ac:dyDescent="0.3">
      <c r="A230">
        <v>19100000</v>
      </c>
      <c r="B230">
        <v>2948</v>
      </c>
    </row>
    <row r="231" spans="1:2" x14ac:dyDescent="0.3">
      <c r="A231">
        <v>21600000</v>
      </c>
      <c r="B231">
        <v>2942</v>
      </c>
    </row>
    <row r="232" spans="1:2" x14ac:dyDescent="0.3">
      <c r="A232">
        <v>19700000</v>
      </c>
      <c r="B232">
        <v>2912</v>
      </c>
    </row>
    <row r="233" spans="1:2" x14ac:dyDescent="0.3">
      <c r="A233">
        <v>23000000</v>
      </c>
      <c r="B233">
        <v>2905</v>
      </c>
    </row>
    <row r="234" spans="1:2" x14ac:dyDescent="0.3">
      <c r="A234">
        <v>21000000</v>
      </c>
      <c r="B234">
        <v>2883</v>
      </c>
    </row>
    <row r="235" spans="1:2" x14ac:dyDescent="0.3">
      <c r="A235">
        <v>68200000</v>
      </c>
      <c r="B235">
        <v>2865</v>
      </c>
    </row>
    <row r="236" spans="1:2" x14ac:dyDescent="0.3">
      <c r="A236">
        <v>14100000</v>
      </c>
      <c r="B236">
        <v>2854</v>
      </c>
    </row>
    <row r="237" spans="1:2" x14ac:dyDescent="0.3">
      <c r="A237">
        <v>16100000</v>
      </c>
      <c r="B237">
        <v>2805</v>
      </c>
    </row>
    <row r="238" spans="1:2" x14ac:dyDescent="0.3">
      <c r="A238">
        <v>13300000</v>
      </c>
      <c r="B238">
        <v>2742</v>
      </c>
    </row>
    <row r="239" spans="1:2" x14ac:dyDescent="0.3">
      <c r="A239">
        <v>32700000</v>
      </c>
      <c r="B239">
        <v>2738</v>
      </c>
    </row>
    <row r="240" spans="1:2" x14ac:dyDescent="0.3">
      <c r="A240">
        <v>12500000</v>
      </c>
      <c r="B240">
        <v>2738</v>
      </c>
    </row>
    <row r="241" spans="1:2" x14ac:dyDescent="0.3">
      <c r="A241">
        <v>33300000</v>
      </c>
      <c r="B241">
        <v>2736</v>
      </c>
    </row>
    <row r="242" spans="1:2" x14ac:dyDescent="0.3">
      <c r="A242">
        <v>15000000</v>
      </c>
      <c r="B242">
        <v>2726</v>
      </c>
    </row>
    <row r="243" spans="1:2" x14ac:dyDescent="0.3">
      <c r="A243">
        <v>30400000</v>
      </c>
      <c r="B243">
        <v>2725</v>
      </c>
    </row>
    <row r="244" spans="1:2" x14ac:dyDescent="0.3">
      <c r="A244">
        <v>15100000</v>
      </c>
      <c r="B244">
        <v>2717</v>
      </c>
    </row>
    <row r="245" spans="1:2" x14ac:dyDescent="0.3">
      <c r="A245">
        <v>15100000</v>
      </c>
      <c r="B245">
        <v>2618</v>
      </c>
    </row>
    <row r="246" spans="1:2" x14ac:dyDescent="0.3">
      <c r="A246">
        <v>66500000</v>
      </c>
      <c r="B246">
        <v>2572</v>
      </c>
    </row>
    <row r="247" spans="1:2" x14ac:dyDescent="0.3">
      <c r="A247">
        <v>12700000</v>
      </c>
      <c r="B247">
        <v>2483</v>
      </c>
    </row>
    <row r="248" spans="1:2" x14ac:dyDescent="0.3">
      <c r="A248">
        <v>18000000</v>
      </c>
      <c r="B248">
        <v>2470</v>
      </c>
    </row>
    <row r="249" spans="1:2" x14ac:dyDescent="0.3">
      <c r="A249">
        <v>35200000</v>
      </c>
      <c r="B249">
        <v>2453</v>
      </c>
    </row>
    <row r="250" spans="1:2" x14ac:dyDescent="0.3">
      <c r="A250">
        <v>12300000</v>
      </c>
      <c r="B250">
        <v>2452</v>
      </c>
    </row>
    <row r="251" spans="1:2" x14ac:dyDescent="0.3">
      <c r="A251">
        <v>23800000</v>
      </c>
      <c r="B251">
        <v>2425</v>
      </c>
    </row>
    <row r="252" spans="1:2" x14ac:dyDescent="0.3">
      <c r="A252">
        <v>40900000</v>
      </c>
      <c r="B252">
        <v>2423</v>
      </c>
    </row>
    <row r="253" spans="1:2" x14ac:dyDescent="0.3">
      <c r="A253">
        <v>13300000</v>
      </c>
      <c r="B253">
        <v>2411</v>
      </c>
    </row>
    <row r="254" spans="1:2" x14ac:dyDescent="0.3">
      <c r="A254">
        <v>12800000</v>
      </c>
      <c r="B254">
        <v>2385</v>
      </c>
    </row>
    <row r="255" spans="1:2" x14ac:dyDescent="0.3">
      <c r="A255">
        <v>20100000</v>
      </c>
      <c r="B255">
        <v>2384</v>
      </c>
    </row>
    <row r="256" spans="1:2" x14ac:dyDescent="0.3">
      <c r="A256">
        <v>16900000</v>
      </c>
      <c r="B256">
        <v>2337</v>
      </c>
    </row>
    <row r="257" spans="1:2" x14ac:dyDescent="0.3">
      <c r="A257">
        <v>12900000</v>
      </c>
      <c r="B257">
        <v>2337</v>
      </c>
    </row>
    <row r="258" spans="1:2" x14ac:dyDescent="0.3">
      <c r="A258">
        <v>21100000</v>
      </c>
      <c r="B258">
        <v>2325</v>
      </c>
    </row>
    <row r="259" spans="1:2" x14ac:dyDescent="0.3">
      <c r="A259">
        <v>15000000</v>
      </c>
      <c r="B259">
        <v>2324</v>
      </c>
    </row>
    <row r="260" spans="1:2" x14ac:dyDescent="0.3">
      <c r="A260">
        <v>22600000</v>
      </c>
      <c r="B260">
        <v>2321</v>
      </c>
    </row>
    <row r="261" spans="1:2" x14ac:dyDescent="0.3">
      <c r="A261">
        <v>34000000</v>
      </c>
      <c r="B261">
        <v>2284</v>
      </c>
    </row>
    <row r="262" spans="1:2" x14ac:dyDescent="0.3">
      <c r="A262">
        <v>75600000</v>
      </c>
      <c r="B262">
        <v>2281</v>
      </c>
    </row>
    <row r="263" spans="1:2" x14ac:dyDescent="0.3">
      <c r="A263">
        <v>13900000</v>
      </c>
      <c r="B263">
        <v>2254</v>
      </c>
    </row>
    <row r="264" spans="1:2" x14ac:dyDescent="0.3">
      <c r="A264">
        <v>17700000</v>
      </c>
      <c r="B264">
        <v>2240</v>
      </c>
    </row>
    <row r="265" spans="1:2" x14ac:dyDescent="0.3">
      <c r="A265">
        <v>16900000</v>
      </c>
      <c r="B265">
        <v>2235</v>
      </c>
    </row>
    <row r="266" spans="1:2" x14ac:dyDescent="0.3">
      <c r="A266">
        <v>14800000</v>
      </c>
      <c r="B266">
        <v>2222</v>
      </c>
    </row>
    <row r="267" spans="1:2" x14ac:dyDescent="0.3">
      <c r="A267">
        <v>16600000</v>
      </c>
      <c r="B267">
        <v>2200</v>
      </c>
    </row>
    <row r="268" spans="1:2" x14ac:dyDescent="0.3">
      <c r="A268">
        <v>30400000</v>
      </c>
      <c r="B268">
        <v>2197</v>
      </c>
    </row>
    <row r="269" spans="1:2" x14ac:dyDescent="0.3">
      <c r="A269">
        <v>19300000</v>
      </c>
      <c r="B269">
        <v>2175</v>
      </c>
    </row>
    <row r="270" spans="1:2" x14ac:dyDescent="0.3">
      <c r="A270">
        <v>15300000</v>
      </c>
      <c r="B270">
        <v>2175</v>
      </c>
    </row>
    <row r="271" spans="1:2" x14ac:dyDescent="0.3">
      <c r="A271">
        <v>13700000</v>
      </c>
      <c r="B271">
        <v>2158</v>
      </c>
    </row>
    <row r="272" spans="1:2" x14ac:dyDescent="0.3">
      <c r="A272">
        <v>32800000</v>
      </c>
      <c r="B272">
        <v>2122</v>
      </c>
    </row>
    <row r="273" spans="1:2" x14ac:dyDescent="0.3">
      <c r="A273">
        <v>17400000</v>
      </c>
      <c r="B273">
        <v>2078</v>
      </c>
    </row>
    <row r="274" spans="1:2" x14ac:dyDescent="0.3">
      <c r="A274">
        <v>18800000</v>
      </c>
      <c r="B274">
        <v>2072</v>
      </c>
    </row>
    <row r="275" spans="1:2" x14ac:dyDescent="0.3">
      <c r="A275">
        <v>32700000</v>
      </c>
      <c r="B275">
        <v>2068</v>
      </c>
    </row>
    <row r="276" spans="1:2" x14ac:dyDescent="0.3">
      <c r="A276">
        <v>48100000</v>
      </c>
      <c r="B276">
        <v>2052</v>
      </c>
    </row>
    <row r="277" spans="1:2" x14ac:dyDescent="0.3">
      <c r="A277">
        <v>12800000</v>
      </c>
      <c r="B277">
        <v>2044</v>
      </c>
    </row>
    <row r="278" spans="1:2" x14ac:dyDescent="0.3">
      <c r="A278">
        <v>15900000</v>
      </c>
      <c r="B278">
        <v>2035</v>
      </c>
    </row>
    <row r="279" spans="1:2" x14ac:dyDescent="0.3">
      <c r="A279">
        <v>25200000</v>
      </c>
      <c r="B279">
        <v>2025</v>
      </c>
    </row>
    <row r="280" spans="1:2" x14ac:dyDescent="0.3">
      <c r="A280">
        <v>15600000</v>
      </c>
      <c r="B280">
        <v>2019</v>
      </c>
    </row>
    <row r="281" spans="1:2" x14ac:dyDescent="0.3">
      <c r="A281">
        <v>35400000</v>
      </c>
      <c r="B281">
        <v>2010</v>
      </c>
    </row>
    <row r="282" spans="1:2" x14ac:dyDescent="0.3">
      <c r="A282">
        <v>14700000</v>
      </c>
      <c r="B282">
        <v>1996</v>
      </c>
    </row>
    <row r="283" spans="1:2" x14ac:dyDescent="0.3">
      <c r="A283">
        <v>20200000</v>
      </c>
      <c r="B283">
        <v>1935</v>
      </c>
    </row>
    <row r="284" spans="1:2" x14ac:dyDescent="0.3">
      <c r="A284">
        <v>16200000</v>
      </c>
      <c r="B284">
        <v>1930</v>
      </c>
    </row>
    <row r="285" spans="1:2" x14ac:dyDescent="0.3">
      <c r="A285">
        <v>16900000</v>
      </c>
      <c r="B285">
        <v>1910</v>
      </c>
    </row>
    <row r="286" spans="1:2" x14ac:dyDescent="0.3">
      <c r="A286">
        <v>24800000</v>
      </c>
      <c r="B286">
        <v>1894</v>
      </c>
    </row>
    <row r="287" spans="1:2" x14ac:dyDescent="0.3">
      <c r="A287">
        <v>17700000</v>
      </c>
      <c r="B287">
        <v>1888</v>
      </c>
    </row>
    <row r="288" spans="1:2" x14ac:dyDescent="0.3">
      <c r="A288">
        <v>12500000</v>
      </c>
      <c r="B288">
        <v>1888</v>
      </c>
    </row>
    <row r="289" spans="1:2" x14ac:dyDescent="0.3">
      <c r="A289">
        <v>39100000</v>
      </c>
      <c r="B289">
        <v>1876</v>
      </c>
    </row>
    <row r="290" spans="1:2" x14ac:dyDescent="0.3">
      <c r="A290">
        <v>22800000</v>
      </c>
      <c r="B290">
        <v>1841</v>
      </c>
    </row>
    <row r="291" spans="1:2" x14ac:dyDescent="0.3">
      <c r="A291">
        <v>14400000</v>
      </c>
      <c r="B291">
        <v>1838</v>
      </c>
    </row>
    <row r="292" spans="1:2" x14ac:dyDescent="0.3">
      <c r="A292">
        <v>14200000</v>
      </c>
      <c r="B292">
        <v>1823</v>
      </c>
    </row>
    <row r="293" spans="1:2" x14ac:dyDescent="0.3">
      <c r="A293">
        <v>12500000</v>
      </c>
      <c r="B293">
        <v>1810</v>
      </c>
    </row>
    <row r="294" spans="1:2" x14ac:dyDescent="0.3">
      <c r="A294">
        <v>15000000</v>
      </c>
      <c r="B294">
        <v>1803</v>
      </c>
    </row>
    <row r="295" spans="1:2" x14ac:dyDescent="0.3">
      <c r="A295">
        <v>13500000</v>
      </c>
      <c r="B295">
        <v>1793</v>
      </c>
    </row>
    <row r="296" spans="1:2" x14ac:dyDescent="0.3">
      <c r="A296">
        <v>15000000</v>
      </c>
      <c r="B296">
        <v>1788</v>
      </c>
    </row>
    <row r="297" spans="1:2" x14ac:dyDescent="0.3">
      <c r="A297">
        <v>25800000</v>
      </c>
      <c r="B297">
        <v>1762</v>
      </c>
    </row>
    <row r="298" spans="1:2" x14ac:dyDescent="0.3">
      <c r="A298">
        <v>15400000</v>
      </c>
      <c r="B298">
        <v>1756</v>
      </c>
    </row>
    <row r="299" spans="1:2" x14ac:dyDescent="0.3">
      <c r="A299">
        <v>27400000</v>
      </c>
      <c r="B299">
        <v>1753</v>
      </c>
    </row>
    <row r="300" spans="1:2" x14ac:dyDescent="0.3">
      <c r="A300">
        <v>13300000</v>
      </c>
      <c r="B300">
        <v>1749</v>
      </c>
    </row>
    <row r="301" spans="1:2" x14ac:dyDescent="0.3">
      <c r="A301">
        <v>23700000</v>
      </c>
      <c r="B301">
        <v>1732</v>
      </c>
    </row>
    <row r="302" spans="1:2" x14ac:dyDescent="0.3">
      <c r="A302">
        <v>12800000</v>
      </c>
      <c r="B302">
        <v>1727</v>
      </c>
    </row>
    <row r="303" spans="1:2" x14ac:dyDescent="0.3">
      <c r="A303">
        <v>15400000</v>
      </c>
      <c r="B303">
        <v>1725</v>
      </c>
    </row>
    <row r="304" spans="1:2" x14ac:dyDescent="0.3">
      <c r="A304">
        <v>22300000</v>
      </c>
      <c r="B304">
        <v>1724</v>
      </c>
    </row>
    <row r="305" spans="1:2" x14ac:dyDescent="0.3">
      <c r="A305">
        <v>14200000</v>
      </c>
      <c r="B305">
        <v>1724</v>
      </c>
    </row>
    <row r="306" spans="1:2" x14ac:dyDescent="0.3">
      <c r="A306">
        <v>14500000</v>
      </c>
      <c r="B306">
        <v>1717</v>
      </c>
    </row>
    <row r="307" spans="1:2" x14ac:dyDescent="0.3">
      <c r="A307">
        <v>17700000</v>
      </c>
      <c r="B307">
        <v>1716</v>
      </c>
    </row>
    <row r="308" spans="1:2" x14ac:dyDescent="0.3">
      <c r="A308">
        <v>12500000</v>
      </c>
      <c r="B308">
        <v>1699</v>
      </c>
    </row>
    <row r="309" spans="1:2" x14ac:dyDescent="0.3">
      <c r="A309">
        <v>16700000</v>
      </c>
      <c r="B309">
        <v>1693</v>
      </c>
    </row>
    <row r="310" spans="1:2" x14ac:dyDescent="0.3">
      <c r="A310">
        <v>22900000</v>
      </c>
      <c r="B310">
        <v>1670</v>
      </c>
    </row>
    <row r="311" spans="1:2" x14ac:dyDescent="0.3">
      <c r="A311">
        <v>24300000</v>
      </c>
      <c r="B311">
        <v>1667</v>
      </c>
    </row>
    <row r="312" spans="1:2" x14ac:dyDescent="0.3">
      <c r="A312">
        <v>13900000</v>
      </c>
      <c r="B312">
        <v>1660</v>
      </c>
    </row>
    <row r="313" spans="1:2" x14ac:dyDescent="0.3">
      <c r="A313">
        <v>15400000</v>
      </c>
      <c r="B313">
        <v>1647</v>
      </c>
    </row>
    <row r="314" spans="1:2" x14ac:dyDescent="0.3">
      <c r="A314">
        <v>24800000</v>
      </c>
      <c r="B314">
        <v>1644</v>
      </c>
    </row>
    <row r="315" spans="1:2" x14ac:dyDescent="0.3">
      <c r="A315">
        <v>15700000</v>
      </c>
      <c r="B315">
        <v>1640</v>
      </c>
    </row>
    <row r="316" spans="1:2" x14ac:dyDescent="0.3">
      <c r="A316">
        <v>13300000</v>
      </c>
      <c r="B316">
        <v>1640</v>
      </c>
    </row>
    <row r="317" spans="1:2" x14ac:dyDescent="0.3">
      <c r="A317">
        <v>26100000</v>
      </c>
      <c r="B317">
        <v>1619</v>
      </c>
    </row>
    <row r="318" spans="1:2" x14ac:dyDescent="0.3">
      <c r="A318">
        <v>21300000</v>
      </c>
      <c r="B318">
        <v>1608</v>
      </c>
    </row>
    <row r="319" spans="1:2" x14ac:dyDescent="0.3">
      <c r="A319">
        <v>23000000</v>
      </c>
      <c r="B319">
        <v>1598</v>
      </c>
    </row>
    <row r="320" spans="1:2" x14ac:dyDescent="0.3">
      <c r="A320">
        <v>12900000</v>
      </c>
      <c r="B320">
        <v>1598</v>
      </c>
    </row>
    <row r="321" spans="1:2" x14ac:dyDescent="0.3">
      <c r="A321">
        <v>39700000</v>
      </c>
      <c r="B321">
        <v>1596</v>
      </c>
    </row>
    <row r="322" spans="1:2" x14ac:dyDescent="0.3">
      <c r="A322">
        <v>15400000</v>
      </c>
      <c r="B322">
        <v>1577</v>
      </c>
    </row>
    <row r="323" spans="1:2" x14ac:dyDescent="0.3">
      <c r="A323">
        <v>12900000</v>
      </c>
      <c r="B323">
        <v>1572</v>
      </c>
    </row>
    <row r="324" spans="1:2" x14ac:dyDescent="0.3">
      <c r="A324">
        <v>17200000</v>
      </c>
      <c r="B324">
        <v>1567</v>
      </c>
    </row>
    <row r="325" spans="1:2" x14ac:dyDescent="0.3">
      <c r="A325">
        <v>44700000</v>
      </c>
      <c r="B325">
        <v>1558</v>
      </c>
    </row>
    <row r="326" spans="1:2" x14ac:dyDescent="0.3">
      <c r="A326">
        <v>14100000</v>
      </c>
      <c r="B326">
        <v>1540</v>
      </c>
    </row>
    <row r="327" spans="1:2" x14ac:dyDescent="0.3">
      <c r="A327">
        <v>20000000</v>
      </c>
      <c r="B327">
        <v>1527</v>
      </c>
    </row>
    <row r="328" spans="1:2" x14ac:dyDescent="0.3">
      <c r="A328">
        <v>20000000</v>
      </c>
      <c r="B328">
        <v>1527</v>
      </c>
    </row>
    <row r="329" spans="1:2" x14ac:dyDescent="0.3">
      <c r="A329">
        <v>19000000</v>
      </c>
      <c r="B329">
        <v>1525</v>
      </c>
    </row>
    <row r="330" spans="1:2" x14ac:dyDescent="0.3">
      <c r="A330">
        <v>15500000</v>
      </c>
      <c r="B330">
        <v>1525</v>
      </c>
    </row>
    <row r="331" spans="1:2" x14ac:dyDescent="0.3">
      <c r="A331">
        <v>32700000</v>
      </c>
      <c r="B331">
        <v>1521</v>
      </c>
    </row>
    <row r="332" spans="1:2" x14ac:dyDescent="0.3">
      <c r="A332">
        <v>18100000</v>
      </c>
      <c r="B332">
        <v>1521</v>
      </c>
    </row>
    <row r="333" spans="1:2" x14ac:dyDescent="0.3">
      <c r="A333">
        <v>29200000</v>
      </c>
      <c r="B333">
        <v>1513</v>
      </c>
    </row>
    <row r="334" spans="1:2" x14ac:dyDescent="0.3">
      <c r="A334">
        <v>58400000</v>
      </c>
      <c r="B334">
        <v>1510</v>
      </c>
    </row>
    <row r="335" spans="1:2" x14ac:dyDescent="0.3">
      <c r="A335">
        <v>13800000</v>
      </c>
      <c r="B335">
        <v>1505</v>
      </c>
    </row>
    <row r="336" spans="1:2" x14ac:dyDescent="0.3">
      <c r="A336">
        <v>12300000</v>
      </c>
      <c r="B336">
        <v>1500</v>
      </c>
    </row>
    <row r="337" spans="1:2" x14ac:dyDescent="0.3">
      <c r="A337">
        <v>16800000</v>
      </c>
      <c r="B337">
        <v>1491</v>
      </c>
    </row>
    <row r="338" spans="1:2" x14ac:dyDescent="0.3">
      <c r="A338">
        <v>13300000</v>
      </c>
      <c r="B338">
        <v>1489</v>
      </c>
    </row>
    <row r="339" spans="1:2" x14ac:dyDescent="0.3">
      <c r="A339">
        <v>20100000</v>
      </c>
      <c r="B339">
        <v>1481</v>
      </c>
    </row>
    <row r="340" spans="1:2" x14ac:dyDescent="0.3">
      <c r="A340">
        <v>14800000</v>
      </c>
      <c r="B340">
        <v>1481</v>
      </c>
    </row>
    <row r="341" spans="1:2" x14ac:dyDescent="0.3">
      <c r="A341">
        <v>20000000</v>
      </c>
      <c r="B341">
        <v>1476</v>
      </c>
    </row>
    <row r="342" spans="1:2" x14ac:dyDescent="0.3">
      <c r="A342">
        <v>12500000</v>
      </c>
      <c r="B342">
        <v>1459</v>
      </c>
    </row>
    <row r="343" spans="1:2" x14ac:dyDescent="0.3">
      <c r="A343">
        <v>16300000</v>
      </c>
      <c r="B343">
        <v>1444</v>
      </c>
    </row>
    <row r="344" spans="1:2" x14ac:dyDescent="0.3">
      <c r="A344">
        <v>13100000</v>
      </c>
      <c r="B344">
        <v>1444</v>
      </c>
    </row>
    <row r="345" spans="1:2" x14ac:dyDescent="0.3">
      <c r="A345">
        <v>17900000</v>
      </c>
      <c r="B345">
        <v>1426</v>
      </c>
    </row>
    <row r="346" spans="1:2" x14ac:dyDescent="0.3">
      <c r="A346">
        <v>19800000</v>
      </c>
      <c r="B346">
        <v>1411</v>
      </c>
    </row>
    <row r="347" spans="1:2" x14ac:dyDescent="0.3">
      <c r="A347">
        <v>17000000</v>
      </c>
      <c r="B347">
        <v>1407</v>
      </c>
    </row>
    <row r="348" spans="1:2" x14ac:dyDescent="0.3">
      <c r="A348">
        <v>13500000</v>
      </c>
      <c r="B348">
        <v>1403</v>
      </c>
    </row>
    <row r="349" spans="1:2" x14ac:dyDescent="0.3">
      <c r="A349">
        <v>15300000</v>
      </c>
      <c r="B349">
        <v>1397</v>
      </c>
    </row>
    <row r="350" spans="1:2" x14ac:dyDescent="0.3">
      <c r="A350">
        <v>21700000</v>
      </c>
      <c r="B350">
        <v>1390</v>
      </c>
    </row>
    <row r="351" spans="1:2" x14ac:dyDescent="0.3">
      <c r="A351">
        <v>13100000</v>
      </c>
      <c r="B351">
        <v>1365</v>
      </c>
    </row>
    <row r="352" spans="1:2" x14ac:dyDescent="0.3">
      <c r="A352">
        <v>14900000</v>
      </c>
      <c r="B352">
        <v>1363</v>
      </c>
    </row>
    <row r="353" spans="1:2" x14ac:dyDescent="0.3">
      <c r="A353">
        <v>15000000</v>
      </c>
      <c r="B353">
        <v>1362</v>
      </c>
    </row>
    <row r="354" spans="1:2" x14ac:dyDescent="0.3">
      <c r="A354">
        <v>13500000</v>
      </c>
      <c r="B354">
        <v>1357</v>
      </c>
    </row>
    <row r="355" spans="1:2" x14ac:dyDescent="0.3">
      <c r="A355">
        <v>30100000</v>
      </c>
      <c r="B355">
        <v>1349</v>
      </c>
    </row>
    <row r="356" spans="1:2" x14ac:dyDescent="0.3">
      <c r="A356">
        <v>13400000</v>
      </c>
      <c r="B356">
        <v>1349</v>
      </c>
    </row>
    <row r="357" spans="1:2" x14ac:dyDescent="0.3">
      <c r="A357">
        <v>17900000</v>
      </c>
      <c r="B357">
        <v>1344</v>
      </c>
    </row>
    <row r="358" spans="1:2" x14ac:dyDescent="0.3">
      <c r="A358">
        <v>12400000</v>
      </c>
      <c r="B358">
        <v>1340</v>
      </c>
    </row>
    <row r="359" spans="1:2" x14ac:dyDescent="0.3">
      <c r="A359">
        <v>71300000</v>
      </c>
      <c r="B359">
        <v>1337</v>
      </c>
    </row>
    <row r="360" spans="1:2" x14ac:dyDescent="0.3">
      <c r="A360">
        <v>33400000</v>
      </c>
      <c r="B360">
        <v>1331</v>
      </c>
    </row>
    <row r="361" spans="1:2" x14ac:dyDescent="0.3">
      <c r="A361">
        <v>18500000</v>
      </c>
      <c r="B361">
        <v>1329</v>
      </c>
    </row>
    <row r="362" spans="1:2" x14ac:dyDescent="0.3">
      <c r="A362">
        <v>13100000</v>
      </c>
      <c r="B362">
        <v>1327</v>
      </c>
    </row>
    <row r="363" spans="1:2" x14ac:dyDescent="0.3">
      <c r="A363">
        <v>18300000</v>
      </c>
      <c r="B363">
        <v>1324</v>
      </c>
    </row>
    <row r="364" spans="1:2" x14ac:dyDescent="0.3">
      <c r="A364">
        <v>13200000</v>
      </c>
      <c r="B364">
        <v>1324</v>
      </c>
    </row>
    <row r="365" spans="1:2" x14ac:dyDescent="0.3">
      <c r="A365">
        <v>20500000</v>
      </c>
      <c r="B365">
        <v>1323</v>
      </c>
    </row>
    <row r="366" spans="1:2" x14ac:dyDescent="0.3">
      <c r="A366">
        <v>31600000</v>
      </c>
      <c r="B366">
        <v>1321</v>
      </c>
    </row>
    <row r="367" spans="1:2" x14ac:dyDescent="0.3">
      <c r="A367">
        <v>17700000</v>
      </c>
      <c r="B367">
        <v>1316</v>
      </c>
    </row>
    <row r="368" spans="1:2" x14ac:dyDescent="0.3">
      <c r="A368">
        <v>14000000</v>
      </c>
      <c r="B368">
        <v>1307</v>
      </c>
    </row>
    <row r="369" spans="1:2" x14ac:dyDescent="0.3">
      <c r="A369">
        <v>19600000</v>
      </c>
      <c r="B369">
        <v>1306</v>
      </c>
    </row>
    <row r="370" spans="1:2" x14ac:dyDescent="0.3">
      <c r="A370">
        <v>14200000</v>
      </c>
      <c r="B370">
        <v>1300</v>
      </c>
    </row>
    <row r="371" spans="1:2" x14ac:dyDescent="0.3">
      <c r="A371">
        <v>13000000</v>
      </c>
      <c r="B371">
        <v>1299</v>
      </c>
    </row>
    <row r="372" spans="1:2" x14ac:dyDescent="0.3">
      <c r="A372">
        <v>16200000</v>
      </c>
      <c r="B372">
        <v>1294</v>
      </c>
    </row>
    <row r="373" spans="1:2" x14ac:dyDescent="0.3">
      <c r="A373">
        <v>23400000</v>
      </c>
      <c r="B373">
        <v>1291</v>
      </c>
    </row>
    <row r="374" spans="1:2" x14ac:dyDescent="0.3">
      <c r="A374">
        <v>14200000</v>
      </c>
      <c r="B374">
        <v>1281</v>
      </c>
    </row>
    <row r="375" spans="1:2" x14ac:dyDescent="0.3">
      <c r="A375">
        <v>13100000</v>
      </c>
      <c r="B375">
        <v>1262</v>
      </c>
    </row>
    <row r="376" spans="1:2" x14ac:dyDescent="0.3">
      <c r="A376">
        <v>27300000</v>
      </c>
      <c r="B376">
        <v>1259</v>
      </c>
    </row>
    <row r="377" spans="1:2" x14ac:dyDescent="0.3">
      <c r="A377">
        <v>24100000</v>
      </c>
      <c r="B377">
        <v>1252</v>
      </c>
    </row>
    <row r="378" spans="1:2" x14ac:dyDescent="0.3">
      <c r="A378">
        <v>23600000</v>
      </c>
      <c r="B378">
        <v>1251</v>
      </c>
    </row>
    <row r="379" spans="1:2" x14ac:dyDescent="0.3">
      <c r="A379">
        <v>22900000</v>
      </c>
      <c r="B379">
        <v>1251</v>
      </c>
    </row>
    <row r="380" spans="1:2" x14ac:dyDescent="0.3">
      <c r="A380">
        <v>14400000</v>
      </c>
      <c r="B380">
        <v>1248</v>
      </c>
    </row>
    <row r="381" spans="1:2" x14ac:dyDescent="0.3">
      <c r="A381">
        <v>20300000</v>
      </c>
      <c r="B381">
        <v>1245</v>
      </c>
    </row>
    <row r="382" spans="1:2" x14ac:dyDescent="0.3">
      <c r="A382">
        <v>14600000</v>
      </c>
      <c r="B382">
        <v>1244</v>
      </c>
    </row>
    <row r="383" spans="1:2" x14ac:dyDescent="0.3">
      <c r="A383">
        <v>42400000</v>
      </c>
      <c r="B383">
        <v>1218</v>
      </c>
    </row>
    <row r="384" spans="1:2" x14ac:dyDescent="0.3">
      <c r="A384">
        <v>12400000</v>
      </c>
      <c r="B384">
        <v>1212</v>
      </c>
    </row>
    <row r="385" spans="1:2" x14ac:dyDescent="0.3">
      <c r="A385">
        <v>14800000</v>
      </c>
      <c r="B385">
        <v>1210</v>
      </c>
    </row>
    <row r="386" spans="1:2" x14ac:dyDescent="0.3">
      <c r="A386">
        <v>14600000</v>
      </c>
      <c r="B386">
        <v>1206</v>
      </c>
    </row>
    <row r="387" spans="1:2" x14ac:dyDescent="0.3">
      <c r="A387">
        <v>12300000</v>
      </c>
      <c r="B387">
        <v>1200</v>
      </c>
    </row>
    <row r="388" spans="1:2" x14ac:dyDescent="0.3">
      <c r="A388">
        <v>13400000</v>
      </c>
      <c r="B388">
        <v>1195</v>
      </c>
    </row>
    <row r="389" spans="1:2" x14ac:dyDescent="0.3">
      <c r="A389">
        <v>22600000</v>
      </c>
      <c r="B389">
        <v>1189</v>
      </c>
    </row>
    <row r="390" spans="1:2" x14ac:dyDescent="0.3">
      <c r="A390">
        <v>22900000</v>
      </c>
      <c r="B390">
        <v>1159</v>
      </c>
    </row>
    <row r="391" spans="1:2" x14ac:dyDescent="0.3">
      <c r="A391">
        <v>19000000</v>
      </c>
      <c r="B391">
        <v>1154</v>
      </c>
    </row>
    <row r="392" spans="1:2" x14ac:dyDescent="0.3">
      <c r="A392">
        <v>16100000</v>
      </c>
      <c r="B392">
        <v>1123</v>
      </c>
    </row>
    <row r="393" spans="1:2" x14ac:dyDescent="0.3">
      <c r="A393">
        <v>112000000</v>
      </c>
      <c r="B393">
        <v>1111</v>
      </c>
    </row>
    <row r="394" spans="1:2" x14ac:dyDescent="0.3">
      <c r="A394">
        <v>12500000</v>
      </c>
      <c r="B394">
        <v>1109</v>
      </c>
    </row>
    <row r="395" spans="1:2" x14ac:dyDescent="0.3">
      <c r="A395">
        <v>12600000</v>
      </c>
      <c r="B395">
        <v>1101</v>
      </c>
    </row>
    <row r="396" spans="1:2" x14ac:dyDescent="0.3">
      <c r="A396">
        <v>23700000</v>
      </c>
      <c r="B396">
        <v>1099</v>
      </c>
    </row>
    <row r="397" spans="1:2" x14ac:dyDescent="0.3">
      <c r="A397">
        <v>13600000</v>
      </c>
      <c r="B397">
        <v>1097</v>
      </c>
    </row>
    <row r="398" spans="1:2" x14ac:dyDescent="0.3">
      <c r="A398">
        <v>16400000</v>
      </c>
      <c r="B398">
        <v>1091</v>
      </c>
    </row>
    <row r="399" spans="1:2" x14ac:dyDescent="0.3">
      <c r="A399">
        <v>13100000</v>
      </c>
      <c r="B399">
        <v>1077</v>
      </c>
    </row>
    <row r="400" spans="1:2" x14ac:dyDescent="0.3">
      <c r="A400">
        <v>12500000</v>
      </c>
      <c r="B400">
        <v>1076</v>
      </c>
    </row>
    <row r="401" spans="1:2" x14ac:dyDescent="0.3">
      <c r="A401">
        <v>14500000</v>
      </c>
      <c r="B401">
        <v>1064</v>
      </c>
    </row>
    <row r="402" spans="1:2" x14ac:dyDescent="0.3">
      <c r="A402">
        <v>23500000</v>
      </c>
      <c r="B402">
        <v>1044</v>
      </c>
    </row>
    <row r="403" spans="1:2" x14ac:dyDescent="0.3">
      <c r="A403">
        <v>13700000</v>
      </c>
      <c r="B403">
        <v>1040</v>
      </c>
    </row>
    <row r="404" spans="1:2" x14ac:dyDescent="0.3">
      <c r="A404">
        <v>18100000</v>
      </c>
      <c r="B404">
        <v>1037</v>
      </c>
    </row>
    <row r="405" spans="1:2" x14ac:dyDescent="0.3">
      <c r="A405">
        <v>15100000</v>
      </c>
      <c r="B405">
        <v>1037</v>
      </c>
    </row>
    <row r="406" spans="1:2" x14ac:dyDescent="0.3">
      <c r="A406">
        <v>13400000</v>
      </c>
      <c r="B406">
        <v>1028</v>
      </c>
    </row>
    <row r="407" spans="1:2" x14ac:dyDescent="0.3">
      <c r="A407">
        <v>12400000</v>
      </c>
      <c r="B407">
        <v>1024</v>
      </c>
    </row>
    <row r="408" spans="1:2" x14ac:dyDescent="0.3">
      <c r="A408">
        <v>13200000</v>
      </c>
      <c r="B408">
        <v>1022</v>
      </c>
    </row>
    <row r="409" spans="1:2" x14ac:dyDescent="0.3">
      <c r="A409">
        <v>17000000</v>
      </c>
      <c r="B409">
        <v>1015</v>
      </c>
    </row>
    <row r="410" spans="1:2" x14ac:dyDescent="0.3">
      <c r="A410">
        <v>17200000</v>
      </c>
      <c r="B410">
        <v>1007</v>
      </c>
    </row>
    <row r="411" spans="1:2" x14ac:dyDescent="0.3">
      <c r="A411">
        <v>20400000</v>
      </c>
      <c r="B411">
        <v>1006</v>
      </c>
    </row>
    <row r="412" spans="1:2" x14ac:dyDescent="0.3">
      <c r="A412">
        <v>22200000</v>
      </c>
      <c r="B412">
        <v>999</v>
      </c>
    </row>
    <row r="413" spans="1:2" x14ac:dyDescent="0.3">
      <c r="A413">
        <v>16300000</v>
      </c>
      <c r="B413">
        <v>989</v>
      </c>
    </row>
    <row r="414" spans="1:2" x14ac:dyDescent="0.3">
      <c r="A414">
        <v>22700000</v>
      </c>
      <c r="B414">
        <v>985</v>
      </c>
    </row>
    <row r="415" spans="1:2" x14ac:dyDescent="0.3">
      <c r="A415">
        <v>25700000</v>
      </c>
      <c r="B415">
        <v>982</v>
      </c>
    </row>
    <row r="416" spans="1:2" x14ac:dyDescent="0.3">
      <c r="A416">
        <v>20900000</v>
      </c>
      <c r="B416">
        <v>982</v>
      </c>
    </row>
    <row r="417" spans="1:2" x14ac:dyDescent="0.3">
      <c r="A417">
        <v>17900000</v>
      </c>
      <c r="B417">
        <v>982</v>
      </c>
    </row>
    <row r="418" spans="1:2" x14ac:dyDescent="0.3">
      <c r="A418">
        <v>14400000</v>
      </c>
      <c r="B418">
        <v>978</v>
      </c>
    </row>
    <row r="419" spans="1:2" x14ac:dyDescent="0.3">
      <c r="A419">
        <v>26700000</v>
      </c>
      <c r="B419">
        <v>975</v>
      </c>
    </row>
    <row r="420" spans="1:2" x14ac:dyDescent="0.3">
      <c r="A420">
        <v>13700000</v>
      </c>
      <c r="B420">
        <v>975</v>
      </c>
    </row>
    <row r="421" spans="1:2" x14ac:dyDescent="0.3">
      <c r="A421">
        <v>13500000</v>
      </c>
      <c r="B421">
        <v>975</v>
      </c>
    </row>
    <row r="422" spans="1:2" x14ac:dyDescent="0.3">
      <c r="A422">
        <v>26400000</v>
      </c>
      <c r="B422">
        <v>967</v>
      </c>
    </row>
    <row r="423" spans="1:2" x14ac:dyDescent="0.3">
      <c r="A423">
        <v>162000000</v>
      </c>
      <c r="B423">
        <v>966</v>
      </c>
    </row>
    <row r="424" spans="1:2" x14ac:dyDescent="0.3">
      <c r="A424">
        <v>15000000</v>
      </c>
      <c r="B424">
        <v>965</v>
      </c>
    </row>
    <row r="425" spans="1:2" x14ac:dyDescent="0.3">
      <c r="A425">
        <v>14600000</v>
      </c>
      <c r="B425">
        <v>961</v>
      </c>
    </row>
    <row r="426" spans="1:2" x14ac:dyDescent="0.3">
      <c r="A426">
        <v>21300000</v>
      </c>
      <c r="B426">
        <v>951</v>
      </c>
    </row>
    <row r="427" spans="1:2" x14ac:dyDescent="0.3">
      <c r="A427">
        <v>14600000</v>
      </c>
      <c r="B427">
        <v>951</v>
      </c>
    </row>
    <row r="428" spans="1:2" x14ac:dyDescent="0.3">
      <c r="A428">
        <v>21900000</v>
      </c>
      <c r="B428">
        <v>946</v>
      </c>
    </row>
    <row r="429" spans="1:2" x14ac:dyDescent="0.3">
      <c r="A429">
        <v>31700000</v>
      </c>
      <c r="B429">
        <v>929</v>
      </c>
    </row>
    <row r="430" spans="1:2" x14ac:dyDescent="0.3">
      <c r="A430">
        <v>15100000</v>
      </c>
      <c r="B430">
        <v>921</v>
      </c>
    </row>
    <row r="431" spans="1:2" x14ac:dyDescent="0.3">
      <c r="A431">
        <v>16700000</v>
      </c>
      <c r="B431">
        <v>920</v>
      </c>
    </row>
    <row r="432" spans="1:2" x14ac:dyDescent="0.3">
      <c r="A432">
        <v>19000000</v>
      </c>
      <c r="B432">
        <v>903</v>
      </c>
    </row>
    <row r="433" spans="1:2" x14ac:dyDescent="0.3">
      <c r="A433">
        <v>24000000</v>
      </c>
      <c r="B433">
        <v>901</v>
      </c>
    </row>
    <row r="434" spans="1:2" x14ac:dyDescent="0.3">
      <c r="A434">
        <v>15000000</v>
      </c>
      <c r="B434">
        <v>899</v>
      </c>
    </row>
    <row r="435" spans="1:2" x14ac:dyDescent="0.3">
      <c r="A435">
        <v>20900000</v>
      </c>
      <c r="B435">
        <v>896</v>
      </c>
    </row>
    <row r="436" spans="1:2" x14ac:dyDescent="0.3">
      <c r="A436">
        <v>27100000</v>
      </c>
      <c r="B436">
        <v>889</v>
      </c>
    </row>
    <row r="437" spans="1:2" x14ac:dyDescent="0.3">
      <c r="A437">
        <v>20700000</v>
      </c>
      <c r="B437">
        <v>889</v>
      </c>
    </row>
    <row r="438" spans="1:2" x14ac:dyDescent="0.3">
      <c r="A438">
        <v>13800000</v>
      </c>
      <c r="B438">
        <v>887</v>
      </c>
    </row>
    <row r="439" spans="1:2" x14ac:dyDescent="0.3">
      <c r="A439">
        <v>14200000</v>
      </c>
      <c r="B439">
        <v>876</v>
      </c>
    </row>
    <row r="440" spans="1:2" x14ac:dyDescent="0.3">
      <c r="A440">
        <v>20300000</v>
      </c>
      <c r="B440">
        <v>875</v>
      </c>
    </row>
    <row r="441" spans="1:2" x14ac:dyDescent="0.3">
      <c r="A441">
        <v>24800000</v>
      </c>
      <c r="B441">
        <v>872</v>
      </c>
    </row>
    <row r="442" spans="1:2" x14ac:dyDescent="0.3">
      <c r="A442">
        <v>14200000</v>
      </c>
      <c r="B442">
        <v>872</v>
      </c>
    </row>
    <row r="443" spans="1:2" x14ac:dyDescent="0.3">
      <c r="A443">
        <v>26000000</v>
      </c>
      <c r="B443">
        <v>868</v>
      </c>
    </row>
    <row r="444" spans="1:2" x14ac:dyDescent="0.3">
      <c r="A444">
        <v>26400000</v>
      </c>
      <c r="B444">
        <v>865</v>
      </c>
    </row>
    <row r="445" spans="1:2" x14ac:dyDescent="0.3">
      <c r="A445">
        <v>13700000</v>
      </c>
      <c r="B445">
        <v>863</v>
      </c>
    </row>
    <row r="446" spans="1:2" x14ac:dyDescent="0.3">
      <c r="A446">
        <v>14100000</v>
      </c>
      <c r="B446">
        <v>855</v>
      </c>
    </row>
    <row r="447" spans="1:2" x14ac:dyDescent="0.3">
      <c r="A447">
        <v>15300000</v>
      </c>
      <c r="B447">
        <v>851</v>
      </c>
    </row>
    <row r="448" spans="1:2" x14ac:dyDescent="0.3">
      <c r="A448">
        <v>52200000</v>
      </c>
      <c r="B448">
        <v>847</v>
      </c>
    </row>
    <row r="449" spans="1:2" x14ac:dyDescent="0.3">
      <c r="A449">
        <v>19500000</v>
      </c>
      <c r="B449">
        <v>847</v>
      </c>
    </row>
    <row r="450" spans="1:2" x14ac:dyDescent="0.3">
      <c r="A450">
        <v>14100000</v>
      </c>
      <c r="B450">
        <v>846</v>
      </c>
    </row>
    <row r="451" spans="1:2" x14ac:dyDescent="0.3">
      <c r="A451">
        <v>12700000</v>
      </c>
      <c r="B451">
        <v>846</v>
      </c>
    </row>
    <row r="452" spans="1:2" x14ac:dyDescent="0.3">
      <c r="A452">
        <v>13000000</v>
      </c>
      <c r="B452">
        <v>838</v>
      </c>
    </row>
    <row r="453" spans="1:2" x14ac:dyDescent="0.3">
      <c r="A453">
        <v>17900000</v>
      </c>
      <c r="B453">
        <v>830</v>
      </c>
    </row>
    <row r="454" spans="1:2" x14ac:dyDescent="0.3">
      <c r="A454">
        <v>12600000</v>
      </c>
      <c r="B454">
        <v>825</v>
      </c>
    </row>
    <row r="455" spans="1:2" x14ac:dyDescent="0.3">
      <c r="A455">
        <v>21900000</v>
      </c>
      <c r="B455">
        <v>816</v>
      </c>
    </row>
    <row r="456" spans="1:2" x14ac:dyDescent="0.3">
      <c r="A456">
        <v>13500000</v>
      </c>
      <c r="B456">
        <v>814</v>
      </c>
    </row>
    <row r="457" spans="1:2" x14ac:dyDescent="0.3">
      <c r="A457">
        <v>12400000</v>
      </c>
      <c r="B457">
        <v>813</v>
      </c>
    </row>
    <row r="458" spans="1:2" x14ac:dyDescent="0.3">
      <c r="A458">
        <v>12700000</v>
      </c>
      <c r="B458">
        <v>812</v>
      </c>
    </row>
    <row r="459" spans="1:2" x14ac:dyDescent="0.3">
      <c r="A459">
        <v>24100000</v>
      </c>
      <c r="B459">
        <v>802</v>
      </c>
    </row>
    <row r="460" spans="1:2" x14ac:dyDescent="0.3">
      <c r="A460">
        <v>15900000</v>
      </c>
      <c r="B460">
        <v>796</v>
      </c>
    </row>
    <row r="461" spans="1:2" x14ac:dyDescent="0.3">
      <c r="A461">
        <v>15000000</v>
      </c>
      <c r="B461">
        <v>795</v>
      </c>
    </row>
    <row r="462" spans="1:2" x14ac:dyDescent="0.3">
      <c r="A462">
        <v>18300000</v>
      </c>
      <c r="B462">
        <v>786</v>
      </c>
    </row>
    <row r="463" spans="1:2" x14ac:dyDescent="0.3">
      <c r="A463">
        <v>12700000</v>
      </c>
      <c r="B463">
        <v>782</v>
      </c>
    </row>
    <row r="464" spans="1:2" x14ac:dyDescent="0.3">
      <c r="A464">
        <v>14100000</v>
      </c>
      <c r="B464">
        <v>777</v>
      </c>
    </row>
    <row r="465" spans="1:2" x14ac:dyDescent="0.3">
      <c r="A465">
        <v>15100000</v>
      </c>
      <c r="B465">
        <v>776</v>
      </c>
    </row>
    <row r="466" spans="1:2" x14ac:dyDescent="0.3">
      <c r="A466">
        <v>26200000</v>
      </c>
      <c r="B466">
        <v>775</v>
      </c>
    </row>
    <row r="467" spans="1:2" x14ac:dyDescent="0.3">
      <c r="A467">
        <v>17800000</v>
      </c>
      <c r="B467">
        <v>772</v>
      </c>
    </row>
    <row r="468" spans="1:2" x14ac:dyDescent="0.3">
      <c r="A468">
        <v>23700000</v>
      </c>
      <c r="B468">
        <v>769</v>
      </c>
    </row>
    <row r="469" spans="1:2" x14ac:dyDescent="0.3">
      <c r="A469">
        <v>12500000</v>
      </c>
      <c r="B469">
        <v>766</v>
      </c>
    </row>
    <row r="470" spans="1:2" x14ac:dyDescent="0.3">
      <c r="A470">
        <v>20200000</v>
      </c>
      <c r="B470">
        <v>761</v>
      </c>
    </row>
    <row r="471" spans="1:2" x14ac:dyDescent="0.3">
      <c r="A471">
        <v>19800000</v>
      </c>
      <c r="B471">
        <v>760</v>
      </c>
    </row>
    <row r="472" spans="1:2" x14ac:dyDescent="0.3">
      <c r="A472">
        <v>15100000</v>
      </c>
      <c r="B472">
        <v>753</v>
      </c>
    </row>
    <row r="473" spans="1:2" x14ac:dyDescent="0.3">
      <c r="A473">
        <v>25700000</v>
      </c>
      <c r="B473">
        <v>749</v>
      </c>
    </row>
    <row r="474" spans="1:2" x14ac:dyDescent="0.3">
      <c r="A474">
        <v>18000000</v>
      </c>
      <c r="B474">
        <v>748</v>
      </c>
    </row>
    <row r="475" spans="1:2" x14ac:dyDescent="0.3">
      <c r="A475">
        <v>39200000</v>
      </c>
      <c r="B475">
        <v>744</v>
      </c>
    </row>
    <row r="476" spans="1:2" x14ac:dyDescent="0.3">
      <c r="A476">
        <v>37000000</v>
      </c>
      <c r="B476">
        <v>744</v>
      </c>
    </row>
    <row r="477" spans="1:2" x14ac:dyDescent="0.3">
      <c r="A477">
        <v>36300000</v>
      </c>
      <c r="B477">
        <v>744</v>
      </c>
    </row>
    <row r="478" spans="1:2" x14ac:dyDescent="0.3">
      <c r="A478">
        <v>37600000</v>
      </c>
      <c r="B478">
        <v>743</v>
      </c>
    </row>
    <row r="479" spans="1:2" x14ac:dyDescent="0.3">
      <c r="A479">
        <v>166000000</v>
      </c>
      <c r="B479">
        <v>741</v>
      </c>
    </row>
    <row r="480" spans="1:2" x14ac:dyDescent="0.3">
      <c r="A480">
        <v>17700000</v>
      </c>
      <c r="B480">
        <v>739</v>
      </c>
    </row>
    <row r="481" spans="1:2" x14ac:dyDescent="0.3">
      <c r="A481">
        <v>16500000</v>
      </c>
      <c r="B481">
        <v>735</v>
      </c>
    </row>
    <row r="482" spans="1:2" x14ac:dyDescent="0.3">
      <c r="A482">
        <v>21300000</v>
      </c>
      <c r="B482">
        <v>733</v>
      </c>
    </row>
    <row r="483" spans="1:2" x14ac:dyDescent="0.3">
      <c r="A483">
        <v>12400000</v>
      </c>
      <c r="B483">
        <v>729</v>
      </c>
    </row>
    <row r="484" spans="1:2" x14ac:dyDescent="0.3">
      <c r="A484">
        <v>15000000</v>
      </c>
      <c r="B484">
        <v>724</v>
      </c>
    </row>
    <row r="485" spans="1:2" x14ac:dyDescent="0.3">
      <c r="A485">
        <v>16100000</v>
      </c>
      <c r="B485">
        <v>723</v>
      </c>
    </row>
    <row r="486" spans="1:2" x14ac:dyDescent="0.3">
      <c r="A486">
        <v>23600000</v>
      </c>
      <c r="B486">
        <v>719</v>
      </c>
    </row>
    <row r="487" spans="1:2" x14ac:dyDescent="0.3">
      <c r="A487">
        <v>18900000</v>
      </c>
      <c r="B487">
        <v>719</v>
      </c>
    </row>
    <row r="488" spans="1:2" x14ac:dyDescent="0.3">
      <c r="A488">
        <v>13000000</v>
      </c>
      <c r="B488">
        <v>716</v>
      </c>
    </row>
    <row r="489" spans="1:2" x14ac:dyDescent="0.3">
      <c r="A489">
        <v>18500000</v>
      </c>
      <c r="B489">
        <v>712</v>
      </c>
    </row>
    <row r="490" spans="1:2" x14ac:dyDescent="0.3">
      <c r="A490">
        <v>17500000</v>
      </c>
      <c r="B490">
        <v>709</v>
      </c>
    </row>
    <row r="491" spans="1:2" x14ac:dyDescent="0.3">
      <c r="A491">
        <v>18100000</v>
      </c>
      <c r="B491">
        <v>707</v>
      </c>
    </row>
    <row r="492" spans="1:2" x14ac:dyDescent="0.3">
      <c r="A492">
        <v>40400000</v>
      </c>
      <c r="B492">
        <v>703</v>
      </c>
    </row>
    <row r="493" spans="1:2" x14ac:dyDescent="0.3">
      <c r="A493">
        <v>14700000</v>
      </c>
      <c r="B493">
        <v>698</v>
      </c>
    </row>
    <row r="494" spans="1:2" x14ac:dyDescent="0.3">
      <c r="A494">
        <v>13300000</v>
      </c>
      <c r="B494">
        <v>698</v>
      </c>
    </row>
    <row r="495" spans="1:2" x14ac:dyDescent="0.3">
      <c r="A495">
        <v>13700000</v>
      </c>
      <c r="B495">
        <v>696</v>
      </c>
    </row>
    <row r="496" spans="1:2" x14ac:dyDescent="0.3">
      <c r="A496">
        <v>20200000</v>
      </c>
      <c r="B496">
        <v>693</v>
      </c>
    </row>
    <row r="497" spans="1:2" x14ac:dyDescent="0.3">
      <c r="A497">
        <v>12400000</v>
      </c>
      <c r="B497">
        <v>690</v>
      </c>
    </row>
    <row r="498" spans="1:2" x14ac:dyDescent="0.3">
      <c r="A498">
        <v>12400000</v>
      </c>
      <c r="B498">
        <v>689</v>
      </c>
    </row>
    <row r="499" spans="1:2" x14ac:dyDescent="0.3">
      <c r="A499">
        <v>16000000</v>
      </c>
      <c r="B499">
        <v>687</v>
      </c>
    </row>
    <row r="500" spans="1:2" x14ac:dyDescent="0.3">
      <c r="A500">
        <v>27500000</v>
      </c>
      <c r="B500">
        <v>682</v>
      </c>
    </row>
    <row r="501" spans="1:2" x14ac:dyDescent="0.3">
      <c r="A501">
        <v>12800000</v>
      </c>
      <c r="B501">
        <v>681</v>
      </c>
    </row>
    <row r="502" spans="1:2" x14ac:dyDescent="0.3">
      <c r="A502">
        <v>34300000</v>
      </c>
      <c r="B502">
        <v>679</v>
      </c>
    </row>
    <row r="503" spans="1:2" x14ac:dyDescent="0.3">
      <c r="A503">
        <v>18500000</v>
      </c>
      <c r="B503">
        <v>679</v>
      </c>
    </row>
    <row r="504" spans="1:2" x14ac:dyDescent="0.3">
      <c r="A504">
        <v>19600000</v>
      </c>
      <c r="B504">
        <v>674</v>
      </c>
    </row>
    <row r="505" spans="1:2" x14ac:dyDescent="0.3">
      <c r="A505">
        <v>24800000</v>
      </c>
      <c r="B505">
        <v>672</v>
      </c>
    </row>
    <row r="506" spans="1:2" x14ac:dyDescent="0.3">
      <c r="A506">
        <v>16100000</v>
      </c>
      <c r="B506">
        <v>671</v>
      </c>
    </row>
    <row r="507" spans="1:2" x14ac:dyDescent="0.3">
      <c r="A507">
        <v>21300000</v>
      </c>
      <c r="B507">
        <v>669</v>
      </c>
    </row>
    <row r="508" spans="1:2" x14ac:dyDescent="0.3">
      <c r="A508">
        <v>16100000</v>
      </c>
      <c r="B508">
        <v>667</v>
      </c>
    </row>
    <row r="509" spans="1:2" x14ac:dyDescent="0.3">
      <c r="A509">
        <v>24400000</v>
      </c>
      <c r="B509">
        <v>658</v>
      </c>
    </row>
    <row r="510" spans="1:2" x14ac:dyDescent="0.3">
      <c r="A510">
        <v>35700000</v>
      </c>
      <c r="B510">
        <v>654</v>
      </c>
    </row>
    <row r="511" spans="1:2" x14ac:dyDescent="0.3">
      <c r="A511">
        <v>22700000</v>
      </c>
      <c r="B511">
        <v>654</v>
      </c>
    </row>
    <row r="512" spans="1:2" x14ac:dyDescent="0.3">
      <c r="A512">
        <v>15200000</v>
      </c>
      <c r="B512">
        <v>654</v>
      </c>
    </row>
    <row r="513" spans="1:2" x14ac:dyDescent="0.3">
      <c r="A513">
        <v>16300000</v>
      </c>
      <c r="B513">
        <v>652</v>
      </c>
    </row>
    <row r="514" spans="1:2" x14ac:dyDescent="0.3">
      <c r="A514">
        <v>14000000</v>
      </c>
      <c r="B514">
        <v>651</v>
      </c>
    </row>
    <row r="515" spans="1:2" x14ac:dyDescent="0.3">
      <c r="A515">
        <v>18000000</v>
      </c>
      <c r="B515">
        <v>650</v>
      </c>
    </row>
    <row r="516" spans="1:2" x14ac:dyDescent="0.3">
      <c r="A516">
        <v>30500000</v>
      </c>
      <c r="B516">
        <v>641</v>
      </c>
    </row>
    <row r="517" spans="1:2" x14ac:dyDescent="0.3">
      <c r="A517">
        <v>65900000</v>
      </c>
      <c r="B517">
        <v>633</v>
      </c>
    </row>
    <row r="518" spans="1:2" x14ac:dyDescent="0.3">
      <c r="A518">
        <v>15800000</v>
      </c>
      <c r="B518">
        <v>633</v>
      </c>
    </row>
    <row r="519" spans="1:2" x14ac:dyDescent="0.3">
      <c r="A519">
        <v>13000000</v>
      </c>
      <c r="B519">
        <v>625</v>
      </c>
    </row>
    <row r="520" spans="1:2" x14ac:dyDescent="0.3">
      <c r="A520">
        <v>27700000</v>
      </c>
      <c r="B520">
        <v>619</v>
      </c>
    </row>
    <row r="521" spans="1:2" x14ac:dyDescent="0.3">
      <c r="A521">
        <v>20700000</v>
      </c>
      <c r="B521">
        <v>619</v>
      </c>
    </row>
    <row r="522" spans="1:2" x14ac:dyDescent="0.3">
      <c r="A522">
        <v>42400000</v>
      </c>
      <c r="B522">
        <v>618</v>
      </c>
    </row>
    <row r="523" spans="1:2" x14ac:dyDescent="0.3">
      <c r="A523">
        <v>14500000</v>
      </c>
      <c r="B523">
        <v>618</v>
      </c>
    </row>
    <row r="524" spans="1:2" x14ac:dyDescent="0.3">
      <c r="A524">
        <v>34900000</v>
      </c>
      <c r="B524">
        <v>617</v>
      </c>
    </row>
    <row r="525" spans="1:2" x14ac:dyDescent="0.3">
      <c r="A525">
        <v>13000000</v>
      </c>
      <c r="B525">
        <v>612</v>
      </c>
    </row>
    <row r="526" spans="1:2" x14ac:dyDescent="0.3">
      <c r="A526">
        <v>14500000</v>
      </c>
      <c r="B526">
        <v>605</v>
      </c>
    </row>
    <row r="527" spans="1:2" x14ac:dyDescent="0.3">
      <c r="A527">
        <v>14600000</v>
      </c>
      <c r="B527">
        <v>603</v>
      </c>
    </row>
    <row r="528" spans="1:2" x14ac:dyDescent="0.3">
      <c r="A528">
        <v>17900000</v>
      </c>
      <c r="B528">
        <v>602</v>
      </c>
    </row>
    <row r="529" spans="1:2" x14ac:dyDescent="0.3">
      <c r="A529">
        <v>12500000</v>
      </c>
      <c r="B529">
        <v>601</v>
      </c>
    </row>
    <row r="530" spans="1:2" x14ac:dyDescent="0.3">
      <c r="A530">
        <v>12700000</v>
      </c>
      <c r="B530">
        <v>600</v>
      </c>
    </row>
    <row r="531" spans="1:2" x14ac:dyDescent="0.3">
      <c r="A531">
        <v>15500000</v>
      </c>
      <c r="B531">
        <v>598</v>
      </c>
    </row>
    <row r="532" spans="1:2" x14ac:dyDescent="0.3">
      <c r="A532">
        <v>23200000</v>
      </c>
      <c r="B532">
        <v>595</v>
      </c>
    </row>
    <row r="533" spans="1:2" x14ac:dyDescent="0.3">
      <c r="A533">
        <v>12700000</v>
      </c>
      <c r="B533">
        <v>594</v>
      </c>
    </row>
    <row r="534" spans="1:2" x14ac:dyDescent="0.3">
      <c r="A534">
        <v>16200000</v>
      </c>
      <c r="B534">
        <v>593</v>
      </c>
    </row>
    <row r="535" spans="1:2" x14ac:dyDescent="0.3">
      <c r="A535">
        <v>13500000</v>
      </c>
      <c r="B535">
        <v>591</v>
      </c>
    </row>
    <row r="536" spans="1:2" x14ac:dyDescent="0.3">
      <c r="A536">
        <v>24100000</v>
      </c>
      <c r="B536">
        <v>590</v>
      </c>
    </row>
    <row r="537" spans="1:2" x14ac:dyDescent="0.3">
      <c r="A537">
        <v>17300000</v>
      </c>
      <c r="B537">
        <v>582</v>
      </c>
    </row>
    <row r="538" spans="1:2" x14ac:dyDescent="0.3">
      <c r="A538">
        <v>30700000</v>
      </c>
      <c r="B538">
        <v>578</v>
      </c>
    </row>
    <row r="539" spans="1:2" x14ac:dyDescent="0.3">
      <c r="A539">
        <v>53300000</v>
      </c>
      <c r="B539">
        <v>577</v>
      </c>
    </row>
    <row r="540" spans="1:2" x14ac:dyDescent="0.3">
      <c r="A540">
        <v>14300000</v>
      </c>
      <c r="B540">
        <v>576</v>
      </c>
    </row>
    <row r="541" spans="1:2" x14ac:dyDescent="0.3">
      <c r="A541">
        <v>98900000</v>
      </c>
      <c r="B541">
        <v>574</v>
      </c>
    </row>
    <row r="542" spans="1:2" x14ac:dyDescent="0.3">
      <c r="A542">
        <v>19200000</v>
      </c>
      <c r="B542">
        <v>570</v>
      </c>
    </row>
    <row r="543" spans="1:2" x14ac:dyDescent="0.3">
      <c r="A543">
        <v>14600000</v>
      </c>
      <c r="B543">
        <v>560</v>
      </c>
    </row>
    <row r="544" spans="1:2" x14ac:dyDescent="0.3">
      <c r="A544">
        <v>44200000</v>
      </c>
      <c r="B544">
        <v>558</v>
      </c>
    </row>
    <row r="545" spans="1:2" x14ac:dyDescent="0.3">
      <c r="A545">
        <v>28900000</v>
      </c>
      <c r="B545">
        <v>555</v>
      </c>
    </row>
    <row r="546" spans="1:2" x14ac:dyDescent="0.3">
      <c r="A546">
        <v>27000000</v>
      </c>
      <c r="B546">
        <v>554</v>
      </c>
    </row>
    <row r="547" spans="1:2" x14ac:dyDescent="0.3">
      <c r="A547">
        <v>14700000</v>
      </c>
      <c r="B547">
        <v>554</v>
      </c>
    </row>
    <row r="548" spans="1:2" x14ac:dyDescent="0.3">
      <c r="A548">
        <v>23600000</v>
      </c>
      <c r="B548">
        <v>552</v>
      </c>
    </row>
    <row r="549" spans="1:2" x14ac:dyDescent="0.3">
      <c r="A549">
        <v>27100000</v>
      </c>
      <c r="B549">
        <v>545</v>
      </c>
    </row>
    <row r="550" spans="1:2" x14ac:dyDescent="0.3">
      <c r="A550">
        <v>89800000</v>
      </c>
      <c r="B550">
        <v>543</v>
      </c>
    </row>
    <row r="551" spans="1:2" x14ac:dyDescent="0.3">
      <c r="A551">
        <v>46100000</v>
      </c>
      <c r="B551">
        <v>543</v>
      </c>
    </row>
    <row r="552" spans="1:2" x14ac:dyDescent="0.3">
      <c r="A552">
        <v>15800000</v>
      </c>
      <c r="B552">
        <v>542</v>
      </c>
    </row>
    <row r="553" spans="1:2" x14ac:dyDescent="0.3">
      <c r="A553">
        <v>13200000</v>
      </c>
      <c r="B553">
        <v>538</v>
      </c>
    </row>
    <row r="554" spans="1:2" x14ac:dyDescent="0.3">
      <c r="A554">
        <v>17900000</v>
      </c>
      <c r="B554">
        <v>536</v>
      </c>
    </row>
    <row r="555" spans="1:2" x14ac:dyDescent="0.3">
      <c r="A555">
        <v>12700000</v>
      </c>
      <c r="B555">
        <v>534</v>
      </c>
    </row>
    <row r="556" spans="1:2" x14ac:dyDescent="0.3">
      <c r="A556">
        <v>15100000</v>
      </c>
      <c r="B556">
        <v>533</v>
      </c>
    </row>
    <row r="557" spans="1:2" x14ac:dyDescent="0.3">
      <c r="A557">
        <v>22500000</v>
      </c>
      <c r="B557">
        <v>526</v>
      </c>
    </row>
    <row r="558" spans="1:2" x14ac:dyDescent="0.3">
      <c r="A558">
        <v>13000000</v>
      </c>
      <c r="B558">
        <v>521</v>
      </c>
    </row>
    <row r="559" spans="1:2" x14ac:dyDescent="0.3">
      <c r="A559">
        <v>13800000</v>
      </c>
      <c r="B559">
        <v>520</v>
      </c>
    </row>
    <row r="560" spans="1:2" x14ac:dyDescent="0.3">
      <c r="A560">
        <v>14400000</v>
      </c>
      <c r="B560">
        <v>516</v>
      </c>
    </row>
    <row r="561" spans="1:2" x14ac:dyDescent="0.3">
      <c r="A561">
        <v>37900000</v>
      </c>
      <c r="B561">
        <v>515</v>
      </c>
    </row>
    <row r="562" spans="1:2" x14ac:dyDescent="0.3">
      <c r="A562">
        <v>22000000</v>
      </c>
      <c r="B562">
        <v>515</v>
      </c>
    </row>
    <row r="563" spans="1:2" x14ac:dyDescent="0.3">
      <c r="A563">
        <v>14500000</v>
      </c>
      <c r="B563">
        <v>514</v>
      </c>
    </row>
    <row r="564" spans="1:2" x14ac:dyDescent="0.3">
      <c r="A564">
        <v>17700000</v>
      </c>
      <c r="B564">
        <v>512</v>
      </c>
    </row>
    <row r="565" spans="1:2" x14ac:dyDescent="0.3">
      <c r="A565">
        <v>23900000</v>
      </c>
      <c r="B565">
        <v>511</v>
      </c>
    </row>
    <row r="566" spans="1:2" x14ac:dyDescent="0.3">
      <c r="A566">
        <v>16100000</v>
      </c>
      <c r="B566">
        <v>510</v>
      </c>
    </row>
    <row r="567" spans="1:2" x14ac:dyDescent="0.3">
      <c r="A567">
        <v>13000000</v>
      </c>
      <c r="B567">
        <v>510</v>
      </c>
    </row>
    <row r="568" spans="1:2" x14ac:dyDescent="0.3">
      <c r="A568">
        <v>38000000</v>
      </c>
      <c r="B568">
        <v>505</v>
      </c>
    </row>
    <row r="569" spans="1:2" x14ac:dyDescent="0.3">
      <c r="A569">
        <v>28300000</v>
      </c>
      <c r="B569">
        <v>505</v>
      </c>
    </row>
    <row r="570" spans="1:2" x14ac:dyDescent="0.3">
      <c r="A570">
        <v>23900000</v>
      </c>
      <c r="B570">
        <v>505</v>
      </c>
    </row>
    <row r="571" spans="1:2" x14ac:dyDescent="0.3">
      <c r="A571">
        <v>12700000</v>
      </c>
      <c r="B571">
        <v>504</v>
      </c>
    </row>
    <row r="572" spans="1:2" x14ac:dyDescent="0.3">
      <c r="A572">
        <v>13900000</v>
      </c>
      <c r="B572">
        <v>503</v>
      </c>
    </row>
    <row r="573" spans="1:2" x14ac:dyDescent="0.3">
      <c r="A573">
        <v>16800000</v>
      </c>
      <c r="B573">
        <v>502</v>
      </c>
    </row>
    <row r="574" spans="1:2" x14ac:dyDescent="0.3">
      <c r="A574">
        <v>21000000</v>
      </c>
      <c r="B574">
        <v>498</v>
      </c>
    </row>
    <row r="575" spans="1:2" x14ac:dyDescent="0.3">
      <c r="A575">
        <v>17100000</v>
      </c>
      <c r="B575">
        <v>498</v>
      </c>
    </row>
    <row r="576" spans="1:2" x14ac:dyDescent="0.3">
      <c r="A576">
        <v>22600000</v>
      </c>
      <c r="B576">
        <v>495</v>
      </c>
    </row>
    <row r="577" spans="1:2" x14ac:dyDescent="0.3">
      <c r="A577">
        <v>13700000</v>
      </c>
      <c r="B577">
        <v>495</v>
      </c>
    </row>
    <row r="578" spans="1:2" x14ac:dyDescent="0.3">
      <c r="A578">
        <v>106000000</v>
      </c>
      <c r="B578">
        <v>493</v>
      </c>
    </row>
    <row r="579" spans="1:2" x14ac:dyDescent="0.3">
      <c r="A579">
        <v>18500000</v>
      </c>
      <c r="B579">
        <v>493</v>
      </c>
    </row>
    <row r="580" spans="1:2" x14ac:dyDescent="0.3">
      <c r="A580">
        <v>16300000</v>
      </c>
      <c r="B580">
        <v>490</v>
      </c>
    </row>
    <row r="581" spans="1:2" x14ac:dyDescent="0.3">
      <c r="A581">
        <v>14600000</v>
      </c>
      <c r="B581">
        <v>490</v>
      </c>
    </row>
    <row r="582" spans="1:2" x14ac:dyDescent="0.3">
      <c r="A582">
        <v>15600000</v>
      </c>
      <c r="B582">
        <v>483</v>
      </c>
    </row>
    <row r="583" spans="1:2" x14ac:dyDescent="0.3">
      <c r="A583">
        <v>14500000</v>
      </c>
      <c r="B583">
        <v>479</v>
      </c>
    </row>
    <row r="584" spans="1:2" x14ac:dyDescent="0.3">
      <c r="A584">
        <v>13400000</v>
      </c>
      <c r="B584">
        <v>477</v>
      </c>
    </row>
    <row r="585" spans="1:2" x14ac:dyDescent="0.3">
      <c r="A585">
        <v>24200000</v>
      </c>
      <c r="B585">
        <v>469</v>
      </c>
    </row>
    <row r="586" spans="1:2" x14ac:dyDescent="0.3">
      <c r="A586">
        <v>14400000</v>
      </c>
      <c r="B586">
        <v>463</v>
      </c>
    </row>
    <row r="587" spans="1:2" x14ac:dyDescent="0.3">
      <c r="A587">
        <v>20400000</v>
      </c>
      <c r="B587">
        <v>462</v>
      </c>
    </row>
    <row r="588" spans="1:2" x14ac:dyDescent="0.3">
      <c r="A588">
        <v>19300000</v>
      </c>
      <c r="B588">
        <v>462</v>
      </c>
    </row>
    <row r="589" spans="1:2" x14ac:dyDescent="0.3">
      <c r="A589">
        <v>13500000</v>
      </c>
      <c r="B589">
        <v>462</v>
      </c>
    </row>
    <row r="590" spans="1:2" x14ac:dyDescent="0.3">
      <c r="A590">
        <v>20200000</v>
      </c>
      <c r="B590">
        <v>460</v>
      </c>
    </row>
    <row r="591" spans="1:2" x14ac:dyDescent="0.3">
      <c r="A591">
        <v>12400000</v>
      </c>
      <c r="B591">
        <v>459</v>
      </c>
    </row>
    <row r="592" spans="1:2" x14ac:dyDescent="0.3">
      <c r="A592">
        <v>18600000</v>
      </c>
      <c r="B592">
        <v>457</v>
      </c>
    </row>
    <row r="593" spans="1:2" x14ac:dyDescent="0.3">
      <c r="A593">
        <v>23100000</v>
      </c>
      <c r="B593">
        <v>456</v>
      </c>
    </row>
    <row r="594" spans="1:2" x14ac:dyDescent="0.3">
      <c r="A594">
        <v>16000000</v>
      </c>
      <c r="B594">
        <v>453</v>
      </c>
    </row>
    <row r="595" spans="1:2" x14ac:dyDescent="0.3">
      <c r="A595">
        <v>14500000</v>
      </c>
      <c r="B595">
        <v>453</v>
      </c>
    </row>
    <row r="596" spans="1:2" x14ac:dyDescent="0.3">
      <c r="A596">
        <v>14400000</v>
      </c>
      <c r="B596">
        <v>450</v>
      </c>
    </row>
    <row r="597" spans="1:2" x14ac:dyDescent="0.3">
      <c r="A597">
        <v>23800000</v>
      </c>
      <c r="B597">
        <v>443</v>
      </c>
    </row>
    <row r="598" spans="1:2" x14ac:dyDescent="0.3">
      <c r="A598">
        <v>15200000</v>
      </c>
      <c r="B598">
        <v>443</v>
      </c>
    </row>
    <row r="599" spans="1:2" x14ac:dyDescent="0.3">
      <c r="A599">
        <v>18200000</v>
      </c>
      <c r="B599">
        <v>442</v>
      </c>
    </row>
    <row r="600" spans="1:2" x14ac:dyDescent="0.3">
      <c r="A600">
        <v>16900000</v>
      </c>
      <c r="B600">
        <v>441</v>
      </c>
    </row>
    <row r="601" spans="1:2" x14ac:dyDescent="0.3">
      <c r="A601">
        <v>16500000</v>
      </c>
      <c r="B601">
        <v>438</v>
      </c>
    </row>
    <row r="602" spans="1:2" x14ac:dyDescent="0.3">
      <c r="A602">
        <v>13700000</v>
      </c>
      <c r="B602">
        <v>438</v>
      </c>
    </row>
    <row r="603" spans="1:2" x14ac:dyDescent="0.3">
      <c r="A603">
        <v>56400000</v>
      </c>
      <c r="B603">
        <v>436</v>
      </c>
    </row>
    <row r="604" spans="1:2" x14ac:dyDescent="0.3">
      <c r="A604">
        <v>15900000</v>
      </c>
      <c r="B604">
        <v>433</v>
      </c>
    </row>
    <row r="605" spans="1:2" x14ac:dyDescent="0.3">
      <c r="A605">
        <v>14200000</v>
      </c>
      <c r="B605">
        <v>433</v>
      </c>
    </row>
    <row r="606" spans="1:2" x14ac:dyDescent="0.3">
      <c r="A606">
        <v>14000000</v>
      </c>
      <c r="B606">
        <v>431</v>
      </c>
    </row>
    <row r="607" spans="1:2" x14ac:dyDescent="0.3">
      <c r="A607">
        <v>16400000</v>
      </c>
      <c r="B607">
        <v>428</v>
      </c>
    </row>
    <row r="608" spans="1:2" x14ac:dyDescent="0.3">
      <c r="A608">
        <v>21000000</v>
      </c>
      <c r="B608">
        <v>420</v>
      </c>
    </row>
    <row r="609" spans="1:2" x14ac:dyDescent="0.3">
      <c r="A609">
        <v>18100000</v>
      </c>
      <c r="B609">
        <v>420</v>
      </c>
    </row>
    <row r="610" spans="1:2" x14ac:dyDescent="0.3">
      <c r="A610">
        <v>14900000</v>
      </c>
      <c r="B610">
        <v>419</v>
      </c>
    </row>
    <row r="611" spans="1:2" x14ac:dyDescent="0.3">
      <c r="A611">
        <v>15500000</v>
      </c>
      <c r="B611">
        <v>417</v>
      </c>
    </row>
    <row r="612" spans="1:2" x14ac:dyDescent="0.3">
      <c r="A612">
        <v>19900000</v>
      </c>
      <c r="B612">
        <v>416</v>
      </c>
    </row>
    <row r="613" spans="1:2" x14ac:dyDescent="0.3">
      <c r="A613">
        <v>16600000</v>
      </c>
      <c r="B613">
        <v>413</v>
      </c>
    </row>
    <row r="614" spans="1:2" x14ac:dyDescent="0.3">
      <c r="A614">
        <v>13200000</v>
      </c>
      <c r="B614">
        <v>413</v>
      </c>
    </row>
    <row r="615" spans="1:2" x14ac:dyDescent="0.3">
      <c r="A615">
        <v>24700000</v>
      </c>
      <c r="B615">
        <v>412</v>
      </c>
    </row>
    <row r="616" spans="1:2" x14ac:dyDescent="0.3">
      <c r="A616">
        <v>13600000</v>
      </c>
      <c r="B616">
        <v>412</v>
      </c>
    </row>
    <row r="617" spans="1:2" x14ac:dyDescent="0.3">
      <c r="A617">
        <v>13000000</v>
      </c>
      <c r="B617">
        <v>409</v>
      </c>
    </row>
    <row r="618" spans="1:2" x14ac:dyDescent="0.3">
      <c r="A618">
        <v>12400000</v>
      </c>
      <c r="B618">
        <v>409</v>
      </c>
    </row>
    <row r="619" spans="1:2" x14ac:dyDescent="0.3">
      <c r="A619">
        <v>29200000</v>
      </c>
      <c r="B619">
        <v>404</v>
      </c>
    </row>
    <row r="620" spans="1:2" x14ac:dyDescent="0.3">
      <c r="A620">
        <v>21000000</v>
      </c>
      <c r="B620">
        <v>403</v>
      </c>
    </row>
    <row r="621" spans="1:2" x14ac:dyDescent="0.3">
      <c r="A621">
        <v>14400000</v>
      </c>
      <c r="B621">
        <v>399</v>
      </c>
    </row>
    <row r="622" spans="1:2" x14ac:dyDescent="0.3">
      <c r="A622">
        <v>25300000</v>
      </c>
      <c r="B622">
        <v>398</v>
      </c>
    </row>
    <row r="623" spans="1:2" x14ac:dyDescent="0.3">
      <c r="A623">
        <v>12400000</v>
      </c>
      <c r="B623">
        <v>398</v>
      </c>
    </row>
    <row r="624" spans="1:2" x14ac:dyDescent="0.3">
      <c r="A624">
        <v>13200000</v>
      </c>
      <c r="B624">
        <v>393</v>
      </c>
    </row>
    <row r="625" spans="1:2" x14ac:dyDescent="0.3">
      <c r="A625">
        <v>23600000</v>
      </c>
      <c r="B625">
        <v>392</v>
      </c>
    </row>
    <row r="626" spans="1:2" x14ac:dyDescent="0.3">
      <c r="A626">
        <v>59500000</v>
      </c>
      <c r="B626">
        <v>389</v>
      </c>
    </row>
    <row r="627" spans="1:2" x14ac:dyDescent="0.3">
      <c r="A627">
        <v>12500000</v>
      </c>
      <c r="B627">
        <v>385</v>
      </c>
    </row>
    <row r="628" spans="1:2" x14ac:dyDescent="0.3">
      <c r="A628">
        <v>53500000</v>
      </c>
      <c r="B628">
        <v>383</v>
      </c>
    </row>
    <row r="629" spans="1:2" x14ac:dyDescent="0.3">
      <c r="A629">
        <v>15400000</v>
      </c>
      <c r="B629">
        <v>379</v>
      </c>
    </row>
    <row r="630" spans="1:2" x14ac:dyDescent="0.3">
      <c r="A630">
        <v>12500000</v>
      </c>
      <c r="B630">
        <v>377</v>
      </c>
    </row>
    <row r="631" spans="1:2" x14ac:dyDescent="0.3">
      <c r="A631">
        <v>18900000</v>
      </c>
      <c r="B631">
        <v>375</v>
      </c>
    </row>
    <row r="632" spans="1:2" x14ac:dyDescent="0.3">
      <c r="A632">
        <v>18500000</v>
      </c>
      <c r="B632">
        <v>374</v>
      </c>
    </row>
    <row r="633" spans="1:2" x14ac:dyDescent="0.3">
      <c r="A633">
        <v>13900000</v>
      </c>
      <c r="B633">
        <v>369</v>
      </c>
    </row>
    <row r="634" spans="1:2" x14ac:dyDescent="0.3">
      <c r="A634">
        <v>13600000</v>
      </c>
      <c r="B634">
        <v>368</v>
      </c>
    </row>
    <row r="635" spans="1:2" x14ac:dyDescent="0.3">
      <c r="A635">
        <v>16900000</v>
      </c>
      <c r="B635">
        <v>366</v>
      </c>
    </row>
    <row r="636" spans="1:2" x14ac:dyDescent="0.3">
      <c r="A636">
        <v>14600000</v>
      </c>
      <c r="B636">
        <v>365</v>
      </c>
    </row>
    <row r="637" spans="1:2" x14ac:dyDescent="0.3">
      <c r="A637">
        <v>15500000</v>
      </c>
      <c r="B637">
        <v>359</v>
      </c>
    </row>
    <row r="638" spans="1:2" x14ac:dyDescent="0.3">
      <c r="A638">
        <v>16300000</v>
      </c>
      <c r="B638">
        <v>352</v>
      </c>
    </row>
    <row r="639" spans="1:2" x14ac:dyDescent="0.3">
      <c r="A639">
        <v>16000000</v>
      </c>
      <c r="B639">
        <v>344</v>
      </c>
    </row>
    <row r="640" spans="1:2" x14ac:dyDescent="0.3">
      <c r="A640">
        <v>14200000</v>
      </c>
      <c r="B640">
        <v>342</v>
      </c>
    </row>
    <row r="641" spans="1:2" x14ac:dyDescent="0.3">
      <c r="A641">
        <v>15000000</v>
      </c>
      <c r="B641">
        <v>340</v>
      </c>
    </row>
    <row r="642" spans="1:2" x14ac:dyDescent="0.3">
      <c r="A642">
        <v>13700000</v>
      </c>
      <c r="B642">
        <v>340</v>
      </c>
    </row>
    <row r="643" spans="1:2" x14ac:dyDescent="0.3">
      <c r="A643">
        <v>33400000</v>
      </c>
      <c r="B643">
        <v>338</v>
      </c>
    </row>
    <row r="644" spans="1:2" x14ac:dyDescent="0.3">
      <c r="A644">
        <v>19300000</v>
      </c>
      <c r="B644">
        <v>335</v>
      </c>
    </row>
    <row r="645" spans="1:2" x14ac:dyDescent="0.3">
      <c r="A645">
        <v>13300000</v>
      </c>
      <c r="B645">
        <v>331</v>
      </c>
    </row>
    <row r="646" spans="1:2" x14ac:dyDescent="0.3">
      <c r="A646">
        <v>43500000</v>
      </c>
      <c r="B646">
        <v>326</v>
      </c>
    </row>
    <row r="647" spans="1:2" x14ac:dyDescent="0.3">
      <c r="A647">
        <v>17600000</v>
      </c>
      <c r="B647">
        <v>326</v>
      </c>
    </row>
    <row r="648" spans="1:2" x14ac:dyDescent="0.3">
      <c r="A648">
        <v>15500000</v>
      </c>
      <c r="B648">
        <v>325</v>
      </c>
    </row>
    <row r="649" spans="1:2" x14ac:dyDescent="0.3">
      <c r="A649">
        <v>13900000</v>
      </c>
      <c r="B649">
        <v>324</v>
      </c>
    </row>
    <row r="650" spans="1:2" x14ac:dyDescent="0.3">
      <c r="A650">
        <v>12800000</v>
      </c>
      <c r="B650">
        <v>323</v>
      </c>
    </row>
    <row r="651" spans="1:2" x14ac:dyDescent="0.3">
      <c r="A651">
        <v>12500000</v>
      </c>
      <c r="B651">
        <v>322</v>
      </c>
    </row>
    <row r="652" spans="1:2" x14ac:dyDescent="0.3">
      <c r="A652">
        <v>13500000</v>
      </c>
      <c r="B652">
        <v>321</v>
      </c>
    </row>
    <row r="653" spans="1:2" x14ac:dyDescent="0.3">
      <c r="A653">
        <v>13500000</v>
      </c>
      <c r="B653">
        <v>319</v>
      </c>
    </row>
    <row r="654" spans="1:2" x14ac:dyDescent="0.3">
      <c r="A654">
        <v>13400000</v>
      </c>
      <c r="B654">
        <v>319</v>
      </c>
    </row>
    <row r="655" spans="1:2" x14ac:dyDescent="0.3">
      <c r="A655">
        <v>14800000</v>
      </c>
      <c r="B655">
        <v>318</v>
      </c>
    </row>
    <row r="656" spans="1:2" x14ac:dyDescent="0.3">
      <c r="A656">
        <v>14700000</v>
      </c>
      <c r="B656">
        <v>317</v>
      </c>
    </row>
    <row r="657" spans="1:2" x14ac:dyDescent="0.3">
      <c r="A657">
        <v>17900000</v>
      </c>
      <c r="B657">
        <v>314</v>
      </c>
    </row>
    <row r="658" spans="1:2" x14ac:dyDescent="0.3">
      <c r="A658">
        <v>18800000</v>
      </c>
      <c r="B658">
        <v>312</v>
      </c>
    </row>
    <row r="659" spans="1:2" x14ac:dyDescent="0.3">
      <c r="A659">
        <v>18800000</v>
      </c>
      <c r="B659">
        <v>304</v>
      </c>
    </row>
    <row r="660" spans="1:2" x14ac:dyDescent="0.3">
      <c r="A660">
        <v>21900000</v>
      </c>
      <c r="B660">
        <v>301</v>
      </c>
    </row>
    <row r="661" spans="1:2" x14ac:dyDescent="0.3">
      <c r="A661">
        <v>20500000</v>
      </c>
      <c r="B661">
        <v>296</v>
      </c>
    </row>
    <row r="662" spans="1:2" x14ac:dyDescent="0.3">
      <c r="A662">
        <v>14000000</v>
      </c>
      <c r="B662">
        <v>294</v>
      </c>
    </row>
    <row r="663" spans="1:2" x14ac:dyDescent="0.3">
      <c r="A663">
        <v>27800000</v>
      </c>
      <c r="B663">
        <v>292</v>
      </c>
    </row>
    <row r="664" spans="1:2" x14ac:dyDescent="0.3">
      <c r="A664">
        <v>41300000</v>
      </c>
      <c r="B664">
        <v>291</v>
      </c>
    </row>
    <row r="665" spans="1:2" x14ac:dyDescent="0.3">
      <c r="A665">
        <v>13100000</v>
      </c>
      <c r="B665">
        <v>289</v>
      </c>
    </row>
    <row r="666" spans="1:2" x14ac:dyDescent="0.3">
      <c r="A666">
        <v>20800000</v>
      </c>
      <c r="B666">
        <v>288</v>
      </c>
    </row>
    <row r="667" spans="1:2" x14ac:dyDescent="0.3">
      <c r="A667">
        <v>13900000</v>
      </c>
      <c r="B667">
        <v>288</v>
      </c>
    </row>
    <row r="668" spans="1:2" x14ac:dyDescent="0.3">
      <c r="A668">
        <v>25600000</v>
      </c>
      <c r="B668">
        <v>287</v>
      </c>
    </row>
    <row r="669" spans="1:2" x14ac:dyDescent="0.3">
      <c r="A669">
        <v>24100000</v>
      </c>
      <c r="B669">
        <v>287</v>
      </c>
    </row>
    <row r="670" spans="1:2" x14ac:dyDescent="0.3">
      <c r="A670">
        <v>17300000</v>
      </c>
      <c r="B670">
        <v>287</v>
      </c>
    </row>
    <row r="671" spans="1:2" x14ac:dyDescent="0.3">
      <c r="A671">
        <v>13100000</v>
      </c>
      <c r="B671">
        <v>287</v>
      </c>
    </row>
    <row r="672" spans="1:2" x14ac:dyDescent="0.3">
      <c r="A672">
        <v>16300000</v>
      </c>
      <c r="B672">
        <v>278</v>
      </c>
    </row>
    <row r="673" spans="1:2" x14ac:dyDescent="0.3">
      <c r="A673">
        <v>13600000</v>
      </c>
      <c r="B673">
        <v>273</v>
      </c>
    </row>
    <row r="674" spans="1:2" x14ac:dyDescent="0.3">
      <c r="A674">
        <v>19700000</v>
      </c>
      <c r="B674">
        <v>267</v>
      </c>
    </row>
    <row r="675" spans="1:2" x14ac:dyDescent="0.3">
      <c r="A675">
        <v>21800000</v>
      </c>
      <c r="B675">
        <v>266</v>
      </c>
    </row>
    <row r="676" spans="1:2" x14ac:dyDescent="0.3">
      <c r="A676">
        <v>16200000</v>
      </c>
      <c r="B676">
        <v>258</v>
      </c>
    </row>
    <row r="677" spans="1:2" x14ac:dyDescent="0.3">
      <c r="A677">
        <v>23900000</v>
      </c>
      <c r="B677">
        <v>257</v>
      </c>
    </row>
    <row r="678" spans="1:2" x14ac:dyDescent="0.3">
      <c r="A678">
        <v>21800000</v>
      </c>
      <c r="B678">
        <v>257</v>
      </c>
    </row>
    <row r="679" spans="1:2" x14ac:dyDescent="0.3">
      <c r="A679">
        <v>13400000</v>
      </c>
      <c r="B679">
        <v>256</v>
      </c>
    </row>
    <row r="680" spans="1:2" x14ac:dyDescent="0.3">
      <c r="A680">
        <v>12500000</v>
      </c>
      <c r="B680">
        <v>253</v>
      </c>
    </row>
    <row r="681" spans="1:2" x14ac:dyDescent="0.3">
      <c r="A681">
        <v>24100000</v>
      </c>
      <c r="B681">
        <v>252</v>
      </c>
    </row>
    <row r="682" spans="1:2" x14ac:dyDescent="0.3">
      <c r="A682">
        <v>12700000</v>
      </c>
      <c r="B682">
        <v>252</v>
      </c>
    </row>
    <row r="683" spans="1:2" x14ac:dyDescent="0.3">
      <c r="A683">
        <v>19700000</v>
      </c>
      <c r="B683">
        <v>250</v>
      </c>
    </row>
    <row r="684" spans="1:2" x14ac:dyDescent="0.3">
      <c r="A684">
        <v>71600000</v>
      </c>
      <c r="B684">
        <v>249</v>
      </c>
    </row>
    <row r="685" spans="1:2" x14ac:dyDescent="0.3">
      <c r="A685">
        <v>26700000</v>
      </c>
      <c r="B685">
        <v>241</v>
      </c>
    </row>
    <row r="686" spans="1:2" x14ac:dyDescent="0.3">
      <c r="A686">
        <v>20100000</v>
      </c>
      <c r="B686">
        <v>241</v>
      </c>
    </row>
    <row r="687" spans="1:2" x14ac:dyDescent="0.3">
      <c r="A687">
        <v>34000000</v>
      </c>
      <c r="B687">
        <v>240</v>
      </c>
    </row>
    <row r="688" spans="1:2" x14ac:dyDescent="0.3">
      <c r="A688">
        <v>26000000</v>
      </c>
      <c r="B688">
        <v>240</v>
      </c>
    </row>
    <row r="689" spans="1:2" x14ac:dyDescent="0.3">
      <c r="A689">
        <v>20400000</v>
      </c>
      <c r="B689">
        <v>239</v>
      </c>
    </row>
    <row r="690" spans="1:2" x14ac:dyDescent="0.3">
      <c r="A690">
        <v>18000000</v>
      </c>
      <c r="B690">
        <v>237</v>
      </c>
    </row>
    <row r="691" spans="1:2" x14ac:dyDescent="0.3">
      <c r="A691">
        <v>13200000</v>
      </c>
      <c r="B691">
        <v>237</v>
      </c>
    </row>
    <row r="692" spans="1:2" x14ac:dyDescent="0.3">
      <c r="A692">
        <v>17600000</v>
      </c>
      <c r="B692">
        <v>233</v>
      </c>
    </row>
    <row r="693" spans="1:2" x14ac:dyDescent="0.3">
      <c r="A693">
        <v>14800000</v>
      </c>
      <c r="B693">
        <v>233</v>
      </c>
    </row>
    <row r="694" spans="1:2" x14ac:dyDescent="0.3">
      <c r="A694">
        <v>12800000</v>
      </c>
      <c r="B694">
        <v>233</v>
      </c>
    </row>
    <row r="695" spans="1:2" x14ac:dyDescent="0.3">
      <c r="A695">
        <v>16300000</v>
      </c>
      <c r="B695">
        <v>230</v>
      </c>
    </row>
    <row r="696" spans="1:2" x14ac:dyDescent="0.3">
      <c r="A696">
        <v>21600000</v>
      </c>
      <c r="B696">
        <v>228</v>
      </c>
    </row>
    <row r="697" spans="1:2" x14ac:dyDescent="0.3">
      <c r="A697">
        <v>23600000</v>
      </c>
      <c r="B697">
        <v>226</v>
      </c>
    </row>
    <row r="698" spans="1:2" x14ac:dyDescent="0.3">
      <c r="A698">
        <v>20200000</v>
      </c>
      <c r="B698">
        <v>226</v>
      </c>
    </row>
    <row r="699" spans="1:2" x14ac:dyDescent="0.3">
      <c r="A699">
        <v>12400000</v>
      </c>
      <c r="B699">
        <v>226</v>
      </c>
    </row>
    <row r="700" spans="1:2" x14ac:dyDescent="0.3">
      <c r="A700">
        <v>30300000</v>
      </c>
      <c r="B700">
        <v>223</v>
      </c>
    </row>
    <row r="701" spans="1:2" x14ac:dyDescent="0.3">
      <c r="A701">
        <v>12500000</v>
      </c>
      <c r="B701">
        <v>223</v>
      </c>
    </row>
    <row r="702" spans="1:2" x14ac:dyDescent="0.3">
      <c r="A702">
        <v>14400000</v>
      </c>
      <c r="B702">
        <v>222</v>
      </c>
    </row>
    <row r="703" spans="1:2" x14ac:dyDescent="0.3">
      <c r="A703">
        <v>37200000</v>
      </c>
      <c r="B703">
        <v>220</v>
      </c>
    </row>
    <row r="704" spans="1:2" x14ac:dyDescent="0.3">
      <c r="A704">
        <v>15500000</v>
      </c>
      <c r="B704">
        <v>220</v>
      </c>
    </row>
    <row r="705" spans="1:2" x14ac:dyDescent="0.3">
      <c r="A705">
        <v>21600000</v>
      </c>
      <c r="B705">
        <v>219</v>
      </c>
    </row>
    <row r="706" spans="1:2" x14ac:dyDescent="0.3">
      <c r="A706">
        <v>12600000</v>
      </c>
      <c r="B706">
        <v>218</v>
      </c>
    </row>
    <row r="707" spans="1:2" x14ac:dyDescent="0.3">
      <c r="A707">
        <v>12400000</v>
      </c>
      <c r="B707">
        <v>218</v>
      </c>
    </row>
    <row r="708" spans="1:2" x14ac:dyDescent="0.3">
      <c r="A708">
        <v>33500000</v>
      </c>
      <c r="B708">
        <v>217</v>
      </c>
    </row>
    <row r="709" spans="1:2" x14ac:dyDescent="0.3">
      <c r="A709">
        <v>18800000</v>
      </c>
      <c r="B709">
        <v>217</v>
      </c>
    </row>
    <row r="710" spans="1:2" x14ac:dyDescent="0.3">
      <c r="A710">
        <v>52900000</v>
      </c>
      <c r="B710">
        <v>216</v>
      </c>
    </row>
    <row r="711" spans="1:2" x14ac:dyDescent="0.3">
      <c r="A711">
        <v>16600000</v>
      </c>
      <c r="B711">
        <v>216</v>
      </c>
    </row>
    <row r="712" spans="1:2" x14ac:dyDescent="0.3">
      <c r="A712">
        <v>19600000</v>
      </c>
      <c r="B712">
        <v>214</v>
      </c>
    </row>
    <row r="713" spans="1:2" x14ac:dyDescent="0.3">
      <c r="A713">
        <v>15100000</v>
      </c>
      <c r="B713">
        <v>210</v>
      </c>
    </row>
    <row r="714" spans="1:2" x14ac:dyDescent="0.3">
      <c r="A714">
        <v>20400000</v>
      </c>
      <c r="B714">
        <v>206</v>
      </c>
    </row>
    <row r="715" spans="1:2" x14ac:dyDescent="0.3">
      <c r="A715">
        <v>15000000</v>
      </c>
      <c r="B715">
        <v>206</v>
      </c>
    </row>
    <row r="716" spans="1:2" x14ac:dyDescent="0.3">
      <c r="A716">
        <v>12400000</v>
      </c>
      <c r="B716">
        <v>205</v>
      </c>
    </row>
    <row r="717" spans="1:2" x14ac:dyDescent="0.3">
      <c r="A717">
        <v>31600000</v>
      </c>
      <c r="B717">
        <v>204</v>
      </c>
    </row>
    <row r="718" spans="1:2" x14ac:dyDescent="0.3">
      <c r="A718">
        <v>13600000</v>
      </c>
      <c r="B718">
        <v>199</v>
      </c>
    </row>
    <row r="719" spans="1:2" x14ac:dyDescent="0.3">
      <c r="A719">
        <v>18400000</v>
      </c>
      <c r="B719">
        <v>197</v>
      </c>
    </row>
    <row r="720" spans="1:2" x14ac:dyDescent="0.3">
      <c r="A720">
        <v>36200000</v>
      </c>
      <c r="B720">
        <v>196</v>
      </c>
    </row>
    <row r="721" spans="1:2" x14ac:dyDescent="0.3">
      <c r="A721">
        <v>14800000</v>
      </c>
      <c r="B721">
        <v>195</v>
      </c>
    </row>
    <row r="722" spans="1:2" x14ac:dyDescent="0.3">
      <c r="A722">
        <v>15200000</v>
      </c>
      <c r="B722">
        <v>194</v>
      </c>
    </row>
    <row r="723" spans="1:2" x14ac:dyDescent="0.3">
      <c r="A723">
        <v>13100000</v>
      </c>
      <c r="B723">
        <v>194</v>
      </c>
    </row>
    <row r="724" spans="1:2" x14ac:dyDescent="0.3">
      <c r="A724">
        <v>20800000</v>
      </c>
      <c r="B724">
        <v>193</v>
      </c>
    </row>
    <row r="725" spans="1:2" x14ac:dyDescent="0.3">
      <c r="A725">
        <v>12900000</v>
      </c>
      <c r="B725">
        <v>193</v>
      </c>
    </row>
    <row r="726" spans="1:2" x14ac:dyDescent="0.3">
      <c r="A726">
        <v>13200000</v>
      </c>
      <c r="B726">
        <v>192</v>
      </c>
    </row>
    <row r="727" spans="1:2" x14ac:dyDescent="0.3">
      <c r="A727">
        <v>26300000</v>
      </c>
      <c r="B727">
        <v>190</v>
      </c>
    </row>
    <row r="728" spans="1:2" x14ac:dyDescent="0.3">
      <c r="A728">
        <v>16200000</v>
      </c>
      <c r="B728">
        <v>189</v>
      </c>
    </row>
    <row r="729" spans="1:2" x14ac:dyDescent="0.3">
      <c r="A729">
        <v>33600000</v>
      </c>
      <c r="B729">
        <v>188</v>
      </c>
    </row>
    <row r="730" spans="1:2" x14ac:dyDescent="0.3">
      <c r="A730">
        <v>39200000</v>
      </c>
      <c r="B730">
        <v>186</v>
      </c>
    </row>
    <row r="731" spans="1:2" x14ac:dyDescent="0.3">
      <c r="A731">
        <v>14400000</v>
      </c>
      <c r="B731">
        <v>186</v>
      </c>
    </row>
    <row r="732" spans="1:2" x14ac:dyDescent="0.3">
      <c r="A732">
        <v>17900000</v>
      </c>
      <c r="B732">
        <v>185</v>
      </c>
    </row>
    <row r="733" spans="1:2" x14ac:dyDescent="0.3">
      <c r="A733">
        <v>13900000</v>
      </c>
      <c r="B733">
        <v>183</v>
      </c>
    </row>
    <row r="734" spans="1:2" x14ac:dyDescent="0.3">
      <c r="A734">
        <v>14100000</v>
      </c>
      <c r="B734">
        <v>182</v>
      </c>
    </row>
    <row r="735" spans="1:2" x14ac:dyDescent="0.3">
      <c r="A735">
        <v>22600000</v>
      </c>
      <c r="B735">
        <v>180</v>
      </c>
    </row>
    <row r="736" spans="1:2" x14ac:dyDescent="0.3">
      <c r="A736">
        <v>17300000</v>
      </c>
      <c r="B736">
        <v>180</v>
      </c>
    </row>
    <row r="737" spans="1:2" x14ac:dyDescent="0.3">
      <c r="A737">
        <v>16600000</v>
      </c>
      <c r="B737">
        <v>180</v>
      </c>
    </row>
    <row r="738" spans="1:2" x14ac:dyDescent="0.3">
      <c r="A738">
        <v>17700000</v>
      </c>
      <c r="B738">
        <v>178</v>
      </c>
    </row>
    <row r="739" spans="1:2" x14ac:dyDescent="0.3">
      <c r="A739">
        <v>14500000</v>
      </c>
      <c r="B739">
        <v>176</v>
      </c>
    </row>
    <row r="740" spans="1:2" x14ac:dyDescent="0.3">
      <c r="A740">
        <v>24600000</v>
      </c>
      <c r="B740">
        <v>175</v>
      </c>
    </row>
    <row r="741" spans="1:2" x14ac:dyDescent="0.3">
      <c r="A741">
        <v>13800000</v>
      </c>
      <c r="B741">
        <v>173</v>
      </c>
    </row>
    <row r="742" spans="1:2" x14ac:dyDescent="0.3">
      <c r="A742">
        <v>23200000</v>
      </c>
      <c r="B742">
        <v>172</v>
      </c>
    </row>
    <row r="743" spans="1:2" x14ac:dyDescent="0.3">
      <c r="A743">
        <v>13200000</v>
      </c>
      <c r="B743">
        <v>172</v>
      </c>
    </row>
    <row r="744" spans="1:2" x14ac:dyDescent="0.3">
      <c r="A744">
        <v>36600000</v>
      </c>
      <c r="B744">
        <v>171</v>
      </c>
    </row>
    <row r="745" spans="1:2" x14ac:dyDescent="0.3">
      <c r="A745">
        <v>22600000</v>
      </c>
      <c r="B745">
        <v>171</v>
      </c>
    </row>
    <row r="746" spans="1:2" x14ac:dyDescent="0.3">
      <c r="A746">
        <v>32600000</v>
      </c>
      <c r="B746">
        <v>169</v>
      </c>
    </row>
    <row r="747" spans="1:2" x14ac:dyDescent="0.3">
      <c r="A747">
        <v>12900000</v>
      </c>
      <c r="B747">
        <v>168</v>
      </c>
    </row>
    <row r="748" spans="1:2" x14ac:dyDescent="0.3">
      <c r="A748">
        <v>12800000</v>
      </c>
      <c r="B748">
        <v>168</v>
      </c>
    </row>
    <row r="749" spans="1:2" x14ac:dyDescent="0.3">
      <c r="A749">
        <v>31700000</v>
      </c>
      <c r="B749">
        <v>166</v>
      </c>
    </row>
    <row r="750" spans="1:2" x14ac:dyDescent="0.3">
      <c r="A750">
        <v>15400000</v>
      </c>
      <c r="B750">
        <v>165</v>
      </c>
    </row>
    <row r="751" spans="1:2" x14ac:dyDescent="0.3">
      <c r="A751">
        <v>21800000</v>
      </c>
      <c r="B751">
        <v>164</v>
      </c>
    </row>
    <row r="752" spans="1:2" x14ac:dyDescent="0.3">
      <c r="A752">
        <v>15100000</v>
      </c>
      <c r="B752">
        <v>159</v>
      </c>
    </row>
    <row r="753" spans="1:2" x14ac:dyDescent="0.3">
      <c r="A753">
        <v>21500000</v>
      </c>
      <c r="B753">
        <v>158</v>
      </c>
    </row>
    <row r="754" spans="1:2" x14ac:dyDescent="0.3">
      <c r="A754">
        <v>22000000</v>
      </c>
      <c r="B754">
        <v>157</v>
      </c>
    </row>
    <row r="755" spans="1:2" x14ac:dyDescent="0.3">
      <c r="A755">
        <v>56900000</v>
      </c>
      <c r="B755">
        <v>156</v>
      </c>
    </row>
    <row r="756" spans="1:2" x14ac:dyDescent="0.3">
      <c r="A756">
        <v>20600000</v>
      </c>
      <c r="B756">
        <v>156</v>
      </c>
    </row>
    <row r="757" spans="1:2" x14ac:dyDescent="0.3">
      <c r="A757">
        <v>29800000</v>
      </c>
      <c r="B757">
        <v>151</v>
      </c>
    </row>
    <row r="758" spans="1:2" x14ac:dyDescent="0.3">
      <c r="A758">
        <v>15700000</v>
      </c>
      <c r="B758">
        <v>150</v>
      </c>
    </row>
    <row r="759" spans="1:2" x14ac:dyDescent="0.3">
      <c r="A759">
        <v>17500000</v>
      </c>
      <c r="B759">
        <v>149</v>
      </c>
    </row>
    <row r="760" spans="1:2" x14ac:dyDescent="0.3">
      <c r="A760">
        <v>14100000</v>
      </c>
      <c r="B760">
        <v>149</v>
      </c>
    </row>
    <row r="761" spans="1:2" x14ac:dyDescent="0.3">
      <c r="A761">
        <v>52700000</v>
      </c>
      <c r="B761">
        <v>147</v>
      </c>
    </row>
    <row r="762" spans="1:2" x14ac:dyDescent="0.3">
      <c r="A762">
        <v>25000000</v>
      </c>
      <c r="B762">
        <v>147</v>
      </c>
    </row>
    <row r="763" spans="1:2" x14ac:dyDescent="0.3">
      <c r="A763">
        <v>14500000</v>
      </c>
      <c r="B763">
        <v>147</v>
      </c>
    </row>
    <row r="764" spans="1:2" x14ac:dyDescent="0.3">
      <c r="A764">
        <v>18300000</v>
      </c>
      <c r="B764">
        <v>142</v>
      </c>
    </row>
    <row r="765" spans="1:2" x14ac:dyDescent="0.3">
      <c r="A765">
        <v>17100000</v>
      </c>
      <c r="B765">
        <v>142</v>
      </c>
    </row>
    <row r="766" spans="1:2" x14ac:dyDescent="0.3">
      <c r="A766">
        <v>12700000</v>
      </c>
      <c r="B766">
        <v>142</v>
      </c>
    </row>
    <row r="767" spans="1:2" x14ac:dyDescent="0.3">
      <c r="A767">
        <v>34100000</v>
      </c>
      <c r="B767">
        <v>141</v>
      </c>
    </row>
    <row r="768" spans="1:2" x14ac:dyDescent="0.3">
      <c r="A768">
        <v>19100000</v>
      </c>
      <c r="B768">
        <v>139</v>
      </c>
    </row>
    <row r="769" spans="1:2" x14ac:dyDescent="0.3">
      <c r="A769">
        <v>17200000</v>
      </c>
      <c r="B769">
        <v>138</v>
      </c>
    </row>
    <row r="770" spans="1:2" x14ac:dyDescent="0.3">
      <c r="A770">
        <v>12900000</v>
      </c>
      <c r="B770">
        <v>137</v>
      </c>
    </row>
    <row r="771" spans="1:2" x14ac:dyDescent="0.3">
      <c r="A771">
        <v>21800000</v>
      </c>
      <c r="B771">
        <v>135</v>
      </c>
    </row>
    <row r="772" spans="1:2" x14ac:dyDescent="0.3">
      <c r="A772">
        <v>32100000</v>
      </c>
      <c r="B772">
        <v>134</v>
      </c>
    </row>
    <row r="773" spans="1:2" x14ac:dyDescent="0.3">
      <c r="A773">
        <v>39200000</v>
      </c>
      <c r="B773">
        <v>133</v>
      </c>
    </row>
    <row r="774" spans="1:2" x14ac:dyDescent="0.3">
      <c r="A774">
        <v>30000000</v>
      </c>
      <c r="B774">
        <v>133</v>
      </c>
    </row>
    <row r="775" spans="1:2" x14ac:dyDescent="0.3">
      <c r="A775">
        <v>15900000</v>
      </c>
      <c r="B775">
        <v>132</v>
      </c>
    </row>
    <row r="776" spans="1:2" x14ac:dyDescent="0.3">
      <c r="A776">
        <v>18100000</v>
      </c>
      <c r="B776">
        <v>131</v>
      </c>
    </row>
    <row r="777" spans="1:2" x14ac:dyDescent="0.3">
      <c r="A777">
        <v>44200000</v>
      </c>
      <c r="B777">
        <v>128</v>
      </c>
    </row>
    <row r="778" spans="1:2" x14ac:dyDescent="0.3">
      <c r="A778">
        <v>14900000</v>
      </c>
      <c r="B778">
        <v>127</v>
      </c>
    </row>
    <row r="779" spans="1:2" x14ac:dyDescent="0.3">
      <c r="A779">
        <v>24600000</v>
      </c>
      <c r="B779">
        <v>120</v>
      </c>
    </row>
    <row r="780" spans="1:2" x14ac:dyDescent="0.3">
      <c r="A780">
        <v>12700000</v>
      </c>
      <c r="B780">
        <v>119</v>
      </c>
    </row>
    <row r="781" spans="1:2" x14ac:dyDescent="0.3">
      <c r="A781">
        <v>25100000</v>
      </c>
      <c r="B781">
        <v>118</v>
      </c>
    </row>
    <row r="782" spans="1:2" x14ac:dyDescent="0.3">
      <c r="A782">
        <v>12500000</v>
      </c>
      <c r="B782">
        <v>117</v>
      </c>
    </row>
    <row r="783" spans="1:2" x14ac:dyDescent="0.3">
      <c r="A783">
        <v>31700000</v>
      </c>
      <c r="B783">
        <v>116</v>
      </c>
    </row>
    <row r="784" spans="1:2" x14ac:dyDescent="0.3">
      <c r="A784">
        <v>21900000</v>
      </c>
      <c r="B784">
        <v>116</v>
      </c>
    </row>
    <row r="785" spans="1:2" x14ac:dyDescent="0.3">
      <c r="A785">
        <v>21400000</v>
      </c>
      <c r="B785">
        <v>114</v>
      </c>
    </row>
    <row r="786" spans="1:2" x14ac:dyDescent="0.3">
      <c r="A786">
        <v>18400000</v>
      </c>
      <c r="B786">
        <v>111</v>
      </c>
    </row>
    <row r="787" spans="1:2" x14ac:dyDescent="0.3">
      <c r="A787">
        <v>15200000</v>
      </c>
      <c r="B787">
        <v>106</v>
      </c>
    </row>
    <row r="788" spans="1:2" x14ac:dyDescent="0.3">
      <c r="A788">
        <v>24700000</v>
      </c>
      <c r="B788">
        <v>104</v>
      </c>
    </row>
    <row r="789" spans="1:2" x14ac:dyDescent="0.3">
      <c r="A789">
        <v>36700000</v>
      </c>
      <c r="B789">
        <v>99</v>
      </c>
    </row>
    <row r="790" spans="1:2" x14ac:dyDescent="0.3">
      <c r="A790">
        <v>12600000</v>
      </c>
      <c r="B790">
        <v>99</v>
      </c>
    </row>
    <row r="791" spans="1:2" x14ac:dyDescent="0.3">
      <c r="A791">
        <v>12400000</v>
      </c>
      <c r="B791">
        <v>99</v>
      </c>
    </row>
    <row r="792" spans="1:2" x14ac:dyDescent="0.3">
      <c r="A792">
        <v>17000000</v>
      </c>
      <c r="B792">
        <v>97</v>
      </c>
    </row>
    <row r="793" spans="1:2" x14ac:dyDescent="0.3">
      <c r="A793">
        <v>13400000</v>
      </c>
      <c r="B793">
        <v>96</v>
      </c>
    </row>
    <row r="794" spans="1:2" x14ac:dyDescent="0.3">
      <c r="A794">
        <v>30700000</v>
      </c>
      <c r="B794">
        <v>92</v>
      </c>
    </row>
    <row r="795" spans="1:2" x14ac:dyDescent="0.3">
      <c r="A795">
        <v>14900000</v>
      </c>
      <c r="B795">
        <v>86</v>
      </c>
    </row>
    <row r="796" spans="1:2" x14ac:dyDescent="0.3">
      <c r="A796">
        <v>19400000</v>
      </c>
      <c r="B796">
        <v>85</v>
      </c>
    </row>
    <row r="797" spans="1:2" x14ac:dyDescent="0.3">
      <c r="A797">
        <v>14700000</v>
      </c>
      <c r="B797">
        <v>85</v>
      </c>
    </row>
    <row r="798" spans="1:2" x14ac:dyDescent="0.3">
      <c r="A798">
        <v>41900000</v>
      </c>
      <c r="B798">
        <v>84</v>
      </c>
    </row>
    <row r="799" spans="1:2" x14ac:dyDescent="0.3">
      <c r="A799">
        <v>20600000</v>
      </c>
      <c r="B799">
        <v>83</v>
      </c>
    </row>
    <row r="800" spans="1:2" x14ac:dyDescent="0.3">
      <c r="A800">
        <v>17200000</v>
      </c>
      <c r="B800">
        <v>83</v>
      </c>
    </row>
    <row r="801" spans="1:2" x14ac:dyDescent="0.3">
      <c r="A801">
        <v>16300000</v>
      </c>
      <c r="B801">
        <v>80</v>
      </c>
    </row>
    <row r="802" spans="1:2" x14ac:dyDescent="0.3">
      <c r="A802">
        <v>19000000</v>
      </c>
      <c r="B802">
        <v>79</v>
      </c>
    </row>
    <row r="803" spans="1:2" x14ac:dyDescent="0.3">
      <c r="A803">
        <v>15700000</v>
      </c>
      <c r="B803">
        <v>79</v>
      </c>
    </row>
    <row r="804" spans="1:2" x14ac:dyDescent="0.3">
      <c r="A804">
        <v>25500000</v>
      </c>
      <c r="B804">
        <v>78</v>
      </c>
    </row>
    <row r="805" spans="1:2" x14ac:dyDescent="0.3">
      <c r="A805">
        <v>21300000</v>
      </c>
      <c r="B805">
        <v>78</v>
      </c>
    </row>
    <row r="806" spans="1:2" x14ac:dyDescent="0.3">
      <c r="A806">
        <v>13100000</v>
      </c>
      <c r="B806">
        <v>73</v>
      </c>
    </row>
    <row r="807" spans="1:2" x14ac:dyDescent="0.3">
      <c r="A807">
        <v>23800000</v>
      </c>
      <c r="B807">
        <v>70</v>
      </c>
    </row>
    <row r="808" spans="1:2" x14ac:dyDescent="0.3">
      <c r="A808">
        <v>12900000</v>
      </c>
      <c r="B808">
        <v>69</v>
      </c>
    </row>
    <row r="809" spans="1:2" x14ac:dyDescent="0.3">
      <c r="A809">
        <v>15000000</v>
      </c>
      <c r="B809">
        <v>68</v>
      </c>
    </row>
    <row r="810" spans="1:2" x14ac:dyDescent="0.3">
      <c r="A810">
        <v>30700000</v>
      </c>
      <c r="B810">
        <v>67</v>
      </c>
    </row>
    <row r="811" spans="1:2" x14ac:dyDescent="0.3">
      <c r="A811">
        <v>24200000</v>
      </c>
      <c r="B811">
        <v>67</v>
      </c>
    </row>
    <row r="812" spans="1:2" x14ac:dyDescent="0.3">
      <c r="A812">
        <v>14600000</v>
      </c>
      <c r="B812">
        <v>67</v>
      </c>
    </row>
    <row r="813" spans="1:2" x14ac:dyDescent="0.3">
      <c r="A813">
        <v>33800000</v>
      </c>
      <c r="B813">
        <v>66</v>
      </c>
    </row>
    <row r="814" spans="1:2" x14ac:dyDescent="0.3">
      <c r="A814">
        <v>47900000</v>
      </c>
      <c r="B814">
        <v>65</v>
      </c>
    </row>
    <row r="815" spans="1:2" x14ac:dyDescent="0.3">
      <c r="A815">
        <v>31200000</v>
      </c>
      <c r="B815">
        <v>65</v>
      </c>
    </row>
    <row r="816" spans="1:2" x14ac:dyDescent="0.3">
      <c r="A816">
        <v>14000000</v>
      </c>
      <c r="B816">
        <v>62</v>
      </c>
    </row>
    <row r="817" spans="1:2" x14ac:dyDescent="0.3">
      <c r="A817">
        <v>12300000</v>
      </c>
      <c r="B817">
        <v>62</v>
      </c>
    </row>
    <row r="818" spans="1:2" x14ac:dyDescent="0.3">
      <c r="A818">
        <v>12500000</v>
      </c>
      <c r="B818">
        <v>61</v>
      </c>
    </row>
    <row r="819" spans="1:2" x14ac:dyDescent="0.3">
      <c r="A819">
        <v>17700000</v>
      </c>
      <c r="B819">
        <v>60</v>
      </c>
    </row>
    <row r="820" spans="1:2" x14ac:dyDescent="0.3">
      <c r="A820">
        <v>14200000</v>
      </c>
      <c r="B820">
        <v>60</v>
      </c>
    </row>
    <row r="821" spans="1:2" x14ac:dyDescent="0.3">
      <c r="A821">
        <v>22400000</v>
      </c>
      <c r="B821">
        <v>58</v>
      </c>
    </row>
    <row r="822" spans="1:2" x14ac:dyDescent="0.3">
      <c r="A822">
        <v>16300000</v>
      </c>
      <c r="B822">
        <v>54</v>
      </c>
    </row>
    <row r="823" spans="1:2" x14ac:dyDescent="0.3">
      <c r="A823">
        <v>15100000</v>
      </c>
      <c r="B823">
        <v>52</v>
      </c>
    </row>
    <row r="824" spans="1:2" x14ac:dyDescent="0.3">
      <c r="A824">
        <v>21500000</v>
      </c>
      <c r="B824">
        <v>51</v>
      </c>
    </row>
    <row r="825" spans="1:2" x14ac:dyDescent="0.3">
      <c r="A825">
        <v>12700000</v>
      </c>
      <c r="B825">
        <v>50</v>
      </c>
    </row>
    <row r="826" spans="1:2" x14ac:dyDescent="0.3">
      <c r="A826">
        <v>18000000</v>
      </c>
      <c r="B826">
        <v>45</v>
      </c>
    </row>
    <row r="827" spans="1:2" x14ac:dyDescent="0.3">
      <c r="A827">
        <v>14100000</v>
      </c>
      <c r="B827">
        <v>43</v>
      </c>
    </row>
    <row r="828" spans="1:2" x14ac:dyDescent="0.3">
      <c r="A828">
        <v>29000000</v>
      </c>
      <c r="B828">
        <v>42</v>
      </c>
    </row>
    <row r="829" spans="1:2" x14ac:dyDescent="0.3">
      <c r="A829">
        <v>25700000</v>
      </c>
      <c r="B829">
        <v>42</v>
      </c>
    </row>
    <row r="830" spans="1:2" x14ac:dyDescent="0.3">
      <c r="A830">
        <v>16800000</v>
      </c>
      <c r="B830">
        <v>41</v>
      </c>
    </row>
    <row r="831" spans="1:2" x14ac:dyDescent="0.3">
      <c r="A831">
        <v>16100000</v>
      </c>
      <c r="B831">
        <v>41</v>
      </c>
    </row>
    <row r="832" spans="1:2" x14ac:dyDescent="0.3">
      <c r="A832">
        <v>14500000</v>
      </c>
      <c r="B832">
        <v>39</v>
      </c>
    </row>
    <row r="833" spans="1:2" x14ac:dyDescent="0.3">
      <c r="A833">
        <v>12900000</v>
      </c>
      <c r="B833">
        <v>39</v>
      </c>
    </row>
    <row r="834" spans="1:2" x14ac:dyDescent="0.3">
      <c r="A834">
        <v>12300000</v>
      </c>
      <c r="B834">
        <v>39</v>
      </c>
    </row>
    <row r="835" spans="1:2" x14ac:dyDescent="0.3">
      <c r="A835">
        <v>19100000</v>
      </c>
      <c r="B835">
        <v>37</v>
      </c>
    </row>
    <row r="836" spans="1:2" x14ac:dyDescent="0.3">
      <c r="A836">
        <v>24100000</v>
      </c>
      <c r="B836">
        <v>36</v>
      </c>
    </row>
    <row r="837" spans="1:2" x14ac:dyDescent="0.3">
      <c r="A837">
        <v>22300000</v>
      </c>
      <c r="B837">
        <v>34</v>
      </c>
    </row>
    <row r="838" spans="1:2" x14ac:dyDescent="0.3">
      <c r="A838">
        <v>14800000</v>
      </c>
      <c r="B838">
        <v>34</v>
      </c>
    </row>
    <row r="839" spans="1:2" x14ac:dyDescent="0.3">
      <c r="A839">
        <v>13100000</v>
      </c>
      <c r="B839">
        <v>33</v>
      </c>
    </row>
    <row r="840" spans="1:2" x14ac:dyDescent="0.3">
      <c r="A840">
        <v>13000000</v>
      </c>
      <c r="B840">
        <v>29</v>
      </c>
    </row>
    <row r="841" spans="1:2" x14ac:dyDescent="0.3">
      <c r="A841">
        <v>27500000</v>
      </c>
      <c r="B841">
        <v>27</v>
      </c>
    </row>
    <row r="842" spans="1:2" x14ac:dyDescent="0.3">
      <c r="A842">
        <v>17800000</v>
      </c>
      <c r="B842">
        <v>26</v>
      </c>
    </row>
    <row r="843" spans="1:2" x14ac:dyDescent="0.3">
      <c r="A843">
        <v>13000000</v>
      </c>
      <c r="B843">
        <v>22</v>
      </c>
    </row>
    <row r="844" spans="1:2" x14ac:dyDescent="0.3">
      <c r="A844">
        <v>15400000</v>
      </c>
      <c r="B844">
        <v>21</v>
      </c>
    </row>
    <row r="845" spans="1:2" x14ac:dyDescent="0.3">
      <c r="A845">
        <v>13500000</v>
      </c>
      <c r="B845">
        <v>19</v>
      </c>
    </row>
    <row r="846" spans="1:2" x14ac:dyDescent="0.3">
      <c r="A846">
        <v>15100000</v>
      </c>
      <c r="B846">
        <v>18</v>
      </c>
    </row>
    <row r="847" spans="1:2" x14ac:dyDescent="0.3">
      <c r="A847">
        <v>24300000</v>
      </c>
      <c r="B847">
        <v>17</v>
      </c>
    </row>
    <row r="848" spans="1:2" x14ac:dyDescent="0.3">
      <c r="A848">
        <v>21500000</v>
      </c>
      <c r="B848">
        <v>17</v>
      </c>
    </row>
    <row r="849" spans="1:2" x14ac:dyDescent="0.3">
      <c r="A849">
        <v>19600000</v>
      </c>
      <c r="B849">
        <v>17</v>
      </c>
    </row>
    <row r="850" spans="1:2" x14ac:dyDescent="0.3">
      <c r="A850">
        <v>18700000</v>
      </c>
      <c r="B850">
        <v>16</v>
      </c>
    </row>
    <row r="851" spans="1:2" x14ac:dyDescent="0.3">
      <c r="A851">
        <v>13800000</v>
      </c>
      <c r="B851">
        <v>16</v>
      </c>
    </row>
    <row r="852" spans="1:2" x14ac:dyDescent="0.3">
      <c r="A852">
        <v>30200000</v>
      </c>
      <c r="B852">
        <v>15</v>
      </c>
    </row>
    <row r="853" spans="1:2" x14ac:dyDescent="0.3">
      <c r="A853">
        <v>28200000</v>
      </c>
      <c r="B853">
        <v>15</v>
      </c>
    </row>
    <row r="854" spans="1:2" x14ac:dyDescent="0.3">
      <c r="A854">
        <v>20600000</v>
      </c>
      <c r="B854">
        <v>15</v>
      </c>
    </row>
    <row r="855" spans="1:2" x14ac:dyDescent="0.3">
      <c r="A855">
        <v>29300000</v>
      </c>
      <c r="B855">
        <v>14</v>
      </c>
    </row>
    <row r="856" spans="1:2" x14ac:dyDescent="0.3">
      <c r="A856">
        <v>61000000</v>
      </c>
      <c r="B856">
        <v>13</v>
      </c>
    </row>
    <row r="857" spans="1:2" x14ac:dyDescent="0.3">
      <c r="A857">
        <v>16700000</v>
      </c>
      <c r="B857">
        <v>13</v>
      </c>
    </row>
    <row r="858" spans="1:2" x14ac:dyDescent="0.3">
      <c r="A858">
        <v>25200000</v>
      </c>
      <c r="B858">
        <v>12</v>
      </c>
    </row>
    <row r="859" spans="1:2" x14ac:dyDescent="0.3">
      <c r="A859">
        <v>13100000</v>
      </c>
      <c r="B859">
        <v>12</v>
      </c>
    </row>
    <row r="860" spans="1:2" x14ac:dyDescent="0.3">
      <c r="A860">
        <v>54000000</v>
      </c>
      <c r="B860">
        <v>11</v>
      </c>
    </row>
    <row r="861" spans="1:2" x14ac:dyDescent="0.3">
      <c r="A861">
        <v>38200000</v>
      </c>
      <c r="B861">
        <v>11</v>
      </c>
    </row>
    <row r="862" spans="1:2" x14ac:dyDescent="0.3">
      <c r="A862">
        <v>16200000</v>
      </c>
      <c r="B862">
        <v>10</v>
      </c>
    </row>
    <row r="863" spans="1:2" x14ac:dyDescent="0.3">
      <c r="A863">
        <v>18800000</v>
      </c>
      <c r="B863">
        <v>9</v>
      </c>
    </row>
    <row r="864" spans="1:2" x14ac:dyDescent="0.3">
      <c r="A864">
        <v>12400000</v>
      </c>
      <c r="B864">
        <v>9</v>
      </c>
    </row>
    <row r="865" spans="1:2" x14ac:dyDescent="0.3">
      <c r="A865">
        <v>43700000</v>
      </c>
      <c r="B865">
        <v>8</v>
      </c>
    </row>
    <row r="866" spans="1:2" x14ac:dyDescent="0.3">
      <c r="A866">
        <v>14200000</v>
      </c>
      <c r="B866">
        <v>8</v>
      </c>
    </row>
    <row r="867" spans="1:2" x14ac:dyDescent="0.3">
      <c r="A867">
        <v>13000000</v>
      </c>
      <c r="B867">
        <v>8</v>
      </c>
    </row>
    <row r="868" spans="1:2" x14ac:dyDescent="0.3">
      <c r="A868">
        <v>12500000</v>
      </c>
      <c r="B868">
        <v>8</v>
      </c>
    </row>
    <row r="869" spans="1:2" x14ac:dyDescent="0.3">
      <c r="A869">
        <v>13100000</v>
      </c>
      <c r="B869">
        <v>7</v>
      </c>
    </row>
    <row r="870" spans="1:2" x14ac:dyDescent="0.3">
      <c r="A870">
        <v>43600000</v>
      </c>
      <c r="B870">
        <v>6</v>
      </c>
    </row>
    <row r="871" spans="1:2" x14ac:dyDescent="0.3">
      <c r="A871">
        <v>28300000</v>
      </c>
      <c r="B871">
        <v>6</v>
      </c>
    </row>
    <row r="872" spans="1:2" x14ac:dyDescent="0.3">
      <c r="A872">
        <v>21500000</v>
      </c>
      <c r="B872">
        <v>6</v>
      </c>
    </row>
    <row r="873" spans="1:2" x14ac:dyDescent="0.3">
      <c r="A873">
        <v>20900000</v>
      </c>
      <c r="B873">
        <v>6</v>
      </c>
    </row>
    <row r="874" spans="1:2" x14ac:dyDescent="0.3">
      <c r="A874">
        <v>20700000</v>
      </c>
      <c r="B874">
        <v>6</v>
      </c>
    </row>
    <row r="875" spans="1:2" x14ac:dyDescent="0.3">
      <c r="A875">
        <v>13900000</v>
      </c>
      <c r="B875">
        <v>6</v>
      </c>
    </row>
    <row r="876" spans="1:2" x14ac:dyDescent="0.3">
      <c r="A876">
        <v>36100000</v>
      </c>
      <c r="B876">
        <v>5</v>
      </c>
    </row>
    <row r="877" spans="1:2" x14ac:dyDescent="0.3">
      <c r="A877">
        <v>25500000</v>
      </c>
      <c r="B877">
        <v>5</v>
      </c>
    </row>
    <row r="878" spans="1:2" x14ac:dyDescent="0.3">
      <c r="A878">
        <v>40300000</v>
      </c>
      <c r="B878">
        <v>4</v>
      </c>
    </row>
    <row r="879" spans="1:2" x14ac:dyDescent="0.3">
      <c r="A879">
        <v>25200000</v>
      </c>
      <c r="B879">
        <v>4</v>
      </c>
    </row>
    <row r="880" spans="1:2" x14ac:dyDescent="0.3">
      <c r="A880">
        <v>75000000</v>
      </c>
      <c r="B880">
        <v>3</v>
      </c>
    </row>
    <row r="881" spans="1:2" x14ac:dyDescent="0.3">
      <c r="A881">
        <v>29300000</v>
      </c>
      <c r="B881">
        <v>3</v>
      </c>
    </row>
    <row r="882" spans="1:2" x14ac:dyDescent="0.3">
      <c r="A882">
        <v>28100000</v>
      </c>
      <c r="B882">
        <v>3</v>
      </c>
    </row>
    <row r="883" spans="1:2" x14ac:dyDescent="0.3">
      <c r="A883">
        <v>24000000</v>
      </c>
      <c r="B883">
        <v>3</v>
      </c>
    </row>
    <row r="884" spans="1:2" x14ac:dyDescent="0.3">
      <c r="A884">
        <v>16700000</v>
      </c>
      <c r="B884">
        <v>3</v>
      </c>
    </row>
    <row r="885" spans="1:2" x14ac:dyDescent="0.3">
      <c r="A885">
        <v>14100000</v>
      </c>
      <c r="B885">
        <v>3</v>
      </c>
    </row>
    <row r="886" spans="1:2" x14ac:dyDescent="0.3">
      <c r="A886">
        <v>14000000</v>
      </c>
      <c r="B886">
        <v>3</v>
      </c>
    </row>
    <row r="887" spans="1:2" x14ac:dyDescent="0.3">
      <c r="A887">
        <v>13300000</v>
      </c>
      <c r="B887">
        <v>3</v>
      </c>
    </row>
    <row r="888" spans="1:2" x14ac:dyDescent="0.3">
      <c r="A888">
        <v>33700000</v>
      </c>
      <c r="B888">
        <v>2</v>
      </c>
    </row>
    <row r="889" spans="1:2" x14ac:dyDescent="0.3">
      <c r="A889">
        <v>32200000</v>
      </c>
      <c r="B889">
        <v>2</v>
      </c>
    </row>
    <row r="890" spans="1:2" x14ac:dyDescent="0.3">
      <c r="A890">
        <v>30200000</v>
      </c>
      <c r="B890">
        <v>2</v>
      </c>
    </row>
    <row r="891" spans="1:2" x14ac:dyDescent="0.3">
      <c r="A891">
        <v>27100000</v>
      </c>
      <c r="B891">
        <v>2</v>
      </c>
    </row>
    <row r="892" spans="1:2" x14ac:dyDescent="0.3">
      <c r="A892">
        <v>18800000</v>
      </c>
      <c r="B892">
        <v>2</v>
      </c>
    </row>
    <row r="893" spans="1:2" x14ac:dyDescent="0.3">
      <c r="A893">
        <v>18700000</v>
      </c>
      <c r="B893">
        <v>2</v>
      </c>
    </row>
    <row r="894" spans="1:2" x14ac:dyDescent="0.3">
      <c r="A894">
        <v>17900000</v>
      </c>
      <c r="B894">
        <v>2</v>
      </c>
    </row>
    <row r="895" spans="1:2" x14ac:dyDescent="0.3">
      <c r="A895">
        <v>16200000</v>
      </c>
      <c r="B895">
        <v>2</v>
      </c>
    </row>
    <row r="896" spans="1:2" x14ac:dyDescent="0.3">
      <c r="A896">
        <v>14400000</v>
      </c>
      <c r="B896">
        <v>2</v>
      </c>
    </row>
    <row r="897" spans="1:2" x14ac:dyDescent="0.3">
      <c r="A897">
        <v>170000000</v>
      </c>
      <c r="B897">
        <v>1</v>
      </c>
    </row>
    <row r="898" spans="1:2" x14ac:dyDescent="0.3">
      <c r="A898">
        <v>86900000</v>
      </c>
      <c r="B898">
        <v>1</v>
      </c>
    </row>
    <row r="899" spans="1:2" x14ac:dyDescent="0.3">
      <c r="A899">
        <v>80100000</v>
      </c>
      <c r="B899">
        <v>1</v>
      </c>
    </row>
    <row r="900" spans="1:2" x14ac:dyDescent="0.3">
      <c r="A900">
        <v>46800000</v>
      </c>
      <c r="B900">
        <v>1</v>
      </c>
    </row>
    <row r="901" spans="1:2" x14ac:dyDescent="0.3">
      <c r="A901">
        <v>46300000</v>
      </c>
      <c r="B901">
        <v>1</v>
      </c>
    </row>
    <row r="902" spans="1:2" x14ac:dyDescent="0.3">
      <c r="A902">
        <v>46100000</v>
      </c>
      <c r="B902">
        <v>1</v>
      </c>
    </row>
    <row r="903" spans="1:2" x14ac:dyDescent="0.3">
      <c r="A903">
        <v>39400000</v>
      </c>
      <c r="B903">
        <v>1</v>
      </c>
    </row>
    <row r="904" spans="1:2" x14ac:dyDescent="0.3">
      <c r="A904">
        <v>35400000</v>
      </c>
      <c r="B904">
        <v>1</v>
      </c>
    </row>
    <row r="905" spans="1:2" x14ac:dyDescent="0.3">
      <c r="A905">
        <v>34400000</v>
      </c>
      <c r="B905">
        <v>1</v>
      </c>
    </row>
    <row r="906" spans="1:2" x14ac:dyDescent="0.3">
      <c r="A906">
        <v>26000000</v>
      </c>
      <c r="B906">
        <v>1</v>
      </c>
    </row>
    <row r="907" spans="1:2" x14ac:dyDescent="0.3">
      <c r="A907">
        <v>23200000</v>
      </c>
      <c r="B907">
        <v>1</v>
      </c>
    </row>
    <row r="908" spans="1:2" x14ac:dyDescent="0.3">
      <c r="A908">
        <v>21800000</v>
      </c>
      <c r="B908">
        <v>1</v>
      </c>
    </row>
    <row r="909" spans="1:2" x14ac:dyDescent="0.3">
      <c r="A909">
        <v>21200000</v>
      </c>
      <c r="B909">
        <v>1</v>
      </c>
    </row>
    <row r="910" spans="1:2" x14ac:dyDescent="0.3">
      <c r="A910">
        <v>20100000</v>
      </c>
      <c r="B910">
        <v>1</v>
      </c>
    </row>
    <row r="911" spans="1:2" x14ac:dyDescent="0.3">
      <c r="A911">
        <v>20000000</v>
      </c>
      <c r="B911">
        <v>1</v>
      </c>
    </row>
    <row r="912" spans="1:2" x14ac:dyDescent="0.3">
      <c r="A912">
        <v>19700000</v>
      </c>
      <c r="B912">
        <v>1</v>
      </c>
    </row>
    <row r="913" spans="1:2" x14ac:dyDescent="0.3">
      <c r="A913">
        <v>17000000</v>
      </c>
      <c r="B913">
        <v>1</v>
      </c>
    </row>
    <row r="914" spans="1:2" x14ac:dyDescent="0.3">
      <c r="A914">
        <v>16800000</v>
      </c>
      <c r="B914">
        <v>1</v>
      </c>
    </row>
    <row r="915" spans="1:2" x14ac:dyDescent="0.3">
      <c r="A915">
        <v>16400000</v>
      </c>
      <c r="B915">
        <v>1</v>
      </c>
    </row>
    <row r="916" spans="1:2" x14ac:dyDescent="0.3">
      <c r="A916">
        <v>16400000</v>
      </c>
      <c r="B916">
        <v>1</v>
      </c>
    </row>
    <row r="917" spans="1:2" x14ac:dyDescent="0.3">
      <c r="A917">
        <v>15100000</v>
      </c>
      <c r="B917">
        <v>1</v>
      </c>
    </row>
    <row r="918" spans="1:2" x14ac:dyDescent="0.3">
      <c r="A918">
        <v>14300000</v>
      </c>
      <c r="B918">
        <v>1</v>
      </c>
    </row>
    <row r="919" spans="1:2" x14ac:dyDescent="0.3">
      <c r="A919">
        <v>13700000</v>
      </c>
      <c r="B919">
        <v>1</v>
      </c>
    </row>
    <row r="920" spans="1:2" x14ac:dyDescent="0.3">
      <c r="A920">
        <v>12700000</v>
      </c>
      <c r="B920">
        <v>1</v>
      </c>
    </row>
    <row r="921" spans="1:2" x14ac:dyDescent="0.3">
      <c r="A921">
        <v>12400000</v>
      </c>
      <c r="B921">
        <v>1</v>
      </c>
    </row>
    <row r="922" spans="1:2" x14ac:dyDescent="0.3">
      <c r="A922">
        <v>119000000</v>
      </c>
      <c r="B922">
        <v>0</v>
      </c>
    </row>
    <row r="923" spans="1:2" x14ac:dyDescent="0.3">
      <c r="A923">
        <v>93600000</v>
      </c>
      <c r="B923">
        <v>0</v>
      </c>
    </row>
    <row r="924" spans="1:2" x14ac:dyDescent="0.3">
      <c r="A924">
        <v>44500000</v>
      </c>
      <c r="B924">
        <v>0</v>
      </c>
    </row>
    <row r="925" spans="1:2" x14ac:dyDescent="0.3">
      <c r="A925">
        <v>40600000</v>
      </c>
      <c r="B925">
        <v>0</v>
      </c>
    </row>
    <row r="926" spans="1:2" x14ac:dyDescent="0.3">
      <c r="A926">
        <v>36300000</v>
      </c>
      <c r="B926">
        <v>0</v>
      </c>
    </row>
    <row r="927" spans="1:2" x14ac:dyDescent="0.3">
      <c r="A927">
        <v>34600000</v>
      </c>
      <c r="B927">
        <v>0</v>
      </c>
    </row>
    <row r="928" spans="1:2" x14ac:dyDescent="0.3">
      <c r="A928">
        <v>31400000</v>
      </c>
      <c r="B928">
        <v>0</v>
      </c>
    </row>
    <row r="929" spans="1:2" x14ac:dyDescent="0.3">
      <c r="A929">
        <v>30100000</v>
      </c>
      <c r="B929">
        <v>0</v>
      </c>
    </row>
    <row r="930" spans="1:2" x14ac:dyDescent="0.3">
      <c r="A930">
        <v>28500000</v>
      </c>
      <c r="B930">
        <v>0</v>
      </c>
    </row>
    <row r="931" spans="1:2" x14ac:dyDescent="0.3">
      <c r="A931">
        <v>27800000</v>
      </c>
      <c r="B931">
        <v>0</v>
      </c>
    </row>
    <row r="932" spans="1:2" x14ac:dyDescent="0.3">
      <c r="A932">
        <v>26100000</v>
      </c>
      <c r="B932">
        <v>0</v>
      </c>
    </row>
    <row r="933" spans="1:2" x14ac:dyDescent="0.3">
      <c r="A933">
        <v>25600000</v>
      </c>
      <c r="B933">
        <v>0</v>
      </c>
    </row>
    <row r="934" spans="1:2" x14ac:dyDescent="0.3">
      <c r="A934">
        <v>23700000</v>
      </c>
      <c r="B934">
        <v>0</v>
      </c>
    </row>
    <row r="935" spans="1:2" x14ac:dyDescent="0.3">
      <c r="A935">
        <v>22900000</v>
      </c>
      <c r="B935">
        <v>0</v>
      </c>
    </row>
    <row r="936" spans="1:2" x14ac:dyDescent="0.3">
      <c r="A936">
        <v>21400000</v>
      </c>
      <c r="B936">
        <v>0</v>
      </c>
    </row>
    <row r="937" spans="1:2" x14ac:dyDescent="0.3">
      <c r="A937">
        <v>20900000</v>
      </c>
      <c r="B937">
        <v>0</v>
      </c>
    </row>
    <row r="938" spans="1:2" x14ac:dyDescent="0.3">
      <c r="A938">
        <v>20400000</v>
      </c>
      <c r="B938">
        <v>0</v>
      </c>
    </row>
    <row r="939" spans="1:2" x14ac:dyDescent="0.3">
      <c r="A939">
        <v>20200000</v>
      </c>
      <c r="B939">
        <v>0</v>
      </c>
    </row>
    <row r="940" spans="1:2" x14ac:dyDescent="0.3">
      <c r="A940">
        <v>20100000</v>
      </c>
      <c r="B940">
        <v>0</v>
      </c>
    </row>
    <row r="941" spans="1:2" x14ac:dyDescent="0.3">
      <c r="A941">
        <v>18900000</v>
      </c>
      <c r="B941">
        <v>0</v>
      </c>
    </row>
    <row r="942" spans="1:2" x14ac:dyDescent="0.3">
      <c r="A942">
        <v>18400000</v>
      </c>
      <c r="B942">
        <v>0</v>
      </c>
    </row>
    <row r="943" spans="1:2" x14ac:dyDescent="0.3">
      <c r="A943">
        <v>18100000</v>
      </c>
      <c r="B943">
        <v>0</v>
      </c>
    </row>
    <row r="944" spans="1:2" x14ac:dyDescent="0.3">
      <c r="A944">
        <v>16800000</v>
      </c>
      <c r="B944">
        <v>0</v>
      </c>
    </row>
    <row r="945" spans="1:2" x14ac:dyDescent="0.3">
      <c r="A945">
        <v>16600000</v>
      </c>
      <c r="B945">
        <v>0</v>
      </c>
    </row>
    <row r="946" spans="1:2" x14ac:dyDescent="0.3">
      <c r="A946">
        <v>16100000</v>
      </c>
      <c r="B946">
        <v>0</v>
      </c>
    </row>
    <row r="947" spans="1:2" x14ac:dyDescent="0.3">
      <c r="A947">
        <v>16100000</v>
      </c>
      <c r="B947">
        <v>0</v>
      </c>
    </row>
    <row r="948" spans="1:2" x14ac:dyDescent="0.3">
      <c r="A948">
        <v>16000000</v>
      </c>
      <c r="B948">
        <v>0</v>
      </c>
    </row>
    <row r="949" spans="1:2" x14ac:dyDescent="0.3">
      <c r="A949">
        <v>15500000</v>
      </c>
      <c r="B949">
        <v>0</v>
      </c>
    </row>
    <row r="950" spans="1:2" x14ac:dyDescent="0.3">
      <c r="A950">
        <v>15500000</v>
      </c>
      <c r="B950">
        <v>0</v>
      </c>
    </row>
    <row r="951" spans="1:2" x14ac:dyDescent="0.3">
      <c r="A951">
        <v>15000000</v>
      </c>
      <c r="B951">
        <v>0</v>
      </c>
    </row>
    <row r="952" spans="1:2" x14ac:dyDescent="0.3">
      <c r="A952">
        <v>14800000</v>
      </c>
      <c r="B952">
        <v>0</v>
      </c>
    </row>
    <row r="953" spans="1:2" x14ac:dyDescent="0.3">
      <c r="A953">
        <v>14200000</v>
      </c>
      <c r="B953">
        <v>0</v>
      </c>
    </row>
    <row r="954" spans="1:2" x14ac:dyDescent="0.3">
      <c r="A954">
        <v>13400000</v>
      </c>
      <c r="B954">
        <v>0</v>
      </c>
    </row>
    <row r="955" spans="1:2" x14ac:dyDescent="0.3">
      <c r="A955">
        <v>13200000</v>
      </c>
      <c r="B955">
        <v>0</v>
      </c>
    </row>
    <row r="956" spans="1:2" x14ac:dyDescent="0.3">
      <c r="A956">
        <v>12500000</v>
      </c>
      <c r="B956">
        <v>0</v>
      </c>
    </row>
    <row r="957" spans="1:2" x14ac:dyDescent="0.3">
      <c r="A957">
        <v>12400000</v>
      </c>
      <c r="B957">
        <v>0</v>
      </c>
    </row>
    <row r="958" spans="1:2" x14ac:dyDescent="0.3">
      <c r="A958">
        <v>12400000</v>
      </c>
      <c r="B958">
        <v>0</v>
      </c>
    </row>
  </sheetData>
  <autoFilter ref="A1:B958" xr:uid="{F1E64494-A91F-4A9D-91A6-51486369B780}">
    <sortState xmlns:xlrd2="http://schemas.microsoft.com/office/spreadsheetml/2017/richdata2" ref="A2:B958">
      <sortCondition descending="1" ref="B1:B958"/>
    </sortState>
  </autoFilter>
  <sortState xmlns:xlrd2="http://schemas.microsoft.com/office/spreadsheetml/2017/richdata2" ref="L17:M22">
    <sortCondition descending="1" ref="M17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6CD2-47F7-4861-853B-4D7B043910E1}">
  <dimension ref="A1:E839"/>
  <sheetViews>
    <sheetView workbookViewId="0">
      <selection activeCell="E19" sqref="E19"/>
    </sheetView>
  </sheetViews>
  <sheetFormatPr defaultRowHeight="14.4" x14ac:dyDescent="0.3"/>
  <cols>
    <col min="1" max="2" width="12.109375" customWidth="1"/>
    <col min="4" max="4" width="16.21875" customWidth="1"/>
    <col min="5" max="5" width="18.21875" customWidth="1"/>
  </cols>
  <sheetData>
    <row r="1" spans="1:5" x14ac:dyDescent="0.3">
      <c r="A1" s="3" t="s">
        <v>972</v>
      </c>
      <c r="B1" s="3"/>
    </row>
    <row r="2" spans="1:5" x14ac:dyDescent="0.3">
      <c r="A2">
        <v>202506</v>
      </c>
    </row>
    <row r="3" spans="1:5" x14ac:dyDescent="0.3">
      <c r="A3">
        <v>287025</v>
      </c>
    </row>
    <row r="4" spans="1:5" x14ac:dyDescent="0.3">
      <c r="A4">
        <v>1912789</v>
      </c>
      <c r="D4" t="s">
        <v>1341</v>
      </c>
      <c r="E4">
        <f>QUARTILE(A:A,1)</f>
        <v>108116615</v>
      </c>
    </row>
    <row r="5" spans="1:5" x14ac:dyDescent="0.3">
      <c r="A5">
        <v>4207083</v>
      </c>
      <c r="D5" t="s">
        <v>1342</v>
      </c>
      <c r="E5">
        <f>QUARTILE(A:A,3)</f>
        <v>328239523</v>
      </c>
    </row>
    <row r="6" spans="1:5" x14ac:dyDescent="0.3">
      <c r="A6">
        <v>5520314</v>
      </c>
      <c r="D6" t="s">
        <v>1343</v>
      </c>
      <c r="E6">
        <f>E5-E4</f>
        <v>220122908</v>
      </c>
    </row>
    <row r="7" spans="1:5" x14ac:dyDescent="0.3">
      <c r="A7">
        <v>5703569</v>
      </c>
    </row>
    <row r="8" spans="1:5" x14ac:dyDescent="0.3">
      <c r="A8">
        <v>5703569</v>
      </c>
      <c r="D8" t="s">
        <v>1345</v>
      </c>
      <c r="E8">
        <v>202506</v>
      </c>
    </row>
    <row r="9" spans="1:5" x14ac:dyDescent="0.3">
      <c r="A9">
        <v>5703569</v>
      </c>
      <c r="D9" t="s">
        <v>1344</v>
      </c>
      <c r="E9">
        <v>1366417754</v>
      </c>
    </row>
    <row r="10" spans="1:5" x14ac:dyDescent="0.3">
      <c r="A10">
        <v>6453553</v>
      </c>
    </row>
    <row r="11" spans="1:5" x14ac:dyDescent="0.3">
      <c r="A11">
        <v>8574832</v>
      </c>
    </row>
    <row r="12" spans="1:5" x14ac:dyDescent="0.3">
      <c r="A12">
        <v>9770529</v>
      </c>
    </row>
    <row r="13" spans="1:5" x14ac:dyDescent="0.3">
      <c r="A13">
        <v>9770529</v>
      </c>
    </row>
    <row r="14" spans="1:5" x14ac:dyDescent="0.3">
      <c r="A14">
        <v>9770529</v>
      </c>
    </row>
    <row r="15" spans="1:5" x14ac:dyDescent="0.3">
      <c r="A15">
        <v>9770529</v>
      </c>
    </row>
    <row r="16" spans="1:5" x14ac:dyDescent="0.3">
      <c r="A16">
        <v>9770529</v>
      </c>
    </row>
    <row r="17" spans="1:1" x14ac:dyDescent="0.3">
      <c r="A17">
        <v>9770529</v>
      </c>
    </row>
    <row r="18" spans="1:1" x14ac:dyDescent="0.3">
      <c r="A18">
        <v>9770529</v>
      </c>
    </row>
    <row r="19" spans="1:1" x14ac:dyDescent="0.3">
      <c r="A19">
        <v>10101694</v>
      </c>
    </row>
    <row r="20" spans="1:1" x14ac:dyDescent="0.3">
      <c r="A20">
        <v>10101694</v>
      </c>
    </row>
    <row r="21" spans="1:1" x14ac:dyDescent="0.3">
      <c r="A21">
        <v>10285453</v>
      </c>
    </row>
    <row r="22" spans="1:1" x14ac:dyDescent="0.3">
      <c r="A22">
        <v>10285453</v>
      </c>
    </row>
    <row r="23" spans="1:1" x14ac:dyDescent="0.3">
      <c r="A23">
        <v>10285453</v>
      </c>
    </row>
    <row r="24" spans="1:1" x14ac:dyDescent="0.3">
      <c r="A24">
        <v>10285453</v>
      </c>
    </row>
    <row r="25" spans="1:1" x14ac:dyDescent="0.3">
      <c r="A25">
        <v>11333483</v>
      </c>
    </row>
    <row r="26" spans="1:1" x14ac:dyDescent="0.3">
      <c r="A26">
        <v>17332850</v>
      </c>
    </row>
    <row r="27" spans="1:1" x14ac:dyDescent="0.3">
      <c r="A27">
        <v>17332850</v>
      </c>
    </row>
    <row r="28" spans="1:1" x14ac:dyDescent="0.3">
      <c r="A28">
        <v>17373662</v>
      </c>
    </row>
    <row r="29" spans="1:1" x14ac:dyDescent="0.3">
      <c r="A29">
        <v>17373662</v>
      </c>
    </row>
    <row r="30" spans="1:1" x14ac:dyDescent="0.3">
      <c r="A30">
        <v>18952038</v>
      </c>
    </row>
    <row r="31" spans="1:1" x14ac:dyDescent="0.3">
      <c r="A31">
        <v>18952038</v>
      </c>
    </row>
    <row r="32" spans="1:1" x14ac:dyDescent="0.3">
      <c r="A32">
        <v>18952038</v>
      </c>
    </row>
    <row r="33" spans="1:1" x14ac:dyDescent="0.3">
      <c r="A33">
        <v>25766605</v>
      </c>
    </row>
    <row r="34" spans="1:1" x14ac:dyDescent="0.3">
      <c r="A34">
        <v>25766605</v>
      </c>
    </row>
    <row r="35" spans="1:1" x14ac:dyDescent="0.3">
      <c r="A35">
        <v>25766605</v>
      </c>
    </row>
    <row r="36" spans="1:1" x14ac:dyDescent="0.3">
      <c r="A36">
        <v>25766605</v>
      </c>
    </row>
    <row r="37" spans="1:1" x14ac:dyDescent="0.3">
      <c r="A37">
        <v>25766605</v>
      </c>
    </row>
    <row r="38" spans="1:1" x14ac:dyDescent="0.3">
      <c r="A38">
        <v>25766605</v>
      </c>
    </row>
    <row r="39" spans="1:1" x14ac:dyDescent="0.3">
      <c r="A39">
        <v>25766605</v>
      </c>
    </row>
    <row r="40" spans="1:1" x14ac:dyDescent="0.3">
      <c r="A40">
        <v>25766605</v>
      </c>
    </row>
    <row r="41" spans="1:1" x14ac:dyDescent="0.3">
      <c r="A41">
        <v>28515829</v>
      </c>
    </row>
    <row r="42" spans="1:1" x14ac:dyDescent="0.3">
      <c r="A42">
        <v>32447385</v>
      </c>
    </row>
    <row r="43" spans="1:1" x14ac:dyDescent="0.3">
      <c r="A43">
        <v>32510453</v>
      </c>
    </row>
    <row r="44" spans="1:1" x14ac:dyDescent="0.3">
      <c r="A44">
        <v>34268528</v>
      </c>
    </row>
    <row r="45" spans="1:1" x14ac:dyDescent="0.3">
      <c r="A45">
        <v>34268528</v>
      </c>
    </row>
    <row r="46" spans="1:1" x14ac:dyDescent="0.3">
      <c r="A46">
        <v>34268528</v>
      </c>
    </row>
    <row r="47" spans="1:1" x14ac:dyDescent="0.3">
      <c r="A47">
        <v>34268528</v>
      </c>
    </row>
    <row r="48" spans="1:1" x14ac:dyDescent="0.3">
      <c r="A48">
        <v>36910560</v>
      </c>
    </row>
    <row r="49" spans="1:1" x14ac:dyDescent="0.3">
      <c r="A49">
        <v>36991981</v>
      </c>
    </row>
    <row r="50" spans="1:1" x14ac:dyDescent="0.3">
      <c r="A50">
        <v>36991981</v>
      </c>
    </row>
    <row r="51" spans="1:1" x14ac:dyDescent="0.3">
      <c r="A51">
        <v>36991981</v>
      </c>
    </row>
    <row r="52" spans="1:1" x14ac:dyDescent="0.3">
      <c r="A52">
        <v>36991981</v>
      </c>
    </row>
    <row r="53" spans="1:1" x14ac:dyDescent="0.3">
      <c r="A53">
        <v>36991981</v>
      </c>
    </row>
    <row r="54" spans="1:1" x14ac:dyDescent="0.3">
      <c r="A54">
        <v>36991981</v>
      </c>
    </row>
    <row r="55" spans="1:1" x14ac:dyDescent="0.3">
      <c r="A55">
        <v>36991981</v>
      </c>
    </row>
    <row r="56" spans="1:1" x14ac:dyDescent="0.3">
      <c r="A56">
        <v>36991981</v>
      </c>
    </row>
    <row r="57" spans="1:1" x14ac:dyDescent="0.3">
      <c r="A57">
        <v>36991981</v>
      </c>
    </row>
    <row r="58" spans="1:1" x14ac:dyDescent="0.3">
      <c r="A58">
        <v>36991981</v>
      </c>
    </row>
    <row r="59" spans="1:1" x14ac:dyDescent="0.3">
      <c r="A59">
        <v>36991981</v>
      </c>
    </row>
    <row r="60" spans="1:1" x14ac:dyDescent="0.3">
      <c r="A60">
        <v>36991981</v>
      </c>
    </row>
    <row r="61" spans="1:1" x14ac:dyDescent="0.3">
      <c r="A61">
        <v>36991981</v>
      </c>
    </row>
    <row r="62" spans="1:1" x14ac:dyDescent="0.3">
      <c r="A62">
        <v>36991981</v>
      </c>
    </row>
    <row r="63" spans="1:1" x14ac:dyDescent="0.3">
      <c r="A63">
        <v>36991981</v>
      </c>
    </row>
    <row r="64" spans="1:1" x14ac:dyDescent="0.3">
      <c r="A64">
        <v>38041754</v>
      </c>
    </row>
    <row r="65" spans="1:1" x14ac:dyDescent="0.3">
      <c r="A65">
        <v>39309783</v>
      </c>
    </row>
    <row r="66" spans="1:1" x14ac:dyDescent="0.3">
      <c r="A66">
        <v>44385155</v>
      </c>
    </row>
    <row r="67" spans="1:1" x14ac:dyDescent="0.3">
      <c r="A67">
        <v>44385155</v>
      </c>
    </row>
    <row r="68" spans="1:1" x14ac:dyDescent="0.3">
      <c r="A68">
        <v>44385155</v>
      </c>
    </row>
    <row r="69" spans="1:1" x14ac:dyDescent="0.3">
      <c r="A69">
        <v>44385155</v>
      </c>
    </row>
    <row r="70" spans="1:1" x14ac:dyDescent="0.3">
      <c r="A70">
        <v>44385155</v>
      </c>
    </row>
    <row r="71" spans="1:1" x14ac:dyDescent="0.3">
      <c r="A71">
        <v>44938712</v>
      </c>
    </row>
    <row r="72" spans="1:1" x14ac:dyDescent="0.3">
      <c r="A72">
        <v>44938712</v>
      </c>
    </row>
    <row r="73" spans="1:1" x14ac:dyDescent="0.3">
      <c r="A73">
        <v>44938712</v>
      </c>
    </row>
    <row r="74" spans="1:1" x14ac:dyDescent="0.3">
      <c r="A74">
        <v>44938712</v>
      </c>
    </row>
    <row r="75" spans="1:1" x14ac:dyDescent="0.3">
      <c r="A75">
        <v>44938712</v>
      </c>
    </row>
    <row r="76" spans="1:1" x14ac:dyDescent="0.3">
      <c r="A76">
        <v>44938712</v>
      </c>
    </row>
    <row r="77" spans="1:1" x14ac:dyDescent="0.3">
      <c r="A77">
        <v>44938712</v>
      </c>
    </row>
    <row r="78" spans="1:1" x14ac:dyDescent="0.3">
      <c r="A78">
        <v>44938712</v>
      </c>
    </row>
    <row r="79" spans="1:1" x14ac:dyDescent="0.3">
      <c r="A79">
        <v>44938712</v>
      </c>
    </row>
    <row r="80" spans="1:1" x14ac:dyDescent="0.3">
      <c r="A80">
        <v>44938712</v>
      </c>
    </row>
    <row r="81" spans="1:1" x14ac:dyDescent="0.3">
      <c r="A81">
        <v>44938712</v>
      </c>
    </row>
    <row r="82" spans="1:1" x14ac:dyDescent="0.3">
      <c r="A82">
        <v>44938712</v>
      </c>
    </row>
    <row r="83" spans="1:1" x14ac:dyDescent="0.3">
      <c r="A83">
        <v>44938712</v>
      </c>
    </row>
    <row r="84" spans="1:1" x14ac:dyDescent="0.3">
      <c r="A84">
        <v>47076781</v>
      </c>
    </row>
    <row r="85" spans="1:1" x14ac:dyDescent="0.3">
      <c r="A85">
        <v>47076781</v>
      </c>
    </row>
    <row r="86" spans="1:1" x14ac:dyDescent="0.3">
      <c r="A86">
        <v>47076781</v>
      </c>
    </row>
    <row r="87" spans="1:1" x14ac:dyDescent="0.3">
      <c r="A87">
        <v>47076781</v>
      </c>
    </row>
    <row r="88" spans="1:1" x14ac:dyDescent="0.3">
      <c r="A88">
        <v>47076781</v>
      </c>
    </row>
    <row r="89" spans="1:1" x14ac:dyDescent="0.3">
      <c r="A89">
        <v>47076781</v>
      </c>
    </row>
    <row r="90" spans="1:1" x14ac:dyDescent="0.3">
      <c r="A90">
        <v>47076781</v>
      </c>
    </row>
    <row r="91" spans="1:1" x14ac:dyDescent="0.3">
      <c r="A91">
        <v>47076781</v>
      </c>
    </row>
    <row r="92" spans="1:1" x14ac:dyDescent="0.3">
      <c r="A92">
        <v>47076781</v>
      </c>
    </row>
    <row r="93" spans="1:1" x14ac:dyDescent="0.3">
      <c r="A93">
        <v>47076781</v>
      </c>
    </row>
    <row r="94" spans="1:1" x14ac:dyDescent="0.3">
      <c r="A94">
        <v>47076781</v>
      </c>
    </row>
    <row r="95" spans="1:1" x14ac:dyDescent="0.3">
      <c r="A95">
        <v>47076781</v>
      </c>
    </row>
    <row r="96" spans="1:1" x14ac:dyDescent="0.3">
      <c r="A96">
        <v>47076781</v>
      </c>
    </row>
    <row r="97" spans="1:1" x14ac:dyDescent="0.3">
      <c r="A97">
        <v>47076781</v>
      </c>
    </row>
    <row r="98" spans="1:1" x14ac:dyDescent="0.3">
      <c r="A98">
        <v>47076781</v>
      </c>
    </row>
    <row r="99" spans="1:1" x14ac:dyDescent="0.3">
      <c r="A99">
        <v>47076781</v>
      </c>
    </row>
    <row r="100" spans="1:1" x14ac:dyDescent="0.3">
      <c r="A100">
        <v>47076781</v>
      </c>
    </row>
    <row r="101" spans="1:1" x14ac:dyDescent="0.3">
      <c r="A101">
        <v>47076781</v>
      </c>
    </row>
    <row r="102" spans="1:1" x14ac:dyDescent="0.3">
      <c r="A102">
        <v>47076781</v>
      </c>
    </row>
    <row r="103" spans="1:1" x14ac:dyDescent="0.3">
      <c r="A103">
        <v>47076781</v>
      </c>
    </row>
    <row r="104" spans="1:1" x14ac:dyDescent="0.3">
      <c r="A104">
        <v>47076781</v>
      </c>
    </row>
    <row r="105" spans="1:1" x14ac:dyDescent="0.3">
      <c r="A105">
        <v>47076781</v>
      </c>
    </row>
    <row r="106" spans="1:1" x14ac:dyDescent="0.3">
      <c r="A106">
        <v>50339443</v>
      </c>
    </row>
    <row r="107" spans="1:1" x14ac:dyDescent="0.3">
      <c r="A107">
        <v>50339443</v>
      </c>
    </row>
    <row r="108" spans="1:1" x14ac:dyDescent="0.3">
      <c r="A108">
        <v>50339443</v>
      </c>
    </row>
    <row r="109" spans="1:1" x14ac:dyDescent="0.3">
      <c r="A109">
        <v>50339443</v>
      </c>
    </row>
    <row r="110" spans="1:1" x14ac:dyDescent="0.3">
      <c r="A110">
        <v>50339443</v>
      </c>
    </row>
    <row r="111" spans="1:1" x14ac:dyDescent="0.3">
      <c r="A111">
        <v>50339443</v>
      </c>
    </row>
    <row r="112" spans="1:1" x14ac:dyDescent="0.3">
      <c r="A112">
        <v>50339443</v>
      </c>
    </row>
    <row r="113" spans="1:1" x14ac:dyDescent="0.3">
      <c r="A113">
        <v>50339443</v>
      </c>
    </row>
    <row r="114" spans="1:1" x14ac:dyDescent="0.3">
      <c r="A114">
        <v>50339443</v>
      </c>
    </row>
    <row r="115" spans="1:1" x14ac:dyDescent="0.3">
      <c r="A115">
        <v>50339443</v>
      </c>
    </row>
    <row r="116" spans="1:1" x14ac:dyDescent="0.3">
      <c r="A116">
        <v>50339443</v>
      </c>
    </row>
    <row r="117" spans="1:1" x14ac:dyDescent="0.3">
      <c r="A117">
        <v>51709098</v>
      </c>
    </row>
    <row r="118" spans="1:1" x14ac:dyDescent="0.3">
      <c r="A118">
        <v>51709098</v>
      </c>
    </row>
    <row r="119" spans="1:1" x14ac:dyDescent="0.3">
      <c r="A119">
        <v>51709098</v>
      </c>
    </row>
    <row r="120" spans="1:1" x14ac:dyDescent="0.3">
      <c r="A120">
        <v>51709098</v>
      </c>
    </row>
    <row r="121" spans="1:1" x14ac:dyDescent="0.3">
      <c r="A121">
        <v>51709098</v>
      </c>
    </row>
    <row r="122" spans="1:1" x14ac:dyDescent="0.3">
      <c r="A122">
        <v>51709098</v>
      </c>
    </row>
    <row r="123" spans="1:1" x14ac:dyDescent="0.3">
      <c r="A123">
        <v>51709098</v>
      </c>
    </row>
    <row r="124" spans="1:1" x14ac:dyDescent="0.3">
      <c r="A124">
        <v>51709098</v>
      </c>
    </row>
    <row r="125" spans="1:1" x14ac:dyDescent="0.3">
      <c r="A125">
        <v>51709098</v>
      </c>
    </row>
    <row r="126" spans="1:1" x14ac:dyDescent="0.3">
      <c r="A126">
        <v>51709098</v>
      </c>
    </row>
    <row r="127" spans="1:1" x14ac:dyDescent="0.3">
      <c r="A127">
        <v>51709098</v>
      </c>
    </row>
    <row r="128" spans="1:1" x14ac:dyDescent="0.3">
      <c r="A128">
        <v>51709098</v>
      </c>
    </row>
    <row r="129" spans="1:1" x14ac:dyDescent="0.3">
      <c r="A129">
        <v>51709098</v>
      </c>
    </row>
    <row r="130" spans="1:1" x14ac:dyDescent="0.3">
      <c r="A130">
        <v>51709098</v>
      </c>
    </row>
    <row r="131" spans="1:1" x14ac:dyDescent="0.3">
      <c r="A131">
        <v>60297396</v>
      </c>
    </row>
    <row r="132" spans="1:1" x14ac:dyDescent="0.3">
      <c r="A132">
        <v>60297396</v>
      </c>
    </row>
    <row r="133" spans="1:1" x14ac:dyDescent="0.3">
      <c r="A133">
        <v>66834405</v>
      </c>
    </row>
    <row r="134" spans="1:1" x14ac:dyDescent="0.3">
      <c r="A134">
        <v>66834405</v>
      </c>
    </row>
    <row r="135" spans="1:1" x14ac:dyDescent="0.3">
      <c r="A135">
        <v>66834405</v>
      </c>
    </row>
    <row r="136" spans="1:1" x14ac:dyDescent="0.3">
      <c r="A136">
        <v>66834405</v>
      </c>
    </row>
    <row r="137" spans="1:1" x14ac:dyDescent="0.3">
      <c r="A137">
        <v>66834405</v>
      </c>
    </row>
    <row r="138" spans="1:1" x14ac:dyDescent="0.3">
      <c r="A138">
        <v>66834405</v>
      </c>
    </row>
    <row r="139" spans="1:1" x14ac:dyDescent="0.3">
      <c r="A139">
        <v>66834405</v>
      </c>
    </row>
    <row r="140" spans="1:1" x14ac:dyDescent="0.3">
      <c r="A140">
        <v>66834405</v>
      </c>
    </row>
    <row r="141" spans="1:1" x14ac:dyDescent="0.3">
      <c r="A141">
        <v>66834405</v>
      </c>
    </row>
    <row r="142" spans="1:1" x14ac:dyDescent="0.3">
      <c r="A142">
        <v>66834405</v>
      </c>
    </row>
    <row r="143" spans="1:1" x14ac:dyDescent="0.3">
      <c r="A143">
        <v>66834405</v>
      </c>
    </row>
    <row r="144" spans="1:1" x14ac:dyDescent="0.3">
      <c r="A144">
        <v>66834405</v>
      </c>
    </row>
    <row r="145" spans="1:1" x14ac:dyDescent="0.3">
      <c r="A145">
        <v>66834405</v>
      </c>
    </row>
    <row r="146" spans="1:1" x14ac:dyDescent="0.3">
      <c r="A146">
        <v>66834405</v>
      </c>
    </row>
    <row r="147" spans="1:1" x14ac:dyDescent="0.3">
      <c r="A147">
        <v>66834405</v>
      </c>
    </row>
    <row r="148" spans="1:1" x14ac:dyDescent="0.3">
      <c r="A148">
        <v>66834405</v>
      </c>
    </row>
    <row r="149" spans="1:1" x14ac:dyDescent="0.3">
      <c r="A149">
        <v>66834405</v>
      </c>
    </row>
    <row r="150" spans="1:1" x14ac:dyDescent="0.3">
      <c r="A150">
        <v>66834405</v>
      </c>
    </row>
    <row r="151" spans="1:1" x14ac:dyDescent="0.3">
      <c r="A151">
        <v>66834405</v>
      </c>
    </row>
    <row r="152" spans="1:1" x14ac:dyDescent="0.3">
      <c r="A152">
        <v>66834405</v>
      </c>
    </row>
    <row r="153" spans="1:1" x14ac:dyDescent="0.3">
      <c r="A153">
        <v>66834405</v>
      </c>
    </row>
    <row r="154" spans="1:1" x14ac:dyDescent="0.3">
      <c r="A154">
        <v>66834405</v>
      </c>
    </row>
    <row r="155" spans="1:1" x14ac:dyDescent="0.3">
      <c r="A155">
        <v>66834405</v>
      </c>
    </row>
    <row r="156" spans="1:1" x14ac:dyDescent="0.3">
      <c r="A156">
        <v>66834405</v>
      </c>
    </row>
    <row r="157" spans="1:1" x14ac:dyDescent="0.3">
      <c r="A157">
        <v>66834405</v>
      </c>
    </row>
    <row r="158" spans="1:1" x14ac:dyDescent="0.3">
      <c r="A158">
        <v>66834405</v>
      </c>
    </row>
    <row r="159" spans="1:1" x14ac:dyDescent="0.3">
      <c r="A159">
        <v>66834405</v>
      </c>
    </row>
    <row r="160" spans="1:1" x14ac:dyDescent="0.3">
      <c r="A160">
        <v>66834405</v>
      </c>
    </row>
    <row r="161" spans="1:1" x14ac:dyDescent="0.3">
      <c r="A161">
        <v>66834405</v>
      </c>
    </row>
    <row r="162" spans="1:1" x14ac:dyDescent="0.3">
      <c r="A162">
        <v>66834405</v>
      </c>
    </row>
    <row r="163" spans="1:1" x14ac:dyDescent="0.3">
      <c r="A163">
        <v>66834405</v>
      </c>
    </row>
    <row r="164" spans="1:1" x14ac:dyDescent="0.3">
      <c r="A164">
        <v>66834405</v>
      </c>
    </row>
    <row r="165" spans="1:1" x14ac:dyDescent="0.3">
      <c r="A165">
        <v>66834405</v>
      </c>
    </row>
    <row r="166" spans="1:1" x14ac:dyDescent="0.3">
      <c r="A166">
        <v>66834405</v>
      </c>
    </row>
    <row r="167" spans="1:1" x14ac:dyDescent="0.3">
      <c r="A167">
        <v>66834405</v>
      </c>
    </row>
    <row r="168" spans="1:1" x14ac:dyDescent="0.3">
      <c r="A168">
        <v>66834405</v>
      </c>
    </row>
    <row r="169" spans="1:1" x14ac:dyDescent="0.3">
      <c r="A169">
        <v>66834405</v>
      </c>
    </row>
    <row r="170" spans="1:1" x14ac:dyDescent="0.3">
      <c r="A170">
        <v>66834405</v>
      </c>
    </row>
    <row r="171" spans="1:1" x14ac:dyDescent="0.3">
      <c r="A171">
        <v>66834405</v>
      </c>
    </row>
    <row r="172" spans="1:1" x14ac:dyDescent="0.3">
      <c r="A172">
        <v>66834405</v>
      </c>
    </row>
    <row r="173" spans="1:1" x14ac:dyDescent="0.3">
      <c r="A173">
        <v>66834405</v>
      </c>
    </row>
    <row r="174" spans="1:1" x14ac:dyDescent="0.3">
      <c r="A174">
        <v>66834405</v>
      </c>
    </row>
    <row r="175" spans="1:1" x14ac:dyDescent="0.3">
      <c r="A175">
        <v>66834405</v>
      </c>
    </row>
    <row r="176" spans="1:1" x14ac:dyDescent="0.3">
      <c r="A176">
        <v>67059887</v>
      </c>
    </row>
    <row r="177" spans="1:1" x14ac:dyDescent="0.3">
      <c r="A177">
        <v>67059887</v>
      </c>
    </row>
    <row r="178" spans="1:1" x14ac:dyDescent="0.3">
      <c r="A178">
        <v>67059887</v>
      </c>
    </row>
    <row r="179" spans="1:1" x14ac:dyDescent="0.3">
      <c r="A179">
        <v>67059887</v>
      </c>
    </row>
    <row r="180" spans="1:1" x14ac:dyDescent="0.3">
      <c r="A180">
        <v>67059887</v>
      </c>
    </row>
    <row r="181" spans="1:1" x14ac:dyDescent="0.3">
      <c r="A181">
        <v>69625582</v>
      </c>
    </row>
    <row r="182" spans="1:1" x14ac:dyDescent="0.3">
      <c r="A182">
        <v>69625582</v>
      </c>
    </row>
    <row r="183" spans="1:1" x14ac:dyDescent="0.3">
      <c r="A183">
        <v>69625582</v>
      </c>
    </row>
    <row r="184" spans="1:1" x14ac:dyDescent="0.3">
      <c r="A184">
        <v>69625582</v>
      </c>
    </row>
    <row r="185" spans="1:1" x14ac:dyDescent="0.3">
      <c r="A185">
        <v>69625582</v>
      </c>
    </row>
    <row r="186" spans="1:1" x14ac:dyDescent="0.3">
      <c r="A186">
        <v>69625582</v>
      </c>
    </row>
    <row r="187" spans="1:1" x14ac:dyDescent="0.3">
      <c r="A187">
        <v>69625582</v>
      </c>
    </row>
    <row r="188" spans="1:1" x14ac:dyDescent="0.3">
      <c r="A188">
        <v>69625582</v>
      </c>
    </row>
    <row r="189" spans="1:1" x14ac:dyDescent="0.3">
      <c r="A189">
        <v>69625582</v>
      </c>
    </row>
    <row r="190" spans="1:1" x14ac:dyDescent="0.3">
      <c r="A190">
        <v>69625582</v>
      </c>
    </row>
    <row r="191" spans="1:1" x14ac:dyDescent="0.3">
      <c r="A191">
        <v>69625582</v>
      </c>
    </row>
    <row r="192" spans="1:1" x14ac:dyDescent="0.3">
      <c r="A192">
        <v>69625582</v>
      </c>
    </row>
    <row r="193" spans="1:1" x14ac:dyDescent="0.3">
      <c r="A193">
        <v>69625582</v>
      </c>
    </row>
    <row r="194" spans="1:1" x14ac:dyDescent="0.3">
      <c r="A194">
        <v>69625582</v>
      </c>
    </row>
    <row r="195" spans="1:1" x14ac:dyDescent="0.3">
      <c r="A195">
        <v>69625582</v>
      </c>
    </row>
    <row r="196" spans="1:1" x14ac:dyDescent="0.3">
      <c r="A196">
        <v>69625582</v>
      </c>
    </row>
    <row r="197" spans="1:1" x14ac:dyDescent="0.3">
      <c r="A197">
        <v>83132799</v>
      </c>
    </row>
    <row r="198" spans="1:1" x14ac:dyDescent="0.3">
      <c r="A198">
        <v>83132799</v>
      </c>
    </row>
    <row r="199" spans="1:1" x14ac:dyDescent="0.3">
      <c r="A199">
        <v>83132799</v>
      </c>
    </row>
    <row r="200" spans="1:1" x14ac:dyDescent="0.3">
      <c r="A200">
        <v>83132799</v>
      </c>
    </row>
    <row r="201" spans="1:1" x14ac:dyDescent="0.3">
      <c r="A201">
        <v>83132799</v>
      </c>
    </row>
    <row r="202" spans="1:1" x14ac:dyDescent="0.3">
      <c r="A202">
        <v>83132799</v>
      </c>
    </row>
    <row r="203" spans="1:1" x14ac:dyDescent="0.3">
      <c r="A203">
        <v>83429615</v>
      </c>
    </row>
    <row r="204" spans="1:1" x14ac:dyDescent="0.3">
      <c r="A204">
        <v>83429615</v>
      </c>
    </row>
    <row r="205" spans="1:1" x14ac:dyDescent="0.3">
      <c r="A205">
        <v>83429615</v>
      </c>
    </row>
    <row r="206" spans="1:1" x14ac:dyDescent="0.3">
      <c r="A206">
        <v>83429615</v>
      </c>
    </row>
    <row r="207" spans="1:1" x14ac:dyDescent="0.3">
      <c r="A207">
        <v>96462106</v>
      </c>
    </row>
    <row r="208" spans="1:1" x14ac:dyDescent="0.3">
      <c r="A208">
        <v>96462106</v>
      </c>
    </row>
    <row r="209" spans="1:1" x14ac:dyDescent="0.3">
      <c r="A209">
        <v>96462106</v>
      </c>
    </row>
    <row r="210" spans="1:1" x14ac:dyDescent="0.3">
      <c r="A210">
        <v>100388073</v>
      </c>
    </row>
    <row r="211" spans="1:1" x14ac:dyDescent="0.3">
      <c r="A211">
        <v>108116615</v>
      </c>
    </row>
    <row r="212" spans="1:1" x14ac:dyDescent="0.3">
      <c r="A212">
        <v>108116615</v>
      </c>
    </row>
    <row r="213" spans="1:1" x14ac:dyDescent="0.3">
      <c r="A213">
        <v>108116615</v>
      </c>
    </row>
    <row r="214" spans="1:1" x14ac:dyDescent="0.3">
      <c r="A214">
        <v>108116615</v>
      </c>
    </row>
    <row r="215" spans="1:1" x14ac:dyDescent="0.3">
      <c r="A215">
        <v>108116615</v>
      </c>
    </row>
    <row r="216" spans="1:1" x14ac:dyDescent="0.3">
      <c r="A216">
        <v>108116615</v>
      </c>
    </row>
    <row r="217" spans="1:1" x14ac:dyDescent="0.3">
      <c r="A217">
        <v>108116615</v>
      </c>
    </row>
    <row r="218" spans="1:1" x14ac:dyDescent="0.3">
      <c r="A218">
        <v>108116615</v>
      </c>
    </row>
    <row r="219" spans="1:1" x14ac:dyDescent="0.3">
      <c r="A219">
        <v>108116615</v>
      </c>
    </row>
    <row r="220" spans="1:1" x14ac:dyDescent="0.3">
      <c r="A220">
        <v>108116615</v>
      </c>
    </row>
    <row r="221" spans="1:1" x14ac:dyDescent="0.3">
      <c r="A221">
        <v>108116615</v>
      </c>
    </row>
    <row r="222" spans="1:1" x14ac:dyDescent="0.3">
      <c r="A222">
        <v>108116615</v>
      </c>
    </row>
    <row r="223" spans="1:1" x14ac:dyDescent="0.3">
      <c r="A223">
        <v>126014024</v>
      </c>
    </row>
    <row r="224" spans="1:1" x14ac:dyDescent="0.3">
      <c r="A224">
        <v>126014024</v>
      </c>
    </row>
    <row r="225" spans="1:1" x14ac:dyDescent="0.3">
      <c r="A225">
        <v>126014024</v>
      </c>
    </row>
    <row r="226" spans="1:1" x14ac:dyDescent="0.3">
      <c r="A226">
        <v>126014024</v>
      </c>
    </row>
    <row r="227" spans="1:1" x14ac:dyDescent="0.3">
      <c r="A227">
        <v>126014024</v>
      </c>
    </row>
    <row r="228" spans="1:1" x14ac:dyDescent="0.3">
      <c r="A228">
        <v>126014024</v>
      </c>
    </row>
    <row r="229" spans="1:1" x14ac:dyDescent="0.3">
      <c r="A229">
        <v>126014024</v>
      </c>
    </row>
    <row r="230" spans="1:1" x14ac:dyDescent="0.3">
      <c r="A230">
        <v>126014024</v>
      </c>
    </row>
    <row r="231" spans="1:1" x14ac:dyDescent="0.3">
      <c r="A231">
        <v>126014024</v>
      </c>
    </row>
    <row r="232" spans="1:1" x14ac:dyDescent="0.3">
      <c r="A232">
        <v>126014024</v>
      </c>
    </row>
    <row r="233" spans="1:1" x14ac:dyDescent="0.3">
      <c r="A233">
        <v>126014024</v>
      </c>
    </row>
    <row r="234" spans="1:1" x14ac:dyDescent="0.3">
      <c r="A234">
        <v>126014024</v>
      </c>
    </row>
    <row r="235" spans="1:1" x14ac:dyDescent="0.3">
      <c r="A235">
        <v>126014024</v>
      </c>
    </row>
    <row r="236" spans="1:1" x14ac:dyDescent="0.3">
      <c r="A236">
        <v>126014024</v>
      </c>
    </row>
    <row r="237" spans="1:1" x14ac:dyDescent="0.3">
      <c r="A237">
        <v>126014024</v>
      </c>
    </row>
    <row r="238" spans="1:1" x14ac:dyDescent="0.3">
      <c r="A238">
        <v>126014024</v>
      </c>
    </row>
    <row r="239" spans="1:1" x14ac:dyDescent="0.3">
      <c r="A239">
        <v>126014024</v>
      </c>
    </row>
    <row r="240" spans="1:1" x14ac:dyDescent="0.3">
      <c r="A240">
        <v>126014024</v>
      </c>
    </row>
    <row r="241" spans="1:1" x14ac:dyDescent="0.3">
      <c r="A241">
        <v>126014024</v>
      </c>
    </row>
    <row r="242" spans="1:1" x14ac:dyDescent="0.3">
      <c r="A242">
        <v>126014024</v>
      </c>
    </row>
    <row r="243" spans="1:1" x14ac:dyDescent="0.3">
      <c r="A243">
        <v>126014024</v>
      </c>
    </row>
    <row r="244" spans="1:1" x14ac:dyDescent="0.3">
      <c r="A244">
        <v>126014024</v>
      </c>
    </row>
    <row r="245" spans="1:1" x14ac:dyDescent="0.3">
      <c r="A245">
        <v>126014024</v>
      </c>
    </row>
    <row r="246" spans="1:1" x14ac:dyDescent="0.3">
      <c r="A246">
        <v>126014024</v>
      </c>
    </row>
    <row r="247" spans="1:1" x14ac:dyDescent="0.3">
      <c r="A247">
        <v>126014024</v>
      </c>
    </row>
    <row r="248" spans="1:1" x14ac:dyDescent="0.3">
      <c r="A248">
        <v>126014024</v>
      </c>
    </row>
    <row r="249" spans="1:1" x14ac:dyDescent="0.3">
      <c r="A249">
        <v>126014024</v>
      </c>
    </row>
    <row r="250" spans="1:1" x14ac:dyDescent="0.3">
      <c r="A250">
        <v>126014024</v>
      </c>
    </row>
    <row r="251" spans="1:1" x14ac:dyDescent="0.3">
      <c r="A251">
        <v>126014024</v>
      </c>
    </row>
    <row r="252" spans="1:1" x14ac:dyDescent="0.3">
      <c r="A252">
        <v>126014024</v>
      </c>
    </row>
    <row r="253" spans="1:1" x14ac:dyDescent="0.3">
      <c r="A253">
        <v>126014024</v>
      </c>
    </row>
    <row r="254" spans="1:1" x14ac:dyDescent="0.3">
      <c r="A254">
        <v>126014024</v>
      </c>
    </row>
    <row r="255" spans="1:1" x14ac:dyDescent="0.3">
      <c r="A255">
        <v>126014024</v>
      </c>
    </row>
    <row r="256" spans="1:1" x14ac:dyDescent="0.3">
      <c r="A256">
        <v>126226568</v>
      </c>
    </row>
    <row r="257" spans="1:1" x14ac:dyDescent="0.3">
      <c r="A257">
        <v>126226568</v>
      </c>
    </row>
    <row r="258" spans="1:1" x14ac:dyDescent="0.3">
      <c r="A258">
        <v>126226568</v>
      </c>
    </row>
    <row r="259" spans="1:1" x14ac:dyDescent="0.3">
      <c r="A259">
        <v>126226568</v>
      </c>
    </row>
    <row r="260" spans="1:1" x14ac:dyDescent="0.3">
      <c r="A260">
        <v>144373535</v>
      </c>
    </row>
    <row r="261" spans="1:1" x14ac:dyDescent="0.3">
      <c r="A261">
        <v>144373535</v>
      </c>
    </row>
    <row r="262" spans="1:1" x14ac:dyDescent="0.3">
      <c r="A262">
        <v>144373535</v>
      </c>
    </row>
    <row r="263" spans="1:1" x14ac:dyDescent="0.3">
      <c r="A263">
        <v>144373535</v>
      </c>
    </row>
    <row r="264" spans="1:1" x14ac:dyDescent="0.3">
      <c r="A264">
        <v>144373535</v>
      </c>
    </row>
    <row r="265" spans="1:1" x14ac:dyDescent="0.3">
      <c r="A265">
        <v>144373535</v>
      </c>
    </row>
    <row r="266" spans="1:1" x14ac:dyDescent="0.3">
      <c r="A266">
        <v>144373535</v>
      </c>
    </row>
    <row r="267" spans="1:1" x14ac:dyDescent="0.3">
      <c r="A267">
        <v>144373535</v>
      </c>
    </row>
    <row r="268" spans="1:1" x14ac:dyDescent="0.3">
      <c r="A268">
        <v>144373535</v>
      </c>
    </row>
    <row r="269" spans="1:1" x14ac:dyDescent="0.3">
      <c r="A269">
        <v>144373535</v>
      </c>
    </row>
    <row r="270" spans="1:1" x14ac:dyDescent="0.3">
      <c r="A270">
        <v>144373535</v>
      </c>
    </row>
    <row r="271" spans="1:1" x14ac:dyDescent="0.3">
      <c r="A271">
        <v>167310838</v>
      </c>
    </row>
    <row r="272" spans="1:1" x14ac:dyDescent="0.3">
      <c r="A272">
        <v>212559417</v>
      </c>
    </row>
    <row r="273" spans="1:1" x14ac:dyDescent="0.3">
      <c r="A273">
        <v>212559417</v>
      </c>
    </row>
    <row r="274" spans="1:1" x14ac:dyDescent="0.3">
      <c r="A274">
        <v>212559417</v>
      </c>
    </row>
    <row r="275" spans="1:1" x14ac:dyDescent="0.3">
      <c r="A275">
        <v>212559417</v>
      </c>
    </row>
    <row r="276" spans="1:1" x14ac:dyDescent="0.3">
      <c r="A276">
        <v>212559417</v>
      </c>
    </row>
    <row r="277" spans="1:1" x14ac:dyDescent="0.3">
      <c r="A277">
        <v>212559417</v>
      </c>
    </row>
    <row r="278" spans="1:1" x14ac:dyDescent="0.3">
      <c r="A278">
        <v>212559417</v>
      </c>
    </row>
    <row r="279" spans="1:1" x14ac:dyDescent="0.3">
      <c r="A279">
        <v>212559417</v>
      </c>
    </row>
    <row r="280" spans="1:1" x14ac:dyDescent="0.3">
      <c r="A280">
        <v>212559417</v>
      </c>
    </row>
    <row r="281" spans="1:1" x14ac:dyDescent="0.3">
      <c r="A281">
        <v>212559417</v>
      </c>
    </row>
    <row r="282" spans="1:1" x14ac:dyDescent="0.3">
      <c r="A282">
        <v>212559417</v>
      </c>
    </row>
    <row r="283" spans="1:1" x14ac:dyDescent="0.3">
      <c r="A283">
        <v>212559417</v>
      </c>
    </row>
    <row r="284" spans="1:1" x14ac:dyDescent="0.3">
      <c r="A284">
        <v>212559417</v>
      </c>
    </row>
    <row r="285" spans="1:1" x14ac:dyDescent="0.3">
      <c r="A285">
        <v>212559417</v>
      </c>
    </row>
    <row r="286" spans="1:1" x14ac:dyDescent="0.3">
      <c r="A286">
        <v>212559417</v>
      </c>
    </row>
    <row r="287" spans="1:1" x14ac:dyDescent="0.3">
      <c r="A287">
        <v>212559417</v>
      </c>
    </row>
    <row r="288" spans="1:1" x14ac:dyDescent="0.3">
      <c r="A288">
        <v>212559417</v>
      </c>
    </row>
    <row r="289" spans="1:1" x14ac:dyDescent="0.3">
      <c r="A289">
        <v>212559417</v>
      </c>
    </row>
    <row r="290" spans="1:1" x14ac:dyDescent="0.3">
      <c r="A290">
        <v>212559417</v>
      </c>
    </row>
    <row r="291" spans="1:1" x14ac:dyDescent="0.3">
      <c r="A291">
        <v>212559417</v>
      </c>
    </row>
    <row r="292" spans="1:1" x14ac:dyDescent="0.3">
      <c r="A292">
        <v>212559417</v>
      </c>
    </row>
    <row r="293" spans="1:1" x14ac:dyDescent="0.3">
      <c r="A293">
        <v>212559417</v>
      </c>
    </row>
    <row r="294" spans="1:1" x14ac:dyDescent="0.3">
      <c r="A294">
        <v>212559417</v>
      </c>
    </row>
    <row r="295" spans="1:1" x14ac:dyDescent="0.3">
      <c r="A295">
        <v>212559417</v>
      </c>
    </row>
    <row r="296" spans="1:1" x14ac:dyDescent="0.3">
      <c r="A296">
        <v>212559417</v>
      </c>
    </row>
    <row r="297" spans="1:1" x14ac:dyDescent="0.3">
      <c r="A297">
        <v>212559417</v>
      </c>
    </row>
    <row r="298" spans="1:1" x14ac:dyDescent="0.3">
      <c r="A298">
        <v>212559417</v>
      </c>
    </row>
    <row r="299" spans="1:1" x14ac:dyDescent="0.3">
      <c r="A299">
        <v>212559417</v>
      </c>
    </row>
    <row r="300" spans="1:1" x14ac:dyDescent="0.3">
      <c r="A300">
        <v>212559417</v>
      </c>
    </row>
    <row r="301" spans="1:1" x14ac:dyDescent="0.3">
      <c r="A301">
        <v>212559417</v>
      </c>
    </row>
    <row r="302" spans="1:1" x14ac:dyDescent="0.3">
      <c r="A302">
        <v>212559417</v>
      </c>
    </row>
    <row r="303" spans="1:1" x14ac:dyDescent="0.3">
      <c r="A303">
        <v>212559417</v>
      </c>
    </row>
    <row r="304" spans="1:1" x14ac:dyDescent="0.3">
      <c r="A304">
        <v>212559417</v>
      </c>
    </row>
    <row r="305" spans="1:1" x14ac:dyDescent="0.3">
      <c r="A305">
        <v>212559417</v>
      </c>
    </row>
    <row r="306" spans="1:1" x14ac:dyDescent="0.3">
      <c r="A306">
        <v>212559417</v>
      </c>
    </row>
    <row r="307" spans="1:1" x14ac:dyDescent="0.3">
      <c r="A307">
        <v>212559417</v>
      </c>
    </row>
    <row r="308" spans="1:1" x14ac:dyDescent="0.3">
      <c r="A308">
        <v>212559417</v>
      </c>
    </row>
    <row r="309" spans="1:1" x14ac:dyDescent="0.3">
      <c r="A309">
        <v>212559417</v>
      </c>
    </row>
    <row r="310" spans="1:1" x14ac:dyDescent="0.3">
      <c r="A310">
        <v>212559417</v>
      </c>
    </row>
    <row r="311" spans="1:1" x14ac:dyDescent="0.3">
      <c r="A311">
        <v>212559417</v>
      </c>
    </row>
    <row r="312" spans="1:1" x14ac:dyDescent="0.3">
      <c r="A312">
        <v>212559417</v>
      </c>
    </row>
    <row r="313" spans="1:1" x14ac:dyDescent="0.3">
      <c r="A313">
        <v>212559417</v>
      </c>
    </row>
    <row r="314" spans="1:1" x14ac:dyDescent="0.3">
      <c r="A314">
        <v>212559417</v>
      </c>
    </row>
    <row r="315" spans="1:1" x14ac:dyDescent="0.3">
      <c r="A315">
        <v>212559417</v>
      </c>
    </row>
    <row r="316" spans="1:1" x14ac:dyDescent="0.3">
      <c r="A316">
        <v>212559417</v>
      </c>
    </row>
    <row r="317" spans="1:1" x14ac:dyDescent="0.3">
      <c r="A317">
        <v>212559417</v>
      </c>
    </row>
    <row r="318" spans="1:1" x14ac:dyDescent="0.3">
      <c r="A318">
        <v>212559417</v>
      </c>
    </row>
    <row r="319" spans="1:1" x14ac:dyDescent="0.3">
      <c r="A319">
        <v>212559417</v>
      </c>
    </row>
    <row r="320" spans="1:1" x14ac:dyDescent="0.3">
      <c r="A320">
        <v>212559417</v>
      </c>
    </row>
    <row r="321" spans="1:1" x14ac:dyDescent="0.3">
      <c r="A321">
        <v>212559417</v>
      </c>
    </row>
    <row r="322" spans="1:1" x14ac:dyDescent="0.3">
      <c r="A322">
        <v>212559417</v>
      </c>
    </row>
    <row r="323" spans="1:1" x14ac:dyDescent="0.3">
      <c r="A323">
        <v>212559417</v>
      </c>
    </row>
    <row r="324" spans="1:1" x14ac:dyDescent="0.3">
      <c r="A324">
        <v>212559417</v>
      </c>
    </row>
    <row r="325" spans="1:1" x14ac:dyDescent="0.3">
      <c r="A325">
        <v>212559417</v>
      </c>
    </row>
    <row r="326" spans="1:1" x14ac:dyDescent="0.3">
      <c r="A326">
        <v>212559417</v>
      </c>
    </row>
    <row r="327" spans="1:1" x14ac:dyDescent="0.3">
      <c r="A327">
        <v>212559417</v>
      </c>
    </row>
    <row r="328" spans="1:1" x14ac:dyDescent="0.3">
      <c r="A328">
        <v>212559417</v>
      </c>
    </row>
    <row r="329" spans="1:1" x14ac:dyDescent="0.3">
      <c r="A329">
        <v>212559417</v>
      </c>
    </row>
    <row r="330" spans="1:1" x14ac:dyDescent="0.3">
      <c r="A330">
        <v>212559417</v>
      </c>
    </row>
    <row r="331" spans="1:1" x14ac:dyDescent="0.3">
      <c r="A331">
        <v>212559417</v>
      </c>
    </row>
    <row r="332" spans="1:1" x14ac:dyDescent="0.3">
      <c r="A332">
        <v>212559417</v>
      </c>
    </row>
    <row r="333" spans="1:1" x14ac:dyDescent="0.3">
      <c r="A333">
        <v>216565318</v>
      </c>
    </row>
    <row r="334" spans="1:1" x14ac:dyDescent="0.3">
      <c r="A334">
        <v>216565318</v>
      </c>
    </row>
    <row r="335" spans="1:1" x14ac:dyDescent="0.3">
      <c r="A335">
        <v>216565318</v>
      </c>
    </row>
    <row r="336" spans="1:1" x14ac:dyDescent="0.3">
      <c r="A336">
        <v>216565318</v>
      </c>
    </row>
    <row r="337" spans="1:1" x14ac:dyDescent="0.3">
      <c r="A337">
        <v>216565318</v>
      </c>
    </row>
    <row r="338" spans="1:1" x14ac:dyDescent="0.3">
      <c r="A338">
        <v>216565318</v>
      </c>
    </row>
    <row r="339" spans="1:1" x14ac:dyDescent="0.3">
      <c r="A339">
        <v>270203917</v>
      </c>
    </row>
    <row r="340" spans="1:1" x14ac:dyDescent="0.3">
      <c r="A340">
        <v>270203917</v>
      </c>
    </row>
    <row r="341" spans="1:1" x14ac:dyDescent="0.3">
      <c r="A341">
        <v>270203917</v>
      </c>
    </row>
    <row r="342" spans="1:1" x14ac:dyDescent="0.3">
      <c r="A342">
        <v>270203917</v>
      </c>
    </row>
    <row r="343" spans="1:1" x14ac:dyDescent="0.3">
      <c r="A343">
        <v>270203917</v>
      </c>
    </row>
    <row r="344" spans="1:1" x14ac:dyDescent="0.3">
      <c r="A344">
        <v>270203917</v>
      </c>
    </row>
    <row r="345" spans="1:1" x14ac:dyDescent="0.3">
      <c r="A345">
        <v>270203917</v>
      </c>
    </row>
    <row r="346" spans="1:1" x14ac:dyDescent="0.3">
      <c r="A346">
        <v>270203917</v>
      </c>
    </row>
    <row r="347" spans="1:1" x14ac:dyDescent="0.3">
      <c r="A347">
        <v>270203917</v>
      </c>
    </row>
    <row r="348" spans="1:1" x14ac:dyDescent="0.3">
      <c r="A348">
        <v>270203917</v>
      </c>
    </row>
    <row r="349" spans="1:1" x14ac:dyDescent="0.3">
      <c r="A349">
        <v>270203917</v>
      </c>
    </row>
    <row r="350" spans="1:1" x14ac:dyDescent="0.3">
      <c r="A350">
        <v>270203917</v>
      </c>
    </row>
    <row r="351" spans="1:1" x14ac:dyDescent="0.3">
      <c r="A351">
        <v>270203917</v>
      </c>
    </row>
    <row r="352" spans="1:1" x14ac:dyDescent="0.3">
      <c r="A352">
        <v>270203917</v>
      </c>
    </row>
    <row r="353" spans="1:1" x14ac:dyDescent="0.3">
      <c r="A353">
        <v>270203917</v>
      </c>
    </row>
    <row r="354" spans="1:1" x14ac:dyDescent="0.3">
      <c r="A354">
        <v>270203917</v>
      </c>
    </row>
    <row r="355" spans="1:1" x14ac:dyDescent="0.3">
      <c r="A355">
        <v>270203917</v>
      </c>
    </row>
    <row r="356" spans="1:1" x14ac:dyDescent="0.3">
      <c r="A356">
        <v>270203917</v>
      </c>
    </row>
    <row r="357" spans="1:1" x14ac:dyDescent="0.3">
      <c r="A357">
        <v>270203917</v>
      </c>
    </row>
    <row r="358" spans="1:1" x14ac:dyDescent="0.3">
      <c r="A358">
        <v>270203917</v>
      </c>
    </row>
    <row r="359" spans="1:1" x14ac:dyDescent="0.3">
      <c r="A359">
        <v>270203917</v>
      </c>
    </row>
    <row r="360" spans="1:1" x14ac:dyDescent="0.3">
      <c r="A360">
        <v>270203917</v>
      </c>
    </row>
    <row r="361" spans="1:1" x14ac:dyDescent="0.3">
      <c r="A361">
        <v>270203917</v>
      </c>
    </row>
    <row r="362" spans="1:1" x14ac:dyDescent="0.3">
      <c r="A362">
        <v>270203917</v>
      </c>
    </row>
    <row r="363" spans="1:1" x14ac:dyDescent="0.3">
      <c r="A363">
        <v>270203917</v>
      </c>
    </row>
    <row r="364" spans="1:1" x14ac:dyDescent="0.3">
      <c r="A364">
        <v>270203917</v>
      </c>
    </row>
    <row r="365" spans="1:1" x14ac:dyDescent="0.3">
      <c r="A365">
        <v>270203917</v>
      </c>
    </row>
    <row r="366" spans="1:1" x14ac:dyDescent="0.3">
      <c r="A366">
        <v>270203917</v>
      </c>
    </row>
    <row r="367" spans="1:1" x14ac:dyDescent="0.3">
      <c r="A367">
        <v>328239523</v>
      </c>
    </row>
    <row r="368" spans="1:1" x14ac:dyDescent="0.3">
      <c r="A368">
        <v>328239523</v>
      </c>
    </row>
    <row r="369" spans="1:1" x14ac:dyDescent="0.3">
      <c r="A369">
        <v>328239523</v>
      </c>
    </row>
    <row r="370" spans="1:1" x14ac:dyDescent="0.3">
      <c r="A370">
        <v>328239523</v>
      </c>
    </row>
    <row r="371" spans="1:1" x14ac:dyDescent="0.3">
      <c r="A371">
        <v>328239523</v>
      </c>
    </row>
    <row r="372" spans="1:1" x14ac:dyDescent="0.3">
      <c r="A372">
        <v>328239523</v>
      </c>
    </row>
    <row r="373" spans="1:1" x14ac:dyDescent="0.3">
      <c r="A373">
        <v>328239523</v>
      </c>
    </row>
    <row r="374" spans="1:1" x14ac:dyDescent="0.3">
      <c r="A374">
        <v>328239523</v>
      </c>
    </row>
    <row r="375" spans="1:1" x14ac:dyDescent="0.3">
      <c r="A375">
        <v>328239523</v>
      </c>
    </row>
    <row r="376" spans="1:1" x14ac:dyDescent="0.3">
      <c r="A376">
        <v>328239523</v>
      </c>
    </row>
    <row r="377" spans="1:1" x14ac:dyDescent="0.3">
      <c r="A377">
        <v>328239523</v>
      </c>
    </row>
    <row r="378" spans="1:1" x14ac:dyDescent="0.3">
      <c r="A378">
        <v>328239523</v>
      </c>
    </row>
    <row r="379" spans="1:1" x14ac:dyDescent="0.3">
      <c r="A379">
        <v>328239523</v>
      </c>
    </row>
    <row r="380" spans="1:1" x14ac:dyDescent="0.3">
      <c r="A380">
        <v>328239523</v>
      </c>
    </row>
    <row r="381" spans="1:1" x14ac:dyDescent="0.3">
      <c r="A381">
        <v>328239523</v>
      </c>
    </row>
    <row r="382" spans="1:1" x14ac:dyDescent="0.3">
      <c r="A382">
        <v>328239523</v>
      </c>
    </row>
    <row r="383" spans="1:1" x14ac:dyDescent="0.3">
      <c r="A383">
        <v>328239523</v>
      </c>
    </row>
    <row r="384" spans="1:1" x14ac:dyDescent="0.3">
      <c r="A384">
        <v>328239523</v>
      </c>
    </row>
    <row r="385" spans="1:1" x14ac:dyDescent="0.3">
      <c r="A385">
        <v>328239523</v>
      </c>
    </row>
    <row r="386" spans="1:1" x14ac:dyDescent="0.3">
      <c r="A386">
        <v>328239523</v>
      </c>
    </row>
    <row r="387" spans="1:1" x14ac:dyDescent="0.3">
      <c r="A387">
        <v>328239523</v>
      </c>
    </row>
    <row r="388" spans="1:1" x14ac:dyDescent="0.3">
      <c r="A388">
        <v>328239523</v>
      </c>
    </row>
    <row r="389" spans="1:1" x14ac:dyDescent="0.3">
      <c r="A389">
        <v>328239523</v>
      </c>
    </row>
    <row r="390" spans="1:1" x14ac:dyDescent="0.3">
      <c r="A390">
        <v>328239523</v>
      </c>
    </row>
    <row r="391" spans="1:1" x14ac:dyDescent="0.3">
      <c r="A391">
        <v>328239523</v>
      </c>
    </row>
    <row r="392" spans="1:1" x14ac:dyDescent="0.3">
      <c r="A392">
        <v>328239523</v>
      </c>
    </row>
    <row r="393" spans="1:1" x14ac:dyDescent="0.3">
      <c r="A393">
        <v>328239523</v>
      </c>
    </row>
    <row r="394" spans="1:1" x14ac:dyDescent="0.3">
      <c r="A394">
        <v>328239523</v>
      </c>
    </row>
    <row r="395" spans="1:1" x14ac:dyDescent="0.3">
      <c r="A395">
        <v>328239523</v>
      </c>
    </row>
    <row r="396" spans="1:1" x14ac:dyDescent="0.3">
      <c r="A396">
        <v>328239523</v>
      </c>
    </row>
    <row r="397" spans="1:1" x14ac:dyDescent="0.3">
      <c r="A397">
        <v>328239523</v>
      </c>
    </row>
    <row r="398" spans="1:1" x14ac:dyDescent="0.3">
      <c r="A398">
        <v>328239523</v>
      </c>
    </row>
    <row r="399" spans="1:1" x14ac:dyDescent="0.3">
      <c r="A399">
        <v>328239523</v>
      </c>
    </row>
    <row r="400" spans="1:1" x14ac:dyDescent="0.3">
      <c r="A400">
        <v>328239523</v>
      </c>
    </row>
    <row r="401" spans="1:1" x14ac:dyDescent="0.3">
      <c r="A401">
        <v>328239523</v>
      </c>
    </row>
    <row r="402" spans="1:1" x14ac:dyDescent="0.3">
      <c r="A402">
        <v>328239523</v>
      </c>
    </row>
    <row r="403" spans="1:1" x14ac:dyDescent="0.3">
      <c r="A403">
        <v>328239523</v>
      </c>
    </row>
    <row r="404" spans="1:1" x14ac:dyDescent="0.3">
      <c r="A404">
        <v>328239523</v>
      </c>
    </row>
    <row r="405" spans="1:1" x14ac:dyDescent="0.3">
      <c r="A405">
        <v>328239523</v>
      </c>
    </row>
    <row r="406" spans="1:1" x14ac:dyDescent="0.3">
      <c r="A406">
        <v>328239523</v>
      </c>
    </row>
    <row r="407" spans="1:1" x14ac:dyDescent="0.3">
      <c r="A407">
        <v>328239523</v>
      </c>
    </row>
    <row r="408" spans="1:1" x14ac:dyDescent="0.3">
      <c r="A408">
        <v>328239523</v>
      </c>
    </row>
    <row r="409" spans="1:1" x14ac:dyDescent="0.3">
      <c r="A409">
        <v>328239523</v>
      </c>
    </row>
    <row r="410" spans="1:1" x14ac:dyDescent="0.3">
      <c r="A410">
        <v>328239523</v>
      </c>
    </row>
    <row r="411" spans="1:1" x14ac:dyDescent="0.3">
      <c r="A411">
        <v>328239523</v>
      </c>
    </row>
    <row r="412" spans="1:1" x14ac:dyDescent="0.3">
      <c r="A412">
        <v>328239523</v>
      </c>
    </row>
    <row r="413" spans="1:1" x14ac:dyDescent="0.3">
      <c r="A413">
        <v>328239523</v>
      </c>
    </row>
    <row r="414" spans="1:1" x14ac:dyDescent="0.3">
      <c r="A414">
        <v>328239523</v>
      </c>
    </row>
    <row r="415" spans="1:1" x14ac:dyDescent="0.3">
      <c r="A415">
        <v>328239523</v>
      </c>
    </row>
    <row r="416" spans="1:1" x14ac:dyDescent="0.3">
      <c r="A416">
        <v>328239523</v>
      </c>
    </row>
    <row r="417" spans="1:1" x14ac:dyDescent="0.3">
      <c r="A417">
        <v>328239523</v>
      </c>
    </row>
    <row r="418" spans="1:1" x14ac:dyDescent="0.3">
      <c r="A418">
        <v>328239523</v>
      </c>
    </row>
    <row r="419" spans="1:1" x14ac:dyDescent="0.3">
      <c r="A419">
        <v>328239523</v>
      </c>
    </row>
    <row r="420" spans="1:1" x14ac:dyDescent="0.3">
      <c r="A420">
        <v>328239523</v>
      </c>
    </row>
    <row r="421" spans="1:1" x14ac:dyDescent="0.3">
      <c r="A421">
        <v>328239523</v>
      </c>
    </row>
    <row r="422" spans="1:1" x14ac:dyDescent="0.3">
      <c r="A422">
        <v>328239523</v>
      </c>
    </row>
    <row r="423" spans="1:1" x14ac:dyDescent="0.3">
      <c r="A423">
        <v>328239523</v>
      </c>
    </row>
    <row r="424" spans="1:1" x14ac:dyDescent="0.3">
      <c r="A424">
        <v>328239523</v>
      </c>
    </row>
    <row r="425" spans="1:1" x14ac:dyDescent="0.3">
      <c r="A425">
        <v>328239523</v>
      </c>
    </row>
    <row r="426" spans="1:1" x14ac:dyDescent="0.3">
      <c r="A426">
        <v>328239523</v>
      </c>
    </row>
    <row r="427" spans="1:1" x14ac:dyDescent="0.3">
      <c r="A427">
        <v>328239523</v>
      </c>
    </row>
    <row r="428" spans="1:1" x14ac:dyDescent="0.3">
      <c r="A428">
        <v>328239523</v>
      </c>
    </row>
    <row r="429" spans="1:1" x14ac:dyDescent="0.3">
      <c r="A429">
        <v>328239523</v>
      </c>
    </row>
    <row r="430" spans="1:1" x14ac:dyDescent="0.3">
      <c r="A430">
        <v>328239523</v>
      </c>
    </row>
    <row r="431" spans="1:1" x14ac:dyDescent="0.3">
      <c r="A431">
        <v>328239523</v>
      </c>
    </row>
    <row r="432" spans="1:1" x14ac:dyDescent="0.3">
      <c r="A432">
        <v>328239523</v>
      </c>
    </row>
    <row r="433" spans="1:1" x14ac:dyDescent="0.3">
      <c r="A433">
        <v>328239523</v>
      </c>
    </row>
    <row r="434" spans="1:1" x14ac:dyDescent="0.3">
      <c r="A434">
        <v>328239523</v>
      </c>
    </row>
    <row r="435" spans="1:1" x14ac:dyDescent="0.3">
      <c r="A435">
        <v>328239523</v>
      </c>
    </row>
    <row r="436" spans="1:1" x14ac:dyDescent="0.3">
      <c r="A436">
        <v>328239523</v>
      </c>
    </row>
    <row r="437" spans="1:1" x14ac:dyDescent="0.3">
      <c r="A437">
        <v>328239523</v>
      </c>
    </row>
    <row r="438" spans="1:1" x14ac:dyDescent="0.3">
      <c r="A438">
        <v>328239523</v>
      </c>
    </row>
    <row r="439" spans="1:1" x14ac:dyDescent="0.3">
      <c r="A439">
        <v>328239523</v>
      </c>
    </row>
    <row r="440" spans="1:1" x14ac:dyDescent="0.3">
      <c r="A440">
        <v>328239523</v>
      </c>
    </row>
    <row r="441" spans="1:1" x14ac:dyDescent="0.3">
      <c r="A441">
        <v>328239523</v>
      </c>
    </row>
    <row r="442" spans="1:1" x14ac:dyDescent="0.3">
      <c r="A442">
        <v>328239523</v>
      </c>
    </row>
    <row r="443" spans="1:1" x14ac:dyDescent="0.3">
      <c r="A443">
        <v>328239523</v>
      </c>
    </row>
    <row r="444" spans="1:1" x14ac:dyDescent="0.3">
      <c r="A444">
        <v>328239523</v>
      </c>
    </row>
    <row r="445" spans="1:1" x14ac:dyDescent="0.3">
      <c r="A445">
        <v>328239523</v>
      </c>
    </row>
    <row r="446" spans="1:1" x14ac:dyDescent="0.3">
      <c r="A446">
        <v>328239523</v>
      </c>
    </row>
    <row r="447" spans="1:1" x14ac:dyDescent="0.3">
      <c r="A447">
        <v>328239523</v>
      </c>
    </row>
    <row r="448" spans="1:1" x14ac:dyDescent="0.3">
      <c r="A448">
        <v>328239523</v>
      </c>
    </row>
    <row r="449" spans="1:1" x14ac:dyDescent="0.3">
      <c r="A449">
        <v>328239523</v>
      </c>
    </row>
    <row r="450" spans="1:1" x14ac:dyDescent="0.3">
      <c r="A450">
        <v>328239523</v>
      </c>
    </row>
    <row r="451" spans="1:1" x14ac:dyDescent="0.3">
      <c r="A451">
        <v>328239523</v>
      </c>
    </row>
    <row r="452" spans="1:1" x14ac:dyDescent="0.3">
      <c r="A452">
        <v>328239523</v>
      </c>
    </row>
    <row r="453" spans="1:1" x14ac:dyDescent="0.3">
      <c r="A453">
        <v>328239523</v>
      </c>
    </row>
    <row r="454" spans="1:1" x14ac:dyDescent="0.3">
      <c r="A454">
        <v>328239523</v>
      </c>
    </row>
    <row r="455" spans="1:1" x14ac:dyDescent="0.3">
      <c r="A455">
        <v>328239523</v>
      </c>
    </row>
    <row r="456" spans="1:1" x14ac:dyDescent="0.3">
      <c r="A456">
        <v>328239523</v>
      </c>
    </row>
    <row r="457" spans="1:1" x14ac:dyDescent="0.3">
      <c r="A457">
        <v>328239523</v>
      </c>
    </row>
    <row r="458" spans="1:1" x14ac:dyDescent="0.3">
      <c r="A458">
        <v>328239523</v>
      </c>
    </row>
    <row r="459" spans="1:1" x14ac:dyDescent="0.3">
      <c r="A459">
        <v>328239523</v>
      </c>
    </row>
    <row r="460" spans="1:1" x14ac:dyDescent="0.3">
      <c r="A460">
        <v>328239523</v>
      </c>
    </row>
    <row r="461" spans="1:1" x14ac:dyDescent="0.3">
      <c r="A461">
        <v>328239523</v>
      </c>
    </row>
    <row r="462" spans="1:1" x14ac:dyDescent="0.3">
      <c r="A462">
        <v>328239523</v>
      </c>
    </row>
    <row r="463" spans="1:1" x14ac:dyDescent="0.3">
      <c r="A463">
        <v>328239523</v>
      </c>
    </row>
    <row r="464" spans="1:1" x14ac:dyDescent="0.3">
      <c r="A464">
        <v>328239523</v>
      </c>
    </row>
    <row r="465" spans="1:1" x14ac:dyDescent="0.3">
      <c r="A465">
        <v>328239523</v>
      </c>
    </row>
    <row r="466" spans="1:1" x14ac:dyDescent="0.3">
      <c r="A466">
        <v>328239523</v>
      </c>
    </row>
    <row r="467" spans="1:1" x14ac:dyDescent="0.3">
      <c r="A467">
        <v>328239523</v>
      </c>
    </row>
    <row r="468" spans="1:1" x14ac:dyDescent="0.3">
      <c r="A468">
        <v>328239523</v>
      </c>
    </row>
    <row r="469" spans="1:1" x14ac:dyDescent="0.3">
      <c r="A469">
        <v>328239523</v>
      </c>
    </row>
    <row r="470" spans="1:1" x14ac:dyDescent="0.3">
      <c r="A470">
        <v>328239523</v>
      </c>
    </row>
    <row r="471" spans="1:1" x14ac:dyDescent="0.3">
      <c r="A471">
        <v>328239523</v>
      </c>
    </row>
    <row r="472" spans="1:1" x14ac:dyDescent="0.3">
      <c r="A472">
        <v>328239523</v>
      </c>
    </row>
    <row r="473" spans="1:1" x14ac:dyDescent="0.3">
      <c r="A473">
        <v>328239523</v>
      </c>
    </row>
    <row r="474" spans="1:1" x14ac:dyDescent="0.3">
      <c r="A474">
        <v>328239523</v>
      </c>
    </row>
    <row r="475" spans="1:1" x14ac:dyDescent="0.3">
      <c r="A475">
        <v>328239523</v>
      </c>
    </row>
    <row r="476" spans="1:1" x14ac:dyDescent="0.3">
      <c r="A476">
        <v>328239523</v>
      </c>
    </row>
    <row r="477" spans="1:1" x14ac:dyDescent="0.3">
      <c r="A477">
        <v>328239523</v>
      </c>
    </row>
    <row r="478" spans="1:1" x14ac:dyDescent="0.3">
      <c r="A478">
        <v>328239523</v>
      </c>
    </row>
    <row r="479" spans="1:1" x14ac:dyDescent="0.3">
      <c r="A479">
        <v>328239523</v>
      </c>
    </row>
    <row r="480" spans="1:1" x14ac:dyDescent="0.3">
      <c r="A480">
        <v>328239523</v>
      </c>
    </row>
    <row r="481" spans="1:1" x14ac:dyDescent="0.3">
      <c r="A481">
        <v>328239523</v>
      </c>
    </row>
    <row r="482" spans="1:1" x14ac:dyDescent="0.3">
      <c r="A482">
        <v>328239523</v>
      </c>
    </row>
    <row r="483" spans="1:1" x14ac:dyDescent="0.3">
      <c r="A483">
        <v>328239523</v>
      </c>
    </row>
    <row r="484" spans="1:1" x14ac:dyDescent="0.3">
      <c r="A484">
        <v>328239523</v>
      </c>
    </row>
    <row r="485" spans="1:1" x14ac:dyDescent="0.3">
      <c r="A485">
        <v>328239523</v>
      </c>
    </row>
    <row r="486" spans="1:1" x14ac:dyDescent="0.3">
      <c r="A486">
        <v>328239523</v>
      </c>
    </row>
    <row r="487" spans="1:1" x14ac:dyDescent="0.3">
      <c r="A487">
        <v>328239523</v>
      </c>
    </row>
    <row r="488" spans="1:1" x14ac:dyDescent="0.3">
      <c r="A488">
        <v>328239523</v>
      </c>
    </row>
    <row r="489" spans="1:1" x14ac:dyDescent="0.3">
      <c r="A489">
        <v>328239523</v>
      </c>
    </row>
    <row r="490" spans="1:1" x14ac:dyDescent="0.3">
      <c r="A490">
        <v>328239523</v>
      </c>
    </row>
    <row r="491" spans="1:1" x14ac:dyDescent="0.3">
      <c r="A491">
        <v>328239523</v>
      </c>
    </row>
    <row r="492" spans="1:1" x14ac:dyDescent="0.3">
      <c r="A492">
        <v>328239523</v>
      </c>
    </row>
    <row r="493" spans="1:1" x14ac:dyDescent="0.3">
      <c r="A493">
        <v>328239523</v>
      </c>
    </row>
    <row r="494" spans="1:1" x14ac:dyDescent="0.3">
      <c r="A494">
        <v>328239523</v>
      </c>
    </row>
    <row r="495" spans="1:1" x14ac:dyDescent="0.3">
      <c r="A495">
        <v>328239523</v>
      </c>
    </row>
    <row r="496" spans="1:1" x14ac:dyDescent="0.3">
      <c r="A496">
        <v>328239523</v>
      </c>
    </row>
    <row r="497" spans="1:1" x14ac:dyDescent="0.3">
      <c r="A497">
        <v>328239523</v>
      </c>
    </row>
    <row r="498" spans="1:1" x14ac:dyDescent="0.3">
      <c r="A498">
        <v>328239523</v>
      </c>
    </row>
    <row r="499" spans="1:1" x14ac:dyDescent="0.3">
      <c r="A499">
        <v>328239523</v>
      </c>
    </row>
    <row r="500" spans="1:1" x14ac:dyDescent="0.3">
      <c r="A500">
        <v>328239523</v>
      </c>
    </row>
    <row r="501" spans="1:1" x14ac:dyDescent="0.3">
      <c r="A501">
        <v>328239523</v>
      </c>
    </row>
    <row r="502" spans="1:1" x14ac:dyDescent="0.3">
      <c r="A502">
        <v>328239523</v>
      </c>
    </row>
    <row r="503" spans="1:1" x14ac:dyDescent="0.3">
      <c r="A503">
        <v>328239523</v>
      </c>
    </row>
    <row r="504" spans="1:1" x14ac:dyDescent="0.3">
      <c r="A504">
        <v>328239523</v>
      </c>
    </row>
    <row r="505" spans="1:1" x14ac:dyDescent="0.3">
      <c r="A505">
        <v>328239523</v>
      </c>
    </row>
    <row r="506" spans="1:1" x14ac:dyDescent="0.3">
      <c r="A506">
        <v>328239523</v>
      </c>
    </row>
    <row r="507" spans="1:1" x14ac:dyDescent="0.3">
      <c r="A507">
        <v>328239523</v>
      </c>
    </row>
    <row r="508" spans="1:1" x14ac:dyDescent="0.3">
      <c r="A508">
        <v>328239523</v>
      </c>
    </row>
    <row r="509" spans="1:1" x14ac:dyDescent="0.3">
      <c r="A509">
        <v>328239523</v>
      </c>
    </row>
    <row r="510" spans="1:1" x14ac:dyDescent="0.3">
      <c r="A510">
        <v>328239523</v>
      </c>
    </row>
    <row r="511" spans="1:1" x14ac:dyDescent="0.3">
      <c r="A511">
        <v>328239523</v>
      </c>
    </row>
    <row r="512" spans="1:1" x14ac:dyDescent="0.3">
      <c r="A512">
        <v>328239523</v>
      </c>
    </row>
    <row r="513" spans="1:1" x14ac:dyDescent="0.3">
      <c r="A513">
        <v>328239523</v>
      </c>
    </row>
    <row r="514" spans="1:1" x14ac:dyDescent="0.3">
      <c r="A514">
        <v>328239523</v>
      </c>
    </row>
    <row r="515" spans="1:1" x14ac:dyDescent="0.3">
      <c r="A515">
        <v>328239523</v>
      </c>
    </row>
    <row r="516" spans="1:1" x14ac:dyDescent="0.3">
      <c r="A516">
        <v>328239523</v>
      </c>
    </row>
    <row r="517" spans="1:1" x14ac:dyDescent="0.3">
      <c r="A517">
        <v>328239523</v>
      </c>
    </row>
    <row r="518" spans="1:1" x14ac:dyDescent="0.3">
      <c r="A518">
        <v>328239523</v>
      </c>
    </row>
    <row r="519" spans="1:1" x14ac:dyDescent="0.3">
      <c r="A519">
        <v>328239523</v>
      </c>
    </row>
    <row r="520" spans="1:1" x14ac:dyDescent="0.3">
      <c r="A520">
        <v>328239523</v>
      </c>
    </row>
    <row r="521" spans="1:1" x14ac:dyDescent="0.3">
      <c r="A521">
        <v>328239523</v>
      </c>
    </row>
    <row r="522" spans="1:1" x14ac:dyDescent="0.3">
      <c r="A522">
        <v>328239523</v>
      </c>
    </row>
    <row r="523" spans="1:1" x14ac:dyDescent="0.3">
      <c r="A523">
        <v>328239523</v>
      </c>
    </row>
    <row r="524" spans="1:1" x14ac:dyDescent="0.3">
      <c r="A524">
        <v>328239523</v>
      </c>
    </row>
    <row r="525" spans="1:1" x14ac:dyDescent="0.3">
      <c r="A525">
        <v>328239523</v>
      </c>
    </row>
    <row r="526" spans="1:1" x14ac:dyDescent="0.3">
      <c r="A526">
        <v>328239523</v>
      </c>
    </row>
    <row r="527" spans="1:1" x14ac:dyDescent="0.3">
      <c r="A527">
        <v>328239523</v>
      </c>
    </row>
    <row r="528" spans="1:1" x14ac:dyDescent="0.3">
      <c r="A528">
        <v>328239523</v>
      </c>
    </row>
    <row r="529" spans="1:1" x14ac:dyDescent="0.3">
      <c r="A529">
        <v>328239523</v>
      </c>
    </row>
    <row r="530" spans="1:1" x14ac:dyDescent="0.3">
      <c r="A530">
        <v>328239523</v>
      </c>
    </row>
    <row r="531" spans="1:1" x14ac:dyDescent="0.3">
      <c r="A531">
        <v>328239523</v>
      </c>
    </row>
    <row r="532" spans="1:1" x14ac:dyDescent="0.3">
      <c r="A532">
        <v>328239523</v>
      </c>
    </row>
    <row r="533" spans="1:1" x14ac:dyDescent="0.3">
      <c r="A533">
        <v>328239523</v>
      </c>
    </row>
    <row r="534" spans="1:1" x14ac:dyDescent="0.3">
      <c r="A534">
        <v>328239523</v>
      </c>
    </row>
    <row r="535" spans="1:1" x14ac:dyDescent="0.3">
      <c r="A535">
        <v>328239523</v>
      </c>
    </row>
    <row r="536" spans="1:1" x14ac:dyDescent="0.3">
      <c r="A536">
        <v>328239523</v>
      </c>
    </row>
    <row r="537" spans="1:1" x14ac:dyDescent="0.3">
      <c r="A537">
        <v>328239523</v>
      </c>
    </row>
    <row r="538" spans="1:1" x14ac:dyDescent="0.3">
      <c r="A538">
        <v>328239523</v>
      </c>
    </row>
    <row r="539" spans="1:1" x14ac:dyDescent="0.3">
      <c r="A539">
        <v>328239523</v>
      </c>
    </row>
    <row r="540" spans="1:1" x14ac:dyDescent="0.3">
      <c r="A540">
        <v>328239523</v>
      </c>
    </row>
    <row r="541" spans="1:1" x14ac:dyDescent="0.3">
      <c r="A541">
        <v>328239523</v>
      </c>
    </row>
    <row r="542" spans="1:1" x14ac:dyDescent="0.3">
      <c r="A542">
        <v>328239523</v>
      </c>
    </row>
    <row r="543" spans="1:1" x14ac:dyDescent="0.3">
      <c r="A543">
        <v>328239523</v>
      </c>
    </row>
    <row r="544" spans="1:1" x14ac:dyDescent="0.3">
      <c r="A544">
        <v>328239523</v>
      </c>
    </row>
    <row r="545" spans="1:1" x14ac:dyDescent="0.3">
      <c r="A545">
        <v>328239523</v>
      </c>
    </row>
    <row r="546" spans="1:1" x14ac:dyDescent="0.3">
      <c r="A546">
        <v>328239523</v>
      </c>
    </row>
    <row r="547" spans="1:1" x14ac:dyDescent="0.3">
      <c r="A547">
        <v>328239523</v>
      </c>
    </row>
    <row r="548" spans="1:1" x14ac:dyDescent="0.3">
      <c r="A548">
        <v>328239523</v>
      </c>
    </row>
    <row r="549" spans="1:1" x14ac:dyDescent="0.3">
      <c r="A549">
        <v>328239523</v>
      </c>
    </row>
    <row r="550" spans="1:1" x14ac:dyDescent="0.3">
      <c r="A550">
        <v>328239523</v>
      </c>
    </row>
    <row r="551" spans="1:1" x14ac:dyDescent="0.3">
      <c r="A551">
        <v>328239523</v>
      </c>
    </row>
    <row r="552" spans="1:1" x14ac:dyDescent="0.3">
      <c r="A552">
        <v>328239523</v>
      </c>
    </row>
    <row r="553" spans="1:1" x14ac:dyDescent="0.3">
      <c r="A553">
        <v>328239523</v>
      </c>
    </row>
    <row r="554" spans="1:1" x14ac:dyDescent="0.3">
      <c r="A554">
        <v>328239523</v>
      </c>
    </row>
    <row r="555" spans="1:1" x14ac:dyDescent="0.3">
      <c r="A555">
        <v>328239523</v>
      </c>
    </row>
    <row r="556" spans="1:1" x14ac:dyDescent="0.3">
      <c r="A556">
        <v>328239523</v>
      </c>
    </row>
    <row r="557" spans="1:1" x14ac:dyDescent="0.3">
      <c r="A557">
        <v>328239523</v>
      </c>
    </row>
    <row r="558" spans="1:1" x14ac:dyDescent="0.3">
      <c r="A558">
        <v>328239523</v>
      </c>
    </row>
    <row r="559" spans="1:1" x14ac:dyDescent="0.3">
      <c r="A559">
        <v>328239523</v>
      </c>
    </row>
    <row r="560" spans="1:1" x14ac:dyDescent="0.3">
      <c r="A560">
        <v>328239523</v>
      </c>
    </row>
    <row r="561" spans="1:1" x14ac:dyDescent="0.3">
      <c r="A561">
        <v>328239523</v>
      </c>
    </row>
    <row r="562" spans="1:1" x14ac:dyDescent="0.3">
      <c r="A562">
        <v>328239523</v>
      </c>
    </row>
    <row r="563" spans="1:1" x14ac:dyDescent="0.3">
      <c r="A563">
        <v>328239523</v>
      </c>
    </row>
    <row r="564" spans="1:1" x14ac:dyDescent="0.3">
      <c r="A564">
        <v>328239523</v>
      </c>
    </row>
    <row r="565" spans="1:1" x14ac:dyDescent="0.3">
      <c r="A565">
        <v>328239523</v>
      </c>
    </row>
    <row r="566" spans="1:1" x14ac:dyDescent="0.3">
      <c r="A566">
        <v>328239523</v>
      </c>
    </row>
    <row r="567" spans="1:1" x14ac:dyDescent="0.3">
      <c r="A567">
        <v>328239523</v>
      </c>
    </row>
    <row r="568" spans="1:1" x14ac:dyDescent="0.3">
      <c r="A568">
        <v>328239523</v>
      </c>
    </row>
    <row r="569" spans="1:1" x14ac:dyDescent="0.3">
      <c r="A569">
        <v>328239523</v>
      </c>
    </row>
    <row r="570" spans="1:1" x14ac:dyDescent="0.3">
      <c r="A570">
        <v>328239523</v>
      </c>
    </row>
    <row r="571" spans="1:1" x14ac:dyDescent="0.3">
      <c r="A571">
        <v>328239523</v>
      </c>
    </row>
    <row r="572" spans="1:1" x14ac:dyDescent="0.3">
      <c r="A572">
        <v>328239523</v>
      </c>
    </row>
    <row r="573" spans="1:1" x14ac:dyDescent="0.3">
      <c r="A573">
        <v>328239523</v>
      </c>
    </row>
    <row r="574" spans="1:1" x14ac:dyDescent="0.3">
      <c r="A574">
        <v>328239523</v>
      </c>
    </row>
    <row r="575" spans="1:1" x14ac:dyDescent="0.3">
      <c r="A575">
        <v>328239523</v>
      </c>
    </row>
    <row r="576" spans="1:1" x14ac:dyDescent="0.3">
      <c r="A576">
        <v>328239523</v>
      </c>
    </row>
    <row r="577" spans="1:1" x14ac:dyDescent="0.3">
      <c r="A577">
        <v>328239523</v>
      </c>
    </row>
    <row r="578" spans="1:1" x14ac:dyDescent="0.3">
      <c r="A578">
        <v>328239523</v>
      </c>
    </row>
    <row r="579" spans="1:1" x14ac:dyDescent="0.3">
      <c r="A579">
        <v>328239523</v>
      </c>
    </row>
    <row r="580" spans="1:1" x14ac:dyDescent="0.3">
      <c r="A580">
        <v>328239523</v>
      </c>
    </row>
    <row r="581" spans="1:1" x14ac:dyDescent="0.3">
      <c r="A581">
        <v>328239523</v>
      </c>
    </row>
    <row r="582" spans="1:1" x14ac:dyDescent="0.3">
      <c r="A582">
        <v>328239523</v>
      </c>
    </row>
    <row r="583" spans="1:1" x14ac:dyDescent="0.3">
      <c r="A583">
        <v>328239523</v>
      </c>
    </row>
    <row r="584" spans="1:1" x14ac:dyDescent="0.3">
      <c r="A584">
        <v>328239523</v>
      </c>
    </row>
    <row r="585" spans="1:1" x14ac:dyDescent="0.3">
      <c r="A585">
        <v>328239523</v>
      </c>
    </row>
    <row r="586" spans="1:1" x14ac:dyDescent="0.3">
      <c r="A586">
        <v>328239523</v>
      </c>
    </row>
    <row r="587" spans="1:1" x14ac:dyDescent="0.3">
      <c r="A587">
        <v>328239523</v>
      </c>
    </row>
    <row r="588" spans="1:1" x14ac:dyDescent="0.3">
      <c r="A588">
        <v>328239523</v>
      </c>
    </row>
    <row r="589" spans="1:1" x14ac:dyDescent="0.3">
      <c r="A589">
        <v>328239523</v>
      </c>
    </row>
    <row r="590" spans="1:1" x14ac:dyDescent="0.3">
      <c r="A590">
        <v>328239523</v>
      </c>
    </row>
    <row r="591" spans="1:1" x14ac:dyDescent="0.3">
      <c r="A591">
        <v>328239523</v>
      </c>
    </row>
    <row r="592" spans="1:1" x14ac:dyDescent="0.3">
      <c r="A592">
        <v>328239523</v>
      </c>
    </row>
    <row r="593" spans="1:1" x14ac:dyDescent="0.3">
      <c r="A593">
        <v>328239523</v>
      </c>
    </row>
    <row r="594" spans="1:1" x14ac:dyDescent="0.3">
      <c r="A594">
        <v>328239523</v>
      </c>
    </row>
    <row r="595" spans="1:1" x14ac:dyDescent="0.3">
      <c r="A595">
        <v>328239523</v>
      </c>
    </row>
    <row r="596" spans="1:1" x14ac:dyDescent="0.3">
      <c r="A596">
        <v>328239523</v>
      </c>
    </row>
    <row r="597" spans="1:1" x14ac:dyDescent="0.3">
      <c r="A597">
        <v>328239523</v>
      </c>
    </row>
    <row r="598" spans="1:1" x14ac:dyDescent="0.3">
      <c r="A598">
        <v>328239523</v>
      </c>
    </row>
    <row r="599" spans="1:1" x14ac:dyDescent="0.3">
      <c r="A599">
        <v>328239523</v>
      </c>
    </row>
    <row r="600" spans="1:1" x14ac:dyDescent="0.3">
      <c r="A600">
        <v>328239523</v>
      </c>
    </row>
    <row r="601" spans="1:1" x14ac:dyDescent="0.3">
      <c r="A601">
        <v>328239523</v>
      </c>
    </row>
    <row r="602" spans="1:1" x14ac:dyDescent="0.3">
      <c r="A602">
        <v>328239523</v>
      </c>
    </row>
    <row r="603" spans="1:1" x14ac:dyDescent="0.3">
      <c r="A603">
        <v>328239523</v>
      </c>
    </row>
    <row r="604" spans="1:1" x14ac:dyDescent="0.3">
      <c r="A604">
        <v>328239523</v>
      </c>
    </row>
    <row r="605" spans="1:1" x14ac:dyDescent="0.3">
      <c r="A605">
        <v>328239523</v>
      </c>
    </row>
    <row r="606" spans="1:1" x14ac:dyDescent="0.3">
      <c r="A606">
        <v>328239523</v>
      </c>
    </row>
    <row r="607" spans="1:1" x14ac:dyDescent="0.3">
      <c r="A607">
        <v>328239523</v>
      </c>
    </row>
    <row r="608" spans="1:1" x14ac:dyDescent="0.3">
      <c r="A608">
        <v>328239523</v>
      </c>
    </row>
    <row r="609" spans="1:1" x14ac:dyDescent="0.3">
      <c r="A609">
        <v>328239523</v>
      </c>
    </row>
    <row r="610" spans="1:1" x14ac:dyDescent="0.3">
      <c r="A610">
        <v>328239523</v>
      </c>
    </row>
    <row r="611" spans="1:1" x14ac:dyDescent="0.3">
      <c r="A611">
        <v>328239523</v>
      </c>
    </row>
    <row r="612" spans="1:1" x14ac:dyDescent="0.3">
      <c r="A612">
        <v>328239523</v>
      </c>
    </row>
    <row r="613" spans="1:1" x14ac:dyDescent="0.3">
      <c r="A613">
        <v>328239523</v>
      </c>
    </row>
    <row r="614" spans="1:1" x14ac:dyDescent="0.3">
      <c r="A614">
        <v>328239523</v>
      </c>
    </row>
    <row r="615" spans="1:1" x14ac:dyDescent="0.3">
      <c r="A615">
        <v>328239523</v>
      </c>
    </row>
    <row r="616" spans="1:1" x14ac:dyDescent="0.3">
      <c r="A616">
        <v>328239523</v>
      </c>
    </row>
    <row r="617" spans="1:1" x14ac:dyDescent="0.3">
      <c r="A617">
        <v>328239523</v>
      </c>
    </row>
    <row r="618" spans="1:1" x14ac:dyDescent="0.3">
      <c r="A618">
        <v>328239523</v>
      </c>
    </row>
    <row r="619" spans="1:1" x14ac:dyDescent="0.3">
      <c r="A619">
        <v>328239523</v>
      </c>
    </row>
    <row r="620" spans="1:1" x14ac:dyDescent="0.3">
      <c r="A620">
        <v>328239523</v>
      </c>
    </row>
    <row r="621" spans="1:1" x14ac:dyDescent="0.3">
      <c r="A621">
        <v>328239523</v>
      </c>
    </row>
    <row r="622" spans="1:1" x14ac:dyDescent="0.3">
      <c r="A622">
        <v>328239523</v>
      </c>
    </row>
    <row r="623" spans="1:1" x14ac:dyDescent="0.3">
      <c r="A623">
        <v>328239523</v>
      </c>
    </row>
    <row r="624" spans="1:1" x14ac:dyDescent="0.3">
      <c r="A624">
        <v>328239523</v>
      </c>
    </row>
    <row r="625" spans="1:1" x14ac:dyDescent="0.3">
      <c r="A625">
        <v>328239523</v>
      </c>
    </row>
    <row r="626" spans="1:1" x14ac:dyDescent="0.3">
      <c r="A626">
        <v>328239523</v>
      </c>
    </row>
    <row r="627" spans="1:1" x14ac:dyDescent="0.3">
      <c r="A627">
        <v>328239523</v>
      </c>
    </row>
    <row r="628" spans="1:1" x14ac:dyDescent="0.3">
      <c r="A628">
        <v>328239523</v>
      </c>
    </row>
    <row r="629" spans="1:1" x14ac:dyDescent="0.3">
      <c r="A629">
        <v>328239523</v>
      </c>
    </row>
    <row r="630" spans="1:1" x14ac:dyDescent="0.3">
      <c r="A630">
        <v>328239523</v>
      </c>
    </row>
    <row r="631" spans="1:1" x14ac:dyDescent="0.3">
      <c r="A631">
        <v>328239523</v>
      </c>
    </row>
    <row r="632" spans="1:1" x14ac:dyDescent="0.3">
      <c r="A632">
        <v>328239523</v>
      </c>
    </row>
    <row r="633" spans="1:1" x14ac:dyDescent="0.3">
      <c r="A633">
        <v>328239523</v>
      </c>
    </row>
    <row r="634" spans="1:1" x14ac:dyDescent="0.3">
      <c r="A634">
        <v>328239523</v>
      </c>
    </row>
    <row r="635" spans="1:1" x14ac:dyDescent="0.3">
      <c r="A635">
        <v>328239523</v>
      </c>
    </row>
    <row r="636" spans="1:1" x14ac:dyDescent="0.3">
      <c r="A636">
        <v>328239523</v>
      </c>
    </row>
    <row r="637" spans="1:1" x14ac:dyDescent="0.3">
      <c r="A637">
        <v>328239523</v>
      </c>
    </row>
    <row r="638" spans="1:1" x14ac:dyDescent="0.3">
      <c r="A638">
        <v>328239523</v>
      </c>
    </row>
    <row r="639" spans="1:1" x14ac:dyDescent="0.3">
      <c r="A639">
        <v>328239523</v>
      </c>
    </row>
    <row r="640" spans="1:1" x14ac:dyDescent="0.3">
      <c r="A640">
        <v>328239523</v>
      </c>
    </row>
    <row r="641" spans="1:1" x14ac:dyDescent="0.3">
      <c r="A641">
        <v>328239523</v>
      </c>
    </row>
    <row r="642" spans="1:1" x14ac:dyDescent="0.3">
      <c r="A642">
        <v>328239523</v>
      </c>
    </row>
    <row r="643" spans="1:1" x14ac:dyDescent="0.3">
      <c r="A643">
        <v>328239523</v>
      </c>
    </row>
    <row r="644" spans="1:1" x14ac:dyDescent="0.3">
      <c r="A644">
        <v>328239523</v>
      </c>
    </row>
    <row r="645" spans="1:1" x14ac:dyDescent="0.3">
      <c r="A645">
        <v>328239523</v>
      </c>
    </row>
    <row r="646" spans="1:1" x14ac:dyDescent="0.3">
      <c r="A646">
        <v>328239523</v>
      </c>
    </row>
    <row r="647" spans="1:1" x14ac:dyDescent="0.3">
      <c r="A647">
        <v>328239523</v>
      </c>
    </row>
    <row r="648" spans="1:1" x14ac:dyDescent="0.3">
      <c r="A648">
        <v>328239523</v>
      </c>
    </row>
    <row r="649" spans="1:1" x14ac:dyDescent="0.3">
      <c r="A649">
        <v>328239523</v>
      </c>
    </row>
    <row r="650" spans="1:1" x14ac:dyDescent="0.3">
      <c r="A650">
        <v>328239523</v>
      </c>
    </row>
    <row r="651" spans="1:1" x14ac:dyDescent="0.3">
      <c r="A651">
        <v>328239523</v>
      </c>
    </row>
    <row r="652" spans="1:1" x14ac:dyDescent="0.3">
      <c r="A652">
        <v>328239523</v>
      </c>
    </row>
    <row r="653" spans="1:1" x14ac:dyDescent="0.3">
      <c r="A653">
        <v>328239523</v>
      </c>
    </row>
    <row r="654" spans="1:1" x14ac:dyDescent="0.3">
      <c r="A654">
        <v>328239523</v>
      </c>
    </row>
    <row r="655" spans="1:1" x14ac:dyDescent="0.3">
      <c r="A655">
        <v>328239523</v>
      </c>
    </row>
    <row r="656" spans="1:1" x14ac:dyDescent="0.3">
      <c r="A656">
        <v>328239523</v>
      </c>
    </row>
    <row r="657" spans="1:1" x14ac:dyDescent="0.3">
      <c r="A657">
        <v>328239523</v>
      </c>
    </row>
    <row r="658" spans="1:1" x14ac:dyDescent="0.3">
      <c r="A658">
        <v>328239523</v>
      </c>
    </row>
    <row r="659" spans="1:1" x14ac:dyDescent="0.3">
      <c r="A659">
        <v>328239523</v>
      </c>
    </row>
    <row r="660" spans="1:1" x14ac:dyDescent="0.3">
      <c r="A660">
        <v>328239523</v>
      </c>
    </row>
    <row r="661" spans="1:1" x14ac:dyDescent="0.3">
      <c r="A661">
        <v>328239523</v>
      </c>
    </row>
    <row r="662" spans="1:1" x14ac:dyDescent="0.3">
      <c r="A662">
        <v>328239523</v>
      </c>
    </row>
    <row r="663" spans="1:1" x14ac:dyDescent="0.3">
      <c r="A663">
        <v>328239523</v>
      </c>
    </row>
    <row r="664" spans="1:1" x14ac:dyDescent="0.3">
      <c r="A664">
        <v>328239523</v>
      </c>
    </row>
    <row r="665" spans="1:1" x14ac:dyDescent="0.3">
      <c r="A665">
        <v>328239523</v>
      </c>
    </row>
    <row r="666" spans="1:1" x14ac:dyDescent="0.3">
      <c r="A666">
        <v>328239523</v>
      </c>
    </row>
    <row r="667" spans="1:1" x14ac:dyDescent="0.3">
      <c r="A667">
        <v>328239523</v>
      </c>
    </row>
    <row r="668" spans="1:1" x14ac:dyDescent="0.3">
      <c r="A668">
        <v>328239523</v>
      </c>
    </row>
    <row r="669" spans="1:1" x14ac:dyDescent="0.3">
      <c r="A669">
        <v>328239523</v>
      </c>
    </row>
    <row r="670" spans="1:1" x14ac:dyDescent="0.3">
      <c r="A670">
        <v>328239523</v>
      </c>
    </row>
    <row r="671" spans="1:1" x14ac:dyDescent="0.3">
      <c r="A671">
        <v>328239523</v>
      </c>
    </row>
    <row r="672" spans="1:1" x14ac:dyDescent="0.3">
      <c r="A672">
        <v>1366417754</v>
      </c>
    </row>
    <row r="673" spans="1:1" x14ac:dyDescent="0.3">
      <c r="A673">
        <v>1366417754</v>
      </c>
    </row>
    <row r="674" spans="1:1" x14ac:dyDescent="0.3">
      <c r="A674">
        <v>1366417754</v>
      </c>
    </row>
    <row r="675" spans="1:1" x14ac:dyDescent="0.3">
      <c r="A675">
        <v>1366417754</v>
      </c>
    </row>
    <row r="676" spans="1:1" x14ac:dyDescent="0.3">
      <c r="A676">
        <v>1366417754</v>
      </c>
    </row>
    <row r="677" spans="1:1" x14ac:dyDescent="0.3">
      <c r="A677">
        <v>1366417754</v>
      </c>
    </row>
    <row r="678" spans="1:1" x14ac:dyDescent="0.3">
      <c r="A678">
        <v>1366417754</v>
      </c>
    </row>
    <row r="679" spans="1:1" x14ac:dyDescent="0.3">
      <c r="A679">
        <v>1366417754</v>
      </c>
    </row>
    <row r="680" spans="1:1" x14ac:dyDescent="0.3">
      <c r="A680">
        <v>1366417754</v>
      </c>
    </row>
    <row r="681" spans="1:1" x14ac:dyDescent="0.3">
      <c r="A681">
        <v>1366417754</v>
      </c>
    </row>
    <row r="682" spans="1:1" x14ac:dyDescent="0.3">
      <c r="A682">
        <v>1366417754</v>
      </c>
    </row>
    <row r="683" spans="1:1" x14ac:dyDescent="0.3">
      <c r="A683">
        <v>1366417754</v>
      </c>
    </row>
    <row r="684" spans="1:1" x14ac:dyDescent="0.3">
      <c r="A684">
        <v>1366417754</v>
      </c>
    </row>
    <row r="685" spans="1:1" x14ac:dyDescent="0.3">
      <c r="A685">
        <v>1366417754</v>
      </c>
    </row>
    <row r="686" spans="1:1" x14ac:dyDescent="0.3">
      <c r="A686">
        <v>1366417754</v>
      </c>
    </row>
    <row r="687" spans="1:1" x14ac:dyDescent="0.3">
      <c r="A687">
        <v>1366417754</v>
      </c>
    </row>
    <row r="688" spans="1:1" x14ac:dyDescent="0.3">
      <c r="A688">
        <v>1366417754</v>
      </c>
    </row>
    <row r="689" spans="1:1" x14ac:dyDescent="0.3">
      <c r="A689">
        <v>1366417754</v>
      </c>
    </row>
    <row r="690" spans="1:1" x14ac:dyDescent="0.3">
      <c r="A690">
        <v>1366417754</v>
      </c>
    </row>
    <row r="691" spans="1:1" x14ac:dyDescent="0.3">
      <c r="A691">
        <v>1366417754</v>
      </c>
    </row>
    <row r="692" spans="1:1" x14ac:dyDescent="0.3">
      <c r="A692">
        <v>1366417754</v>
      </c>
    </row>
    <row r="693" spans="1:1" x14ac:dyDescent="0.3">
      <c r="A693">
        <v>1366417754</v>
      </c>
    </row>
    <row r="694" spans="1:1" x14ac:dyDescent="0.3">
      <c r="A694">
        <v>1366417754</v>
      </c>
    </row>
    <row r="695" spans="1:1" x14ac:dyDescent="0.3">
      <c r="A695">
        <v>1366417754</v>
      </c>
    </row>
    <row r="696" spans="1:1" x14ac:dyDescent="0.3">
      <c r="A696">
        <v>1366417754</v>
      </c>
    </row>
    <row r="697" spans="1:1" x14ac:dyDescent="0.3">
      <c r="A697">
        <v>1366417754</v>
      </c>
    </row>
    <row r="698" spans="1:1" x14ac:dyDescent="0.3">
      <c r="A698">
        <v>1366417754</v>
      </c>
    </row>
    <row r="699" spans="1:1" x14ac:dyDescent="0.3">
      <c r="A699">
        <v>1366417754</v>
      </c>
    </row>
    <row r="700" spans="1:1" x14ac:dyDescent="0.3">
      <c r="A700">
        <v>1366417754</v>
      </c>
    </row>
    <row r="701" spans="1:1" x14ac:dyDescent="0.3">
      <c r="A701">
        <v>1366417754</v>
      </c>
    </row>
    <row r="702" spans="1:1" x14ac:dyDescent="0.3">
      <c r="A702">
        <v>1366417754</v>
      </c>
    </row>
    <row r="703" spans="1:1" x14ac:dyDescent="0.3">
      <c r="A703">
        <v>1366417754</v>
      </c>
    </row>
    <row r="704" spans="1:1" x14ac:dyDescent="0.3">
      <c r="A704">
        <v>1366417754</v>
      </c>
    </row>
    <row r="705" spans="1:1" x14ac:dyDescent="0.3">
      <c r="A705">
        <v>1366417754</v>
      </c>
    </row>
    <row r="706" spans="1:1" x14ac:dyDescent="0.3">
      <c r="A706">
        <v>1366417754</v>
      </c>
    </row>
    <row r="707" spans="1:1" x14ac:dyDescent="0.3">
      <c r="A707">
        <v>1366417754</v>
      </c>
    </row>
    <row r="708" spans="1:1" x14ac:dyDescent="0.3">
      <c r="A708">
        <v>1366417754</v>
      </c>
    </row>
    <row r="709" spans="1:1" x14ac:dyDescent="0.3">
      <c r="A709">
        <v>1366417754</v>
      </c>
    </row>
    <row r="710" spans="1:1" x14ac:dyDescent="0.3">
      <c r="A710">
        <v>1366417754</v>
      </c>
    </row>
    <row r="711" spans="1:1" x14ac:dyDescent="0.3">
      <c r="A711">
        <v>1366417754</v>
      </c>
    </row>
    <row r="712" spans="1:1" x14ac:dyDescent="0.3">
      <c r="A712">
        <v>1366417754</v>
      </c>
    </row>
    <row r="713" spans="1:1" x14ac:dyDescent="0.3">
      <c r="A713">
        <v>1366417754</v>
      </c>
    </row>
    <row r="714" spans="1:1" x14ac:dyDescent="0.3">
      <c r="A714">
        <v>1366417754</v>
      </c>
    </row>
    <row r="715" spans="1:1" x14ac:dyDescent="0.3">
      <c r="A715">
        <v>1366417754</v>
      </c>
    </row>
    <row r="716" spans="1:1" x14ac:dyDescent="0.3">
      <c r="A716">
        <v>1366417754</v>
      </c>
    </row>
    <row r="717" spans="1:1" x14ac:dyDescent="0.3">
      <c r="A717">
        <v>1366417754</v>
      </c>
    </row>
    <row r="718" spans="1:1" x14ac:dyDescent="0.3">
      <c r="A718">
        <v>1366417754</v>
      </c>
    </row>
    <row r="719" spans="1:1" x14ac:dyDescent="0.3">
      <c r="A719">
        <v>1366417754</v>
      </c>
    </row>
    <row r="720" spans="1:1" x14ac:dyDescent="0.3">
      <c r="A720">
        <v>1366417754</v>
      </c>
    </row>
    <row r="721" spans="1:1" x14ac:dyDescent="0.3">
      <c r="A721">
        <v>1366417754</v>
      </c>
    </row>
    <row r="722" spans="1:1" x14ac:dyDescent="0.3">
      <c r="A722">
        <v>1366417754</v>
      </c>
    </row>
    <row r="723" spans="1:1" x14ac:dyDescent="0.3">
      <c r="A723">
        <v>1366417754</v>
      </c>
    </row>
    <row r="724" spans="1:1" x14ac:dyDescent="0.3">
      <c r="A724">
        <v>1366417754</v>
      </c>
    </row>
    <row r="725" spans="1:1" x14ac:dyDescent="0.3">
      <c r="A725">
        <v>1366417754</v>
      </c>
    </row>
    <row r="726" spans="1:1" x14ac:dyDescent="0.3">
      <c r="A726">
        <v>1366417754</v>
      </c>
    </row>
    <row r="727" spans="1:1" x14ac:dyDescent="0.3">
      <c r="A727">
        <v>1366417754</v>
      </c>
    </row>
    <row r="728" spans="1:1" x14ac:dyDescent="0.3">
      <c r="A728">
        <v>1366417754</v>
      </c>
    </row>
    <row r="729" spans="1:1" x14ac:dyDescent="0.3">
      <c r="A729">
        <v>1366417754</v>
      </c>
    </row>
    <row r="730" spans="1:1" x14ac:dyDescent="0.3">
      <c r="A730">
        <v>1366417754</v>
      </c>
    </row>
    <row r="731" spans="1:1" x14ac:dyDescent="0.3">
      <c r="A731">
        <v>1366417754</v>
      </c>
    </row>
    <row r="732" spans="1:1" x14ac:dyDescent="0.3">
      <c r="A732">
        <v>1366417754</v>
      </c>
    </row>
    <row r="733" spans="1:1" x14ac:dyDescent="0.3">
      <c r="A733">
        <v>1366417754</v>
      </c>
    </row>
    <row r="734" spans="1:1" x14ac:dyDescent="0.3">
      <c r="A734">
        <v>1366417754</v>
      </c>
    </row>
    <row r="735" spans="1:1" x14ac:dyDescent="0.3">
      <c r="A735">
        <v>1366417754</v>
      </c>
    </row>
    <row r="736" spans="1:1" x14ac:dyDescent="0.3">
      <c r="A736">
        <v>1366417754</v>
      </c>
    </row>
    <row r="737" spans="1:1" x14ac:dyDescent="0.3">
      <c r="A737">
        <v>1366417754</v>
      </c>
    </row>
    <row r="738" spans="1:1" x14ac:dyDescent="0.3">
      <c r="A738">
        <v>1366417754</v>
      </c>
    </row>
    <row r="739" spans="1:1" x14ac:dyDescent="0.3">
      <c r="A739">
        <v>1366417754</v>
      </c>
    </row>
    <row r="740" spans="1:1" x14ac:dyDescent="0.3">
      <c r="A740">
        <v>1366417754</v>
      </c>
    </row>
    <row r="741" spans="1:1" x14ac:dyDescent="0.3">
      <c r="A741">
        <v>1366417754</v>
      </c>
    </row>
    <row r="742" spans="1:1" x14ac:dyDescent="0.3">
      <c r="A742">
        <v>1366417754</v>
      </c>
    </row>
    <row r="743" spans="1:1" x14ac:dyDescent="0.3">
      <c r="A743">
        <v>1366417754</v>
      </c>
    </row>
    <row r="744" spans="1:1" x14ac:dyDescent="0.3">
      <c r="A744">
        <v>1366417754</v>
      </c>
    </row>
    <row r="745" spans="1:1" x14ac:dyDescent="0.3">
      <c r="A745">
        <v>1366417754</v>
      </c>
    </row>
    <row r="746" spans="1:1" x14ac:dyDescent="0.3">
      <c r="A746">
        <v>1366417754</v>
      </c>
    </row>
    <row r="747" spans="1:1" x14ac:dyDescent="0.3">
      <c r="A747">
        <v>1366417754</v>
      </c>
    </row>
    <row r="748" spans="1:1" x14ac:dyDescent="0.3">
      <c r="A748">
        <v>1366417754</v>
      </c>
    </row>
    <row r="749" spans="1:1" x14ac:dyDescent="0.3">
      <c r="A749">
        <v>1366417754</v>
      </c>
    </row>
    <row r="750" spans="1:1" x14ac:dyDescent="0.3">
      <c r="A750">
        <v>1366417754</v>
      </c>
    </row>
    <row r="751" spans="1:1" x14ac:dyDescent="0.3">
      <c r="A751">
        <v>1366417754</v>
      </c>
    </row>
    <row r="752" spans="1:1" x14ac:dyDescent="0.3">
      <c r="A752">
        <v>1366417754</v>
      </c>
    </row>
    <row r="753" spans="1:1" x14ac:dyDescent="0.3">
      <c r="A753">
        <v>1366417754</v>
      </c>
    </row>
    <row r="754" spans="1:1" x14ac:dyDescent="0.3">
      <c r="A754">
        <v>1366417754</v>
      </c>
    </row>
    <row r="755" spans="1:1" x14ac:dyDescent="0.3">
      <c r="A755">
        <v>1366417754</v>
      </c>
    </row>
    <row r="756" spans="1:1" x14ac:dyDescent="0.3">
      <c r="A756">
        <v>1366417754</v>
      </c>
    </row>
    <row r="757" spans="1:1" x14ac:dyDescent="0.3">
      <c r="A757">
        <v>1366417754</v>
      </c>
    </row>
    <row r="758" spans="1:1" x14ac:dyDescent="0.3">
      <c r="A758">
        <v>1366417754</v>
      </c>
    </row>
    <row r="759" spans="1:1" x14ac:dyDescent="0.3">
      <c r="A759">
        <v>1366417754</v>
      </c>
    </row>
    <row r="760" spans="1:1" x14ac:dyDescent="0.3">
      <c r="A760">
        <v>1366417754</v>
      </c>
    </row>
    <row r="761" spans="1:1" x14ac:dyDescent="0.3">
      <c r="A761">
        <v>1366417754</v>
      </c>
    </row>
    <row r="762" spans="1:1" x14ac:dyDescent="0.3">
      <c r="A762">
        <v>1366417754</v>
      </c>
    </row>
    <row r="763" spans="1:1" x14ac:dyDescent="0.3">
      <c r="A763">
        <v>1366417754</v>
      </c>
    </row>
    <row r="764" spans="1:1" x14ac:dyDescent="0.3">
      <c r="A764">
        <v>1366417754</v>
      </c>
    </row>
    <row r="765" spans="1:1" x14ac:dyDescent="0.3">
      <c r="A765">
        <v>1366417754</v>
      </c>
    </row>
    <row r="766" spans="1:1" x14ac:dyDescent="0.3">
      <c r="A766">
        <v>1366417754</v>
      </c>
    </row>
    <row r="767" spans="1:1" x14ac:dyDescent="0.3">
      <c r="A767">
        <v>1366417754</v>
      </c>
    </row>
    <row r="768" spans="1:1" x14ac:dyDescent="0.3">
      <c r="A768">
        <v>1366417754</v>
      </c>
    </row>
    <row r="769" spans="1:1" x14ac:dyDescent="0.3">
      <c r="A769">
        <v>1366417754</v>
      </c>
    </row>
    <row r="770" spans="1:1" x14ac:dyDescent="0.3">
      <c r="A770">
        <v>1366417754</v>
      </c>
    </row>
    <row r="771" spans="1:1" x14ac:dyDescent="0.3">
      <c r="A771">
        <v>1366417754</v>
      </c>
    </row>
    <row r="772" spans="1:1" x14ac:dyDescent="0.3">
      <c r="A772">
        <v>1366417754</v>
      </c>
    </row>
    <row r="773" spans="1:1" x14ac:dyDescent="0.3">
      <c r="A773">
        <v>1366417754</v>
      </c>
    </row>
    <row r="774" spans="1:1" x14ac:dyDescent="0.3">
      <c r="A774">
        <v>1366417754</v>
      </c>
    </row>
    <row r="775" spans="1:1" x14ac:dyDescent="0.3">
      <c r="A775">
        <v>1366417754</v>
      </c>
    </row>
    <row r="776" spans="1:1" x14ac:dyDescent="0.3">
      <c r="A776">
        <v>1366417754</v>
      </c>
    </row>
    <row r="777" spans="1:1" x14ac:dyDescent="0.3">
      <c r="A777">
        <v>1366417754</v>
      </c>
    </row>
    <row r="778" spans="1:1" x14ac:dyDescent="0.3">
      <c r="A778">
        <v>1366417754</v>
      </c>
    </row>
    <row r="779" spans="1:1" x14ac:dyDescent="0.3">
      <c r="A779">
        <v>1366417754</v>
      </c>
    </row>
    <row r="780" spans="1:1" x14ac:dyDescent="0.3">
      <c r="A780">
        <v>1366417754</v>
      </c>
    </row>
    <row r="781" spans="1:1" x14ac:dyDescent="0.3">
      <c r="A781">
        <v>1366417754</v>
      </c>
    </row>
    <row r="782" spans="1:1" x14ac:dyDescent="0.3">
      <c r="A782">
        <v>1366417754</v>
      </c>
    </row>
    <row r="783" spans="1:1" x14ac:dyDescent="0.3">
      <c r="A783">
        <v>1366417754</v>
      </c>
    </row>
    <row r="784" spans="1:1" x14ac:dyDescent="0.3">
      <c r="A784">
        <v>1366417754</v>
      </c>
    </row>
    <row r="785" spans="1:1" x14ac:dyDescent="0.3">
      <c r="A785">
        <v>1366417754</v>
      </c>
    </row>
    <row r="786" spans="1:1" x14ac:dyDescent="0.3">
      <c r="A786">
        <v>1366417754</v>
      </c>
    </row>
    <row r="787" spans="1:1" x14ac:dyDescent="0.3">
      <c r="A787">
        <v>1366417754</v>
      </c>
    </row>
    <row r="788" spans="1:1" x14ac:dyDescent="0.3">
      <c r="A788">
        <v>1366417754</v>
      </c>
    </row>
    <row r="789" spans="1:1" x14ac:dyDescent="0.3">
      <c r="A789">
        <v>1366417754</v>
      </c>
    </row>
    <row r="790" spans="1:1" x14ac:dyDescent="0.3">
      <c r="A790">
        <v>1366417754</v>
      </c>
    </row>
    <row r="791" spans="1:1" x14ac:dyDescent="0.3">
      <c r="A791">
        <v>1366417754</v>
      </c>
    </row>
    <row r="792" spans="1:1" x14ac:dyDescent="0.3">
      <c r="A792">
        <v>1366417754</v>
      </c>
    </row>
    <row r="793" spans="1:1" x14ac:dyDescent="0.3">
      <c r="A793">
        <v>1366417754</v>
      </c>
    </row>
    <row r="794" spans="1:1" x14ac:dyDescent="0.3">
      <c r="A794">
        <v>1366417754</v>
      </c>
    </row>
    <row r="795" spans="1:1" x14ac:dyDescent="0.3">
      <c r="A795">
        <v>1366417754</v>
      </c>
    </row>
    <row r="796" spans="1:1" x14ac:dyDescent="0.3">
      <c r="A796">
        <v>1366417754</v>
      </c>
    </row>
    <row r="797" spans="1:1" x14ac:dyDescent="0.3">
      <c r="A797">
        <v>1366417754</v>
      </c>
    </row>
    <row r="798" spans="1:1" x14ac:dyDescent="0.3">
      <c r="A798">
        <v>1366417754</v>
      </c>
    </row>
    <row r="799" spans="1:1" x14ac:dyDescent="0.3">
      <c r="A799">
        <v>1366417754</v>
      </c>
    </row>
    <row r="800" spans="1:1" x14ac:dyDescent="0.3">
      <c r="A800">
        <v>1366417754</v>
      </c>
    </row>
    <row r="801" spans="1:1" x14ac:dyDescent="0.3">
      <c r="A801">
        <v>1366417754</v>
      </c>
    </row>
    <row r="802" spans="1:1" x14ac:dyDescent="0.3">
      <c r="A802">
        <v>1366417754</v>
      </c>
    </row>
    <row r="803" spans="1:1" x14ac:dyDescent="0.3">
      <c r="A803">
        <v>1366417754</v>
      </c>
    </row>
    <row r="804" spans="1:1" x14ac:dyDescent="0.3">
      <c r="A804">
        <v>1366417754</v>
      </c>
    </row>
    <row r="805" spans="1:1" x14ac:dyDescent="0.3">
      <c r="A805">
        <v>1366417754</v>
      </c>
    </row>
    <row r="806" spans="1:1" x14ac:dyDescent="0.3">
      <c r="A806">
        <v>1366417754</v>
      </c>
    </row>
    <row r="807" spans="1:1" x14ac:dyDescent="0.3">
      <c r="A807">
        <v>1366417754</v>
      </c>
    </row>
    <row r="808" spans="1:1" x14ac:dyDescent="0.3">
      <c r="A808">
        <v>1366417754</v>
      </c>
    </row>
    <row r="809" spans="1:1" x14ac:dyDescent="0.3">
      <c r="A809">
        <v>1366417754</v>
      </c>
    </row>
    <row r="810" spans="1:1" x14ac:dyDescent="0.3">
      <c r="A810">
        <v>1366417754</v>
      </c>
    </row>
    <row r="811" spans="1:1" x14ac:dyDescent="0.3">
      <c r="A811">
        <v>1366417754</v>
      </c>
    </row>
    <row r="812" spans="1:1" x14ac:dyDescent="0.3">
      <c r="A812">
        <v>1366417754</v>
      </c>
    </row>
    <row r="813" spans="1:1" x14ac:dyDescent="0.3">
      <c r="A813">
        <v>1366417754</v>
      </c>
    </row>
    <row r="814" spans="1:1" x14ac:dyDescent="0.3">
      <c r="A814">
        <v>1366417754</v>
      </c>
    </row>
    <row r="815" spans="1:1" x14ac:dyDescent="0.3">
      <c r="A815">
        <v>1366417754</v>
      </c>
    </row>
    <row r="816" spans="1:1" x14ac:dyDescent="0.3">
      <c r="A816">
        <v>1366417754</v>
      </c>
    </row>
    <row r="817" spans="1:1" x14ac:dyDescent="0.3">
      <c r="A817">
        <v>1366417754</v>
      </c>
    </row>
    <row r="818" spans="1:1" x14ac:dyDescent="0.3">
      <c r="A818">
        <v>1366417754</v>
      </c>
    </row>
    <row r="819" spans="1:1" x14ac:dyDescent="0.3">
      <c r="A819">
        <v>1366417754</v>
      </c>
    </row>
    <row r="820" spans="1:1" x14ac:dyDescent="0.3">
      <c r="A820">
        <v>1366417754</v>
      </c>
    </row>
    <row r="821" spans="1:1" x14ac:dyDescent="0.3">
      <c r="A821">
        <v>1366417754</v>
      </c>
    </row>
    <row r="822" spans="1:1" x14ac:dyDescent="0.3">
      <c r="A822">
        <v>1366417754</v>
      </c>
    </row>
    <row r="823" spans="1:1" x14ac:dyDescent="0.3">
      <c r="A823">
        <v>1366417754</v>
      </c>
    </row>
    <row r="824" spans="1:1" x14ac:dyDescent="0.3">
      <c r="A824">
        <v>1366417754</v>
      </c>
    </row>
    <row r="825" spans="1:1" x14ac:dyDescent="0.3">
      <c r="A825">
        <v>1366417754</v>
      </c>
    </row>
    <row r="826" spans="1:1" x14ac:dyDescent="0.3">
      <c r="A826">
        <v>1366417754</v>
      </c>
    </row>
    <row r="827" spans="1:1" x14ac:dyDescent="0.3">
      <c r="A827">
        <v>1366417754</v>
      </c>
    </row>
    <row r="828" spans="1:1" x14ac:dyDescent="0.3">
      <c r="A828">
        <v>1366417754</v>
      </c>
    </row>
    <row r="829" spans="1:1" x14ac:dyDescent="0.3">
      <c r="A829">
        <v>1366417754</v>
      </c>
    </row>
    <row r="830" spans="1:1" x14ac:dyDescent="0.3">
      <c r="A830">
        <v>1366417754</v>
      </c>
    </row>
    <row r="831" spans="1:1" x14ac:dyDescent="0.3">
      <c r="A831">
        <v>1366417754</v>
      </c>
    </row>
    <row r="832" spans="1:1" x14ac:dyDescent="0.3">
      <c r="A832">
        <v>1366417754</v>
      </c>
    </row>
    <row r="833" spans="1:1" x14ac:dyDescent="0.3">
      <c r="A833">
        <v>1366417754</v>
      </c>
    </row>
    <row r="834" spans="1:1" x14ac:dyDescent="0.3">
      <c r="A834">
        <v>1366417754</v>
      </c>
    </row>
    <row r="835" spans="1:1" x14ac:dyDescent="0.3">
      <c r="A835">
        <v>1366417754</v>
      </c>
    </row>
    <row r="836" spans="1:1" x14ac:dyDescent="0.3">
      <c r="A836">
        <v>1366417754</v>
      </c>
    </row>
    <row r="837" spans="1:1" x14ac:dyDescent="0.3">
      <c r="A837">
        <v>1366417754</v>
      </c>
    </row>
    <row r="838" spans="1:1" x14ac:dyDescent="0.3">
      <c r="A838">
        <v>1366417754</v>
      </c>
    </row>
    <row r="839" spans="1:1" x14ac:dyDescent="0.3">
      <c r="A839">
        <v>1366417754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97DB-7AA9-4176-B531-FA811AF5B69F}">
  <dimension ref="A1:U37"/>
  <sheetViews>
    <sheetView zoomScale="68" workbookViewId="0">
      <selection activeCell="B8" sqref="A1:XFD1048576"/>
    </sheetView>
  </sheetViews>
  <sheetFormatPr defaultRowHeight="14.4" x14ac:dyDescent="0.3"/>
  <cols>
    <col min="1" max="1" width="25.44140625" customWidth="1"/>
    <col min="2" max="2" width="17.5546875" bestFit="1" customWidth="1"/>
    <col min="3" max="3" width="8.5546875" bestFit="1" customWidth="1"/>
    <col min="4" max="4" width="10.6640625" bestFit="1" customWidth="1"/>
    <col min="5" max="5" width="15.109375" bestFit="1" customWidth="1"/>
    <col min="6" max="6" width="18.109375" bestFit="1" customWidth="1"/>
    <col min="7" max="7" width="8.5546875" bestFit="1" customWidth="1"/>
    <col min="8" max="8" width="14.5546875" bestFit="1" customWidth="1"/>
    <col min="9" max="9" width="8" bestFit="1" customWidth="1"/>
    <col min="10" max="10" width="6.77734375" bestFit="1" customWidth="1"/>
    <col min="11" max="11" width="4.6640625" bestFit="1" customWidth="1"/>
    <col min="12" max="12" width="16.109375" bestFit="1" customWidth="1"/>
    <col min="13" max="13" width="22.109375" bestFit="1" customWidth="1"/>
    <col min="14" max="15" width="15.77734375" bestFit="1" customWidth="1"/>
    <col min="16" max="16" width="22" bestFit="1" customWidth="1"/>
    <col min="17" max="17" width="7.33203125" bestFit="1" customWidth="1"/>
    <col min="18" max="18" width="7.109375" bestFit="1" customWidth="1"/>
    <col min="19" max="19" width="8.5546875" bestFit="1" customWidth="1"/>
    <col min="20" max="20" width="15.77734375" bestFit="1" customWidth="1"/>
    <col min="21" max="21" width="12.44140625" bestFit="1" customWidth="1"/>
  </cols>
  <sheetData>
    <row r="1" spans="1:21" x14ac:dyDescent="0.3">
      <c r="A1" t="s">
        <v>1351</v>
      </c>
    </row>
    <row r="3" spans="1:21" x14ac:dyDescent="0.3">
      <c r="A3" t="s">
        <v>1355</v>
      </c>
    </row>
    <row r="5" spans="1:21" x14ac:dyDescent="0.3">
      <c r="A5" t="s">
        <v>1357</v>
      </c>
      <c r="B5" t="s">
        <v>1358</v>
      </c>
    </row>
    <row r="6" spans="1:21" x14ac:dyDescent="0.3">
      <c r="A6" t="s">
        <v>1359</v>
      </c>
      <c r="B6" t="s">
        <v>1360</v>
      </c>
    </row>
    <row r="8" spans="1:21" x14ac:dyDescent="0.3">
      <c r="A8" t="s">
        <v>1356</v>
      </c>
      <c r="B8">
        <f>CHITEST(B13:T19,B30:T36)</f>
        <v>0</v>
      </c>
      <c r="D8" t="s">
        <v>1363</v>
      </c>
      <c r="E8" t="s">
        <v>1364</v>
      </c>
    </row>
    <row r="10" spans="1:21" x14ac:dyDescent="0.3">
      <c r="A10" t="s">
        <v>1361</v>
      </c>
    </row>
    <row r="11" spans="1:21" ht="17.399999999999999" customHeight="1" x14ac:dyDescent="0.3">
      <c r="A11" s="29" t="s">
        <v>1348</v>
      </c>
      <c r="B11" s="29" t="s">
        <v>1354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3">
      <c r="A12" s="29" t="s">
        <v>1353</v>
      </c>
      <c r="B12" s="4" t="s">
        <v>1139</v>
      </c>
      <c r="C12" s="4" t="s">
        <v>1044</v>
      </c>
      <c r="D12" s="4" t="s">
        <v>990</v>
      </c>
      <c r="E12" s="4" t="s">
        <v>988</v>
      </c>
      <c r="F12" s="4" t="s">
        <v>982</v>
      </c>
      <c r="G12" s="4" t="s">
        <v>996</v>
      </c>
      <c r="H12" s="4" t="s">
        <v>1011</v>
      </c>
      <c r="I12" s="4" t="s">
        <v>1108</v>
      </c>
      <c r="J12" s="4" t="s">
        <v>977</v>
      </c>
      <c r="K12" s="4" t="s">
        <v>1294</v>
      </c>
      <c r="L12" s="4" t="s">
        <v>1026</v>
      </c>
      <c r="M12" s="4" t="s">
        <v>1067</v>
      </c>
      <c r="N12" s="4" t="s">
        <v>994</v>
      </c>
      <c r="O12" s="4" t="s">
        <v>1128</v>
      </c>
      <c r="P12" s="4" t="s">
        <v>1088</v>
      </c>
      <c r="Q12" s="4" t="s">
        <v>992</v>
      </c>
      <c r="R12" s="4" t="s">
        <v>1004</v>
      </c>
      <c r="S12" s="4" t="s">
        <v>1057</v>
      </c>
      <c r="T12" s="4" t="s">
        <v>1285</v>
      </c>
      <c r="U12" s="4" t="s">
        <v>1347</v>
      </c>
    </row>
    <row r="13" spans="1:21" x14ac:dyDescent="0.3">
      <c r="A13" s="30" t="s">
        <v>1306</v>
      </c>
      <c r="B13" s="4"/>
      <c r="C13" s="4"/>
      <c r="D13" s="4"/>
      <c r="E13" s="4"/>
      <c r="F13" s="4"/>
      <c r="G13" s="4"/>
      <c r="H13" s="4"/>
      <c r="I13" s="4"/>
      <c r="J13" s="4">
        <v>1</v>
      </c>
      <c r="K13" s="4"/>
      <c r="L13" s="4"/>
      <c r="M13" s="4"/>
      <c r="N13" s="4">
        <v>1</v>
      </c>
      <c r="O13" s="4"/>
      <c r="P13" s="4"/>
      <c r="Q13" s="4"/>
      <c r="R13" s="4"/>
      <c r="S13" s="4"/>
      <c r="T13" s="4"/>
      <c r="U13" s="4">
        <v>2</v>
      </c>
    </row>
    <row r="14" spans="1:21" x14ac:dyDescent="0.3">
      <c r="A14" s="30" t="s">
        <v>1302</v>
      </c>
      <c r="B14" s="4">
        <v>1</v>
      </c>
      <c r="C14" s="4">
        <v>23</v>
      </c>
      <c r="D14" s="4">
        <v>18</v>
      </c>
      <c r="E14" s="4">
        <v>82</v>
      </c>
      <c r="F14" s="4">
        <v>12</v>
      </c>
      <c r="G14" s="4">
        <v>12</v>
      </c>
      <c r="H14" s="4">
        <v>6</v>
      </c>
      <c r="I14" s="4">
        <v>2</v>
      </c>
      <c r="J14" s="4">
        <v>47</v>
      </c>
      <c r="K14" s="4">
        <v>13</v>
      </c>
      <c r="L14" s="4">
        <v>18</v>
      </c>
      <c r="M14" s="4"/>
      <c r="N14" s="4">
        <v>37</v>
      </c>
      <c r="O14" s="4"/>
      <c r="P14" s="4">
        <v>5</v>
      </c>
      <c r="Q14" s="4">
        <v>5</v>
      </c>
      <c r="R14" s="4"/>
      <c r="S14" s="4">
        <v>2</v>
      </c>
      <c r="T14" s="4"/>
      <c r="U14" s="4">
        <v>283</v>
      </c>
    </row>
    <row r="15" spans="1:21" x14ac:dyDescent="0.3">
      <c r="A15" s="30" t="s">
        <v>1114</v>
      </c>
      <c r="B15" s="4"/>
      <c r="C15" s="4"/>
      <c r="D15" s="4">
        <v>1</v>
      </c>
      <c r="E15" s="4"/>
      <c r="F15" s="4"/>
      <c r="G15" s="4">
        <v>2</v>
      </c>
      <c r="H15" s="4">
        <v>2</v>
      </c>
      <c r="I15" s="4"/>
      <c r="J15" s="4">
        <v>2</v>
      </c>
      <c r="K15" s="4"/>
      <c r="L15" s="4"/>
      <c r="M15" s="4"/>
      <c r="N15" s="4"/>
      <c r="O15" s="4"/>
      <c r="P15" s="4"/>
      <c r="Q15" s="4"/>
      <c r="R15" s="4">
        <v>1</v>
      </c>
      <c r="S15" s="4"/>
      <c r="T15" s="4"/>
      <c r="U15" s="4">
        <v>8</v>
      </c>
    </row>
    <row r="16" spans="1:21" x14ac:dyDescent="0.3">
      <c r="A16" s="30" t="s">
        <v>1304</v>
      </c>
      <c r="B16" s="4"/>
      <c r="C16" s="4">
        <v>6</v>
      </c>
      <c r="D16" s="4">
        <v>2</v>
      </c>
      <c r="E16" s="4">
        <v>24</v>
      </c>
      <c r="F16" s="4">
        <v>2</v>
      </c>
      <c r="G16" s="4">
        <v>18</v>
      </c>
      <c r="H16" s="4">
        <v>5</v>
      </c>
      <c r="I16" s="4"/>
      <c r="J16" s="4">
        <v>22</v>
      </c>
      <c r="K16" s="4">
        <v>3</v>
      </c>
      <c r="L16" s="4">
        <v>2</v>
      </c>
      <c r="M16" s="4"/>
      <c r="N16" s="4">
        <v>5</v>
      </c>
      <c r="O16" s="4">
        <v>1</v>
      </c>
      <c r="P16" s="4">
        <v>2</v>
      </c>
      <c r="Q16" s="4">
        <v>1</v>
      </c>
      <c r="R16" s="4">
        <v>4</v>
      </c>
      <c r="S16" s="4"/>
      <c r="T16" s="4"/>
      <c r="U16" s="4">
        <v>97</v>
      </c>
    </row>
    <row r="17" spans="1:21" x14ac:dyDescent="0.3">
      <c r="A17" s="30" t="s">
        <v>1294</v>
      </c>
      <c r="B17" s="4"/>
      <c r="C17" s="4">
        <v>2</v>
      </c>
      <c r="D17" s="4">
        <v>2</v>
      </c>
      <c r="E17" s="4">
        <v>26</v>
      </c>
      <c r="F17" s="4">
        <v>10</v>
      </c>
      <c r="G17" s="4">
        <v>13</v>
      </c>
      <c r="H17" s="4">
        <v>6</v>
      </c>
      <c r="I17" s="4"/>
      <c r="J17" s="4">
        <v>21</v>
      </c>
      <c r="K17" s="4">
        <v>7</v>
      </c>
      <c r="L17" s="4"/>
      <c r="M17" s="4"/>
      <c r="N17" s="4">
        <v>28</v>
      </c>
      <c r="O17" s="4">
        <v>1</v>
      </c>
      <c r="P17" s="4">
        <v>2</v>
      </c>
      <c r="Q17" s="4">
        <v>1</v>
      </c>
      <c r="R17" s="4"/>
      <c r="S17" s="4"/>
      <c r="T17" s="4"/>
      <c r="U17" s="4">
        <v>119</v>
      </c>
    </row>
    <row r="18" spans="1:21" x14ac:dyDescent="0.3">
      <c r="A18" s="30" t="s">
        <v>1303</v>
      </c>
      <c r="B18" s="4"/>
      <c r="C18" s="4">
        <v>23</v>
      </c>
      <c r="D18" s="4">
        <v>17</v>
      </c>
      <c r="E18" s="4">
        <v>70</v>
      </c>
      <c r="F18" s="4">
        <v>12</v>
      </c>
      <c r="G18" s="4">
        <v>32</v>
      </c>
      <c r="H18" s="4">
        <v>12</v>
      </c>
      <c r="I18" s="4"/>
      <c r="J18" s="4">
        <v>78</v>
      </c>
      <c r="K18" s="4">
        <v>20</v>
      </c>
      <c r="L18" s="4">
        <v>5</v>
      </c>
      <c r="M18" s="4">
        <v>1</v>
      </c>
      <c r="N18" s="4">
        <v>34</v>
      </c>
      <c r="O18" s="4">
        <v>2</v>
      </c>
      <c r="P18" s="4">
        <v>8</v>
      </c>
      <c r="Q18" s="4">
        <v>4</v>
      </c>
      <c r="R18" s="4">
        <v>5</v>
      </c>
      <c r="S18" s="4"/>
      <c r="T18" s="4"/>
      <c r="U18" s="4">
        <v>323</v>
      </c>
    </row>
    <row r="19" spans="1:21" x14ac:dyDescent="0.3">
      <c r="A19" s="30" t="s">
        <v>1305</v>
      </c>
      <c r="B19" s="4">
        <v>1</v>
      </c>
      <c r="C19" s="4">
        <v>15</v>
      </c>
      <c r="D19" s="4">
        <v>3</v>
      </c>
      <c r="E19" s="4">
        <v>28</v>
      </c>
      <c r="F19" s="4">
        <v>9</v>
      </c>
      <c r="G19" s="4">
        <v>13</v>
      </c>
      <c r="H19" s="4">
        <v>6</v>
      </c>
      <c r="I19" s="4"/>
      <c r="J19" s="4">
        <v>28</v>
      </c>
      <c r="K19" s="4"/>
      <c r="L19" s="4">
        <v>1</v>
      </c>
      <c r="M19" s="4">
        <v>1</v>
      </c>
      <c r="N19" s="4">
        <v>18</v>
      </c>
      <c r="O19" s="4"/>
      <c r="P19" s="4"/>
      <c r="Q19" s="4"/>
      <c r="R19" s="4">
        <v>1</v>
      </c>
      <c r="S19" s="4"/>
      <c r="T19" s="4">
        <v>1</v>
      </c>
      <c r="U19" s="4">
        <v>125</v>
      </c>
    </row>
    <row r="20" spans="1:21" x14ac:dyDescent="0.3">
      <c r="A20" s="30" t="s">
        <v>1347</v>
      </c>
      <c r="B20" s="4">
        <v>2</v>
      </c>
      <c r="C20" s="4">
        <v>69</v>
      </c>
      <c r="D20" s="4">
        <v>43</v>
      </c>
      <c r="E20" s="4">
        <v>230</v>
      </c>
      <c r="F20" s="4">
        <v>45</v>
      </c>
      <c r="G20" s="4">
        <v>90</v>
      </c>
      <c r="H20" s="4">
        <v>37</v>
      </c>
      <c r="I20" s="4">
        <v>2</v>
      </c>
      <c r="J20" s="4">
        <v>199</v>
      </c>
      <c r="K20" s="4">
        <v>43</v>
      </c>
      <c r="L20" s="4">
        <v>26</v>
      </c>
      <c r="M20" s="4">
        <v>2</v>
      </c>
      <c r="N20" s="4">
        <v>123</v>
      </c>
      <c r="O20" s="4">
        <v>4</v>
      </c>
      <c r="P20" s="4">
        <v>17</v>
      </c>
      <c r="Q20" s="4">
        <v>11</v>
      </c>
      <c r="R20" s="4">
        <v>11</v>
      </c>
      <c r="S20" s="4">
        <v>2</v>
      </c>
      <c r="T20" s="4">
        <v>1</v>
      </c>
      <c r="U20" s="4">
        <v>957</v>
      </c>
    </row>
    <row r="27" spans="1:21" x14ac:dyDescent="0.3">
      <c r="A27" t="s">
        <v>1362</v>
      </c>
    </row>
    <row r="28" spans="1:21" x14ac:dyDescent="0.3">
      <c r="A28" s="37" t="s">
        <v>1348</v>
      </c>
      <c r="B28" s="37" t="s">
        <v>1349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 spans="1:21" s="39" customFormat="1" x14ac:dyDescent="0.3">
      <c r="A29" s="38" t="s">
        <v>1352</v>
      </c>
      <c r="B29" s="38" t="s">
        <v>1139</v>
      </c>
      <c r="C29" s="38" t="s">
        <v>1044</v>
      </c>
      <c r="D29" s="38" t="s">
        <v>990</v>
      </c>
      <c r="E29" s="38" t="s">
        <v>988</v>
      </c>
      <c r="F29" s="38" t="s">
        <v>982</v>
      </c>
      <c r="G29" s="38" t="s">
        <v>996</v>
      </c>
      <c r="H29" s="38" t="s">
        <v>1350</v>
      </c>
      <c r="I29" s="38" t="s">
        <v>1108</v>
      </c>
      <c r="J29" s="38" t="s">
        <v>977</v>
      </c>
      <c r="K29" s="38" t="s">
        <v>1294</v>
      </c>
      <c r="L29" s="38" t="s">
        <v>1026</v>
      </c>
      <c r="M29" s="38" t="s">
        <v>1067</v>
      </c>
      <c r="N29" s="38" t="s">
        <v>994</v>
      </c>
      <c r="O29" s="38" t="s">
        <v>1128</v>
      </c>
      <c r="P29" s="38" t="s">
        <v>1088</v>
      </c>
      <c r="Q29" s="38" t="s">
        <v>992</v>
      </c>
      <c r="R29" s="38" t="s">
        <v>1004</v>
      </c>
      <c r="S29" s="38" t="s">
        <v>1057</v>
      </c>
      <c r="T29" s="38" t="s">
        <v>1285</v>
      </c>
      <c r="U29" s="38" t="s">
        <v>1347</v>
      </c>
    </row>
    <row r="30" spans="1:21" x14ac:dyDescent="0.3">
      <c r="A30" s="37" t="s">
        <v>1307</v>
      </c>
      <c r="B30" s="31">
        <f>(U30*B37)/U37</f>
        <v>4.1797283176593526E-3</v>
      </c>
      <c r="C30" s="31">
        <f>(U30*C37)/U37</f>
        <v>0.14420062695924765</v>
      </c>
      <c r="D30" s="31">
        <f>(U30*D37)/U37</f>
        <v>8.9864158829676077E-2</v>
      </c>
      <c r="E30" s="31">
        <f>(U30*E37)/U37</f>
        <v>0.48066875653082547</v>
      </c>
      <c r="F30" s="31">
        <f>(U30*F37)/U37</f>
        <v>9.4043887147335428E-2</v>
      </c>
      <c r="G30" s="31">
        <f>(U30*G37)/U37</f>
        <v>0.18808777429467086</v>
      </c>
      <c r="H30" s="31">
        <f>(U30*H37)/U37</f>
        <v>7.7324973876698011E-2</v>
      </c>
      <c r="I30" s="31">
        <f>(U30*I37)/U37</f>
        <v>4.1797283176593526E-3</v>
      </c>
      <c r="J30" s="31">
        <f>(U30*J37)/U37</f>
        <v>0.41588296760710552</v>
      </c>
      <c r="K30" s="31">
        <f>(U30*K37)/U37</f>
        <v>8.9864158829676077E-2</v>
      </c>
      <c r="L30" s="31">
        <f>(U30*L37)/U37</f>
        <v>5.4336468129571575E-2</v>
      </c>
      <c r="M30" s="31">
        <f>(U30*M37)/U37</f>
        <v>4.1797283176593526E-3</v>
      </c>
      <c r="N30" s="31">
        <f>(U30*N37)/U37</f>
        <v>0.25705329153605017</v>
      </c>
      <c r="O30" s="31">
        <f>(U30*O37)/U37</f>
        <v>8.3594566353187051E-3</v>
      </c>
      <c r="P30" s="31">
        <f>(U30*P37)/U37</f>
        <v>3.5527690700104496E-2</v>
      </c>
      <c r="Q30" s="31">
        <f>(U30*Q37)/U37</f>
        <v>2.2988505747126436E-2</v>
      </c>
      <c r="R30" s="31">
        <f>(U30*R37)/U37</f>
        <v>2.2988505747126436E-2</v>
      </c>
      <c r="S30" s="31">
        <f>(U30*S37)/U37</f>
        <v>4.1797283176593526E-3</v>
      </c>
      <c r="T30" s="31">
        <f>(U30*T37)/U37</f>
        <v>2.0898641588296763E-3</v>
      </c>
      <c r="U30" s="31">
        <v>2</v>
      </c>
    </row>
    <row r="31" spans="1:21" x14ac:dyDescent="0.3">
      <c r="A31" s="37" t="s">
        <v>1302</v>
      </c>
      <c r="B31" s="31">
        <f>(U31*B37)/U37</f>
        <v>0.59143155694879834</v>
      </c>
      <c r="C31" s="31">
        <f>(U31*C37)/U37</f>
        <v>20.404388714733543</v>
      </c>
      <c r="D31" s="31">
        <f>(U31*D37)/U37</f>
        <v>12.715778474399164</v>
      </c>
      <c r="E31" s="31">
        <f>(U31*E37)/U37</f>
        <v>68.014629049111804</v>
      </c>
      <c r="F31" s="31">
        <f>(U31*F37)/U37</f>
        <v>13.307210031347962</v>
      </c>
      <c r="G31" s="31">
        <f>(U31*G37)/U37</f>
        <v>26.614420062695924</v>
      </c>
      <c r="H31" s="31">
        <f>(U31*H37)/U37</f>
        <v>10.941483803552769</v>
      </c>
      <c r="I31" s="31">
        <f>(U31*I37)/U37</f>
        <v>0.59143155694879834</v>
      </c>
      <c r="J31" s="31">
        <f>(U31*J37)/U37</f>
        <v>58.847439916405435</v>
      </c>
      <c r="K31" s="31">
        <f>(U31*K37)/U37</f>
        <v>12.715778474399164</v>
      </c>
      <c r="L31" s="31">
        <f>(U31*L37)/U37</f>
        <v>7.6886102403343779</v>
      </c>
      <c r="M31" s="31">
        <f>(U31*M37)/U37</f>
        <v>0.59143155694879834</v>
      </c>
      <c r="N31" s="31">
        <f>(U31*N37)/U37</f>
        <v>36.373040752351095</v>
      </c>
      <c r="O31" s="31">
        <f>(U31*O37)/U37</f>
        <v>1.1828631138975967</v>
      </c>
      <c r="P31" s="31">
        <f>(U31*P37)/U37</f>
        <v>5.0271682340647859</v>
      </c>
      <c r="Q31" s="31">
        <f>(U31*Q37)/U37</f>
        <v>3.2528735632183907</v>
      </c>
      <c r="R31" s="31">
        <f>(U31*R37)/U37</f>
        <v>3.2528735632183907</v>
      </c>
      <c r="S31" s="31">
        <f>(U31*S37)/U37</f>
        <v>0.59143155694879834</v>
      </c>
      <c r="T31" s="31">
        <f>(U31*T37)/U37</f>
        <v>0.29571577847439917</v>
      </c>
      <c r="U31" s="31">
        <v>283</v>
      </c>
    </row>
    <row r="32" spans="1:21" x14ac:dyDescent="0.3">
      <c r="A32" s="37" t="s">
        <v>1114</v>
      </c>
      <c r="B32" s="31">
        <f>(U32*B37)/U37</f>
        <v>1.671891327063741E-2</v>
      </c>
      <c r="C32" s="31">
        <f>(U32*C37)/U37</f>
        <v>0.57680250783699061</v>
      </c>
      <c r="D32" s="31">
        <f>(U32*D37)/U37</f>
        <v>0.35945663531870431</v>
      </c>
      <c r="E32" s="31">
        <f>(U32*E37)/U37</f>
        <v>1.9226750261233019</v>
      </c>
      <c r="F32" s="31">
        <f>(U32*F37)/U37</f>
        <v>0.37617554858934171</v>
      </c>
      <c r="G32" s="31">
        <f>(U32*G37)/U37</f>
        <v>0.75235109717868343</v>
      </c>
      <c r="H32" s="31">
        <f>(U32*H37)/U37</f>
        <v>0.30929989550679204</v>
      </c>
      <c r="I32" s="31">
        <f>(U32*I37)/U37</f>
        <v>1.671891327063741E-2</v>
      </c>
      <c r="J32" s="31">
        <f>(U33*J37)/U37</f>
        <v>20.170323928944619</v>
      </c>
      <c r="K32" s="31">
        <f>(U32*K37)/U37</f>
        <v>0.35945663531870431</v>
      </c>
      <c r="L32" s="31">
        <f>(U32*L37)/U37</f>
        <v>0.2173458725182863</v>
      </c>
      <c r="M32" s="31">
        <f>(U32*M37)/U37</f>
        <v>1.671891327063741E-2</v>
      </c>
      <c r="N32" s="31">
        <f>(U32*N37)/U37</f>
        <v>1.0282131661442007</v>
      </c>
      <c r="O32" s="31">
        <f>(U32*O37)/U37</f>
        <v>3.343782654127482E-2</v>
      </c>
      <c r="P32" s="31">
        <f>(U32*P37)/U37</f>
        <v>0.14211076280041798</v>
      </c>
      <c r="Q32" s="31">
        <f>(U32*Q37)/U37</f>
        <v>9.1954022988505746E-2</v>
      </c>
      <c r="R32" s="31">
        <f>(U32*R37)/U37</f>
        <v>9.1954022988505746E-2</v>
      </c>
      <c r="S32" s="31">
        <f>(U32*S37)/U37</f>
        <v>1.671891327063741E-2</v>
      </c>
      <c r="T32" s="31">
        <f>(U32*T37)/U37</f>
        <v>8.3594566353187051E-3</v>
      </c>
      <c r="U32" s="31">
        <v>8</v>
      </c>
    </row>
    <row r="33" spans="1:21" x14ac:dyDescent="0.3">
      <c r="A33" s="37" t="s">
        <v>1304</v>
      </c>
      <c r="B33" s="31">
        <f>(U33*B37)/U37</f>
        <v>0.20271682340647859</v>
      </c>
      <c r="C33" s="31">
        <f>(U33*C37)/U37</f>
        <v>6.9937304075235112</v>
      </c>
      <c r="D33" s="31">
        <f>(U33*D37)/U37</f>
        <v>4.3584117032392893</v>
      </c>
      <c r="E33" s="31">
        <f>(U33*E37)/U37</f>
        <v>23.312434691745036</v>
      </c>
      <c r="F33" s="31">
        <f>(U33*F37)/U37</f>
        <v>4.561128526645768</v>
      </c>
      <c r="G33" s="31">
        <f>(U33*G37)/U37</f>
        <v>9.1222570532915359</v>
      </c>
      <c r="H33" s="31">
        <f>(U33*H37)/U37</f>
        <v>3.7502612330198537</v>
      </c>
      <c r="I33" s="31">
        <f>(U33*I37)/U37</f>
        <v>0.20271682340647859</v>
      </c>
      <c r="J33" s="31">
        <f>(U33*J37)/U37</f>
        <v>20.170323928944619</v>
      </c>
      <c r="K33" s="31">
        <f>(U33*K37)/U37</f>
        <v>4.3584117032392893</v>
      </c>
      <c r="L33" s="31">
        <f>(U33*L37)/U37</f>
        <v>2.6353187042842214</v>
      </c>
      <c r="M33" s="31">
        <f>(U33*M37)/U37</f>
        <v>0.20271682340647859</v>
      </c>
      <c r="N33" s="31">
        <f>(U33*N37)/U37</f>
        <v>12.467084639498433</v>
      </c>
      <c r="O33" s="31">
        <f>(U33*O37)/U37</f>
        <v>0.40543364681295718</v>
      </c>
      <c r="P33" s="31">
        <f>(U33*P37)/U37</f>
        <v>1.7230929989550678</v>
      </c>
      <c r="Q33" s="31">
        <f>(U33*Q37)/U37</f>
        <v>1.1149425287356323</v>
      </c>
      <c r="R33" s="31">
        <f>(U33*R37)/U37</f>
        <v>1.1149425287356323</v>
      </c>
      <c r="S33" s="31">
        <f>(U33*S37)/U37</f>
        <v>0.20271682340647859</v>
      </c>
      <c r="T33" s="31">
        <f>(U33*T37)/U37</f>
        <v>0.1013584117032393</v>
      </c>
      <c r="U33" s="31">
        <v>97</v>
      </c>
    </row>
    <row r="34" spans="1:21" x14ac:dyDescent="0.3">
      <c r="A34" s="37" t="s">
        <v>1294</v>
      </c>
      <c r="B34" s="31">
        <f>(U34*B37)/U37</f>
        <v>0.24869383490073146</v>
      </c>
      <c r="C34" s="31">
        <f>(U34*C37)/U37</f>
        <v>8.5799373040752354</v>
      </c>
      <c r="D34" s="31">
        <f>(U34*D37)/U37</f>
        <v>5.3469174503657264</v>
      </c>
      <c r="E34" s="31">
        <f>(U34*E37)/U37</f>
        <v>28.599791013584117</v>
      </c>
      <c r="F34" s="31">
        <f>(U34*F37)/U37</f>
        <v>5.5956112852664575</v>
      </c>
      <c r="G34" s="31">
        <f>(U34*G37)/U37</f>
        <v>11.191222570532915</v>
      </c>
      <c r="H34" s="31">
        <f>(U34*H37)/U37</f>
        <v>4.6008359456635315</v>
      </c>
      <c r="I34" s="31">
        <f>(U34*I37)/U37</f>
        <v>0.24869383490073146</v>
      </c>
      <c r="J34" s="31">
        <f>(U34*J37)/U37</f>
        <v>24.74503657262278</v>
      </c>
      <c r="K34" s="31">
        <f>(U34*K37)/U37</f>
        <v>5.3469174503657264</v>
      </c>
      <c r="L34" s="31">
        <f>(U34*L37)/U37</f>
        <v>3.233019853709509</v>
      </c>
      <c r="M34" s="31">
        <f>(U34*M37)/U37</f>
        <v>0.24869383490073146</v>
      </c>
      <c r="N34" s="31">
        <f>(U34*N37)/U37</f>
        <v>15.294670846394984</v>
      </c>
      <c r="O34" s="31">
        <f>(U34*O37)/U37</f>
        <v>0.49738766980146293</v>
      </c>
      <c r="P34" s="31">
        <f>(U34*P37)/U37</f>
        <v>2.1138975966562175</v>
      </c>
      <c r="Q34" s="31">
        <f>(U34*Q37)/U37</f>
        <v>1.367816091954023</v>
      </c>
      <c r="R34" s="31">
        <f>(U34*R37)/U37</f>
        <v>1.367816091954023</v>
      </c>
      <c r="S34" s="31">
        <f>(U34*S37)/U37</f>
        <v>0.24869383490073146</v>
      </c>
      <c r="T34" s="31">
        <f>(U34*T37)/U37</f>
        <v>0.12434691745036573</v>
      </c>
      <c r="U34" s="31">
        <v>119</v>
      </c>
    </row>
    <row r="35" spans="1:21" x14ac:dyDescent="0.3">
      <c r="A35" s="37" t="s">
        <v>1303</v>
      </c>
      <c r="B35" s="31">
        <f>(U35*B37)/U37</f>
        <v>0.67502612330198541</v>
      </c>
      <c r="C35" s="31">
        <f>(U35*C37)/U37</f>
        <v>23.288401253918494</v>
      </c>
      <c r="D35" s="31">
        <f>(U35*D37)/U37</f>
        <v>14.513061650992686</v>
      </c>
      <c r="E35" s="31">
        <f>(U35*E37)/U37</f>
        <v>77.628004179728322</v>
      </c>
      <c r="F35" s="31">
        <f>(U35*F37)/U37</f>
        <v>15.18808777429467</v>
      </c>
      <c r="G35" s="31">
        <f>(U35*G37)/U37</f>
        <v>30.376175548589341</v>
      </c>
      <c r="H35" s="31">
        <f>(U35*H37)/U37</f>
        <v>12.487983281086729</v>
      </c>
      <c r="I35" s="31">
        <f>(U35*I37)/U37</f>
        <v>0.67502612330198541</v>
      </c>
      <c r="J35" s="31">
        <f>(U35*J37)/U37</f>
        <v>67.16509926854755</v>
      </c>
      <c r="K35" s="31">
        <f>(U35*K37)/U37</f>
        <v>14.513061650992686</v>
      </c>
      <c r="L35" s="31">
        <f>(U35*L37)/U37</f>
        <v>8.7753396029258095</v>
      </c>
      <c r="M35" s="31">
        <f>(U35*M37)/U37</f>
        <v>0.67502612330198541</v>
      </c>
      <c r="N35" s="31">
        <f>(U35*N37)/U37</f>
        <v>41.514106583072099</v>
      </c>
      <c r="O35" s="31">
        <f>(U35*O37)/U37</f>
        <v>1.3500522466039708</v>
      </c>
      <c r="P35" s="31">
        <f>(U35*P37)/U37</f>
        <v>5.7377220480668756</v>
      </c>
      <c r="Q35" s="31">
        <f>(U35*Q37)/U37</f>
        <v>3.7126436781609193</v>
      </c>
      <c r="R35" s="31">
        <f>(U35*R37)/U37</f>
        <v>3.7126436781609193</v>
      </c>
      <c r="S35" s="31">
        <f>(U35*S37)/U37</f>
        <v>0.67502612330198541</v>
      </c>
      <c r="T35" s="31">
        <f>(U35*T37)/U37</f>
        <v>0.33751306165099271</v>
      </c>
      <c r="U35" s="31">
        <v>323</v>
      </c>
    </row>
    <row r="36" spans="1:21" x14ac:dyDescent="0.3">
      <c r="A36" s="37" t="s">
        <v>1305</v>
      </c>
      <c r="B36" s="31">
        <f>(B37*B34)/U37</f>
        <v>5.197363320809435E-4</v>
      </c>
      <c r="C36" s="31">
        <f>(U36*C37)/U37</f>
        <v>9.0125391849529777</v>
      </c>
      <c r="D36" s="31">
        <f>(U36*D37)/U37</f>
        <v>5.6165099268547545</v>
      </c>
      <c r="E36" s="31">
        <f>(U36*E37)/U37</f>
        <v>30.041797283176592</v>
      </c>
      <c r="F36" s="31">
        <f>(U36*F37)/U37</f>
        <v>5.8777429467084641</v>
      </c>
      <c r="G36" s="31">
        <f>(U36*G37)/U37</f>
        <v>11.755485893416928</v>
      </c>
      <c r="H36" s="31">
        <f>(U36*H37)/U37</f>
        <v>4.8328108672936256</v>
      </c>
      <c r="I36" s="31">
        <f>(U36*I37)/U37</f>
        <v>0.2612330198537095</v>
      </c>
      <c r="J36" s="31">
        <f>(U36*J37)/U37</f>
        <v>25.992685475444095</v>
      </c>
      <c r="K36" s="31">
        <f>(U36*L37)/U37</f>
        <v>3.3960292580982236</v>
      </c>
      <c r="L36" s="31">
        <f>(U36*L37)/U37</f>
        <v>3.3960292580982236</v>
      </c>
      <c r="M36" s="31">
        <f>(U36*M37)/U37</f>
        <v>0.2612330198537095</v>
      </c>
      <c r="N36" s="31">
        <f>(U36*N37)/U37</f>
        <v>16.065830721003135</v>
      </c>
      <c r="O36" s="31">
        <f>(U36*O37)/U37</f>
        <v>0.52246603970741901</v>
      </c>
      <c r="P36" s="31">
        <f>(U36*P37)/U37</f>
        <v>2.2204806687565308</v>
      </c>
      <c r="Q36" s="31">
        <f>(U36*Q37)/U37</f>
        <v>1.4367816091954022</v>
      </c>
      <c r="R36" s="31">
        <f>(U36*R37)/U37</f>
        <v>1.4367816091954022</v>
      </c>
      <c r="S36" s="31">
        <f>(U36*S37)/U37</f>
        <v>0.2612330198537095</v>
      </c>
      <c r="T36" s="31">
        <f>(U36*T37)/U37</f>
        <v>0.13061650992685475</v>
      </c>
      <c r="U36" s="31">
        <v>125</v>
      </c>
    </row>
    <row r="37" spans="1:21" x14ac:dyDescent="0.3">
      <c r="A37" s="37" t="s">
        <v>1347</v>
      </c>
      <c r="B37" s="31">
        <v>2</v>
      </c>
      <c r="C37" s="31">
        <v>69</v>
      </c>
      <c r="D37" s="31">
        <v>43</v>
      </c>
      <c r="E37" s="31">
        <v>230</v>
      </c>
      <c r="F37" s="31">
        <v>45</v>
      </c>
      <c r="G37" s="31">
        <v>90</v>
      </c>
      <c r="H37" s="31">
        <v>37</v>
      </c>
      <c r="I37" s="31">
        <v>2</v>
      </c>
      <c r="J37" s="31">
        <v>199</v>
      </c>
      <c r="K37" s="31">
        <v>43</v>
      </c>
      <c r="L37" s="31">
        <v>26</v>
      </c>
      <c r="M37" s="31">
        <v>2</v>
      </c>
      <c r="N37" s="31">
        <v>123</v>
      </c>
      <c r="O37" s="31">
        <v>4</v>
      </c>
      <c r="P37" s="31">
        <v>17</v>
      </c>
      <c r="Q37" s="31">
        <v>11</v>
      </c>
      <c r="R37" s="31">
        <v>11</v>
      </c>
      <c r="S37" s="31">
        <v>2</v>
      </c>
      <c r="T37" s="31">
        <v>1</v>
      </c>
      <c r="U37" s="31">
        <v>957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4AA7-4F82-41E9-936D-EC3FD3646ABB}">
  <dimension ref="A1:F17"/>
  <sheetViews>
    <sheetView workbookViewId="0">
      <selection activeCell="I22" sqref="I22"/>
    </sheetView>
  </sheetViews>
  <sheetFormatPr defaultRowHeight="14.4" x14ac:dyDescent="0.3"/>
  <cols>
    <col min="1" max="1" width="18.109375" bestFit="1" customWidth="1"/>
    <col min="2" max="2" width="15.5546875" bestFit="1" customWidth="1"/>
    <col min="3" max="3" width="14.88671875" customWidth="1"/>
    <col min="4" max="4" width="8.33203125" bestFit="1" customWidth="1"/>
    <col min="5" max="5" width="7" bestFit="1" customWidth="1"/>
    <col min="6" max="6" width="11.109375" customWidth="1"/>
    <col min="7" max="7" width="13.33203125" bestFit="1" customWidth="1"/>
    <col min="8" max="8" width="13.44140625" bestFit="1" customWidth="1"/>
    <col min="9" max="9" width="10.77734375" bestFit="1" customWidth="1"/>
    <col min="10" max="10" width="5.109375" bestFit="1" customWidth="1"/>
    <col min="11" max="11" width="9" bestFit="1" customWidth="1"/>
    <col min="12" max="12" width="5.33203125" bestFit="1" customWidth="1"/>
    <col min="13" max="13" width="7.88671875" bestFit="1" customWidth="1"/>
    <col min="14" max="14" width="5.77734375" bestFit="1" customWidth="1"/>
    <col min="15" max="15" width="10.21875" bestFit="1" customWidth="1"/>
    <col min="16" max="16" width="7.109375" bestFit="1" customWidth="1"/>
    <col min="17" max="17" width="6.5546875" bestFit="1" customWidth="1"/>
    <col min="18" max="18" width="8.6640625" bestFit="1" customWidth="1"/>
    <col min="19" max="19" width="5.21875" bestFit="1" customWidth="1"/>
    <col min="20" max="20" width="9.21875" bestFit="1" customWidth="1"/>
    <col min="21" max="21" width="4.33203125" bestFit="1" customWidth="1"/>
    <col min="22" max="22" width="4.6640625" bestFit="1" customWidth="1"/>
    <col min="23" max="23" width="5.88671875" bestFit="1" customWidth="1"/>
    <col min="24" max="24" width="6.6640625" bestFit="1" customWidth="1"/>
    <col min="25" max="25" width="6.77734375" bestFit="1" customWidth="1"/>
    <col min="26" max="26" width="6" bestFit="1" customWidth="1"/>
    <col min="27" max="27" width="8.44140625" bestFit="1" customWidth="1"/>
    <col min="28" max="28" width="7.109375" bestFit="1" customWidth="1"/>
    <col min="29" max="29" width="8.5546875" bestFit="1" customWidth="1"/>
    <col min="30" max="30" width="4.44140625" bestFit="1" customWidth="1"/>
    <col min="31" max="31" width="11.21875" bestFit="1" customWidth="1"/>
    <col min="32" max="32" width="8.109375" bestFit="1" customWidth="1"/>
    <col min="33" max="33" width="4.88671875" bestFit="1" customWidth="1"/>
    <col min="34" max="34" width="10.109375" bestFit="1" customWidth="1"/>
    <col min="35" max="35" width="6.21875" bestFit="1" customWidth="1"/>
    <col min="36" max="36" width="6.77734375" bestFit="1" customWidth="1"/>
    <col min="37" max="37" width="11.5546875" bestFit="1" customWidth="1"/>
    <col min="38" max="38" width="9.44140625" bestFit="1" customWidth="1"/>
    <col min="39" max="39" width="11.33203125" bestFit="1" customWidth="1"/>
    <col min="40" max="40" width="5.6640625" bestFit="1" customWidth="1"/>
    <col min="41" max="41" width="7.6640625" bestFit="1" customWidth="1"/>
    <col min="42" max="42" width="10.6640625" bestFit="1" customWidth="1"/>
    <col min="43" max="43" width="8.21875" bestFit="1" customWidth="1"/>
    <col min="44" max="44" width="6.77734375" bestFit="1" customWidth="1"/>
    <col min="45" max="45" width="7.5546875" bestFit="1" customWidth="1"/>
    <col min="46" max="46" width="19" bestFit="1" customWidth="1"/>
    <col min="47" max="47" width="14.77734375" bestFit="1" customWidth="1"/>
    <col min="48" max="48" width="12.21875" bestFit="1" customWidth="1"/>
    <col min="49" max="49" width="9.6640625" bestFit="1" customWidth="1"/>
    <col min="50" max="50" width="8.109375" bestFit="1" customWidth="1"/>
    <col min="51" max="51" width="10.77734375" bestFit="1" customWidth="1"/>
  </cols>
  <sheetData>
    <row r="1" spans="1:6" x14ac:dyDescent="0.3">
      <c r="A1" s="4"/>
      <c r="B1" s="22" t="s">
        <v>1308</v>
      </c>
      <c r="C1" s="22" t="s">
        <v>1305</v>
      </c>
      <c r="F1" t="s">
        <v>1370</v>
      </c>
    </row>
    <row r="2" spans="1:6" x14ac:dyDescent="0.3">
      <c r="A2" s="22" t="s">
        <v>982</v>
      </c>
      <c r="B2" s="4">
        <v>12</v>
      </c>
      <c r="C2" s="4">
        <v>9</v>
      </c>
      <c r="D2">
        <v>21</v>
      </c>
      <c r="F2">
        <f>B2/D2</f>
        <v>0.5714285714285714</v>
      </c>
    </row>
    <row r="3" spans="1:6" x14ac:dyDescent="0.3">
      <c r="A3" s="22" t="s">
        <v>977</v>
      </c>
      <c r="B3" s="4">
        <v>78</v>
      </c>
      <c r="C3" s="4">
        <v>28</v>
      </c>
      <c r="D3">
        <v>106</v>
      </c>
      <c r="F3">
        <f>B3/D3</f>
        <v>0.73584905660377353</v>
      </c>
    </row>
    <row r="4" spans="1:6" x14ac:dyDescent="0.3">
      <c r="B4">
        <v>90</v>
      </c>
      <c r="C4">
        <v>36</v>
      </c>
    </row>
    <row r="5" spans="1:6" x14ac:dyDescent="0.3">
      <c r="A5" t="s">
        <v>1366</v>
      </c>
      <c r="B5">
        <f>B2/B3</f>
        <v>0.15384615384615385</v>
      </c>
      <c r="C5">
        <f>C2/C3</f>
        <v>0.32142857142857145</v>
      </c>
    </row>
    <row r="7" spans="1:6" x14ac:dyDescent="0.3">
      <c r="A7" t="s">
        <v>1367</v>
      </c>
      <c r="B7">
        <f>B5/C5</f>
        <v>0.4786324786324786</v>
      </c>
    </row>
    <row r="8" spans="1:6" x14ac:dyDescent="0.3">
      <c r="A8" t="s">
        <v>1373</v>
      </c>
      <c r="B8">
        <f>LN(B7)</f>
        <v>-0.73682224406260699</v>
      </c>
    </row>
    <row r="9" spans="1:6" x14ac:dyDescent="0.3">
      <c r="A9" t="s">
        <v>1368</v>
      </c>
      <c r="B9">
        <f>EXP(B8+1.96*SQRT(1/B2+1/C2+1/B3+1/C3))</f>
        <v>1.2577432968712952</v>
      </c>
    </row>
    <row r="10" spans="1:6" x14ac:dyDescent="0.3">
      <c r="A10" t="s">
        <v>1369</v>
      </c>
      <c r="B10">
        <f>EXP(B8-1.96*SQRT(1/B2+1/C2+1/B3+1/C3))</f>
        <v>0.18214293025591272</v>
      </c>
    </row>
    <row r="12" spans="1:6" x14ac:dyDescent="0.3">
      <c r="A12" t="s">
        <v>1371</v>
      </c>
      <c r="B12">
        <f>(B2/(B2+C2))/(B3/(B3+C3))</f>
        <v>0.77655677655677657</v>
      </c>
    </row>
    <row r="13" spans="1:6" x14ac:dyDescent="0.3">
      <c r="A13" t="s">
        <v>1372</v>
      </c>
      <c r="B13">
        <f>LN(B12)</f>
        <v>-0.25288552051294727</v>
      </c>
    </row>
    <row r="15" spans="1:6" x14ac:dyDescent="0.3">
      <c r="A15" t="s">
        <v>1374</v>
      </c>
      <c r="B15">
        <f>SQRT(1/B2+1/B3-1/(B2+C2)-1/(B3+C3))</f>
        <v>0.1977393139227695</v>
      </c>
    </row>
    <row r="16" spans="1:6" x14ac:dyDescent="0.3">
      <c r="A16" t="s">
        <v>1375</v>
      </c>
      <c r="B16">
        <f>EXP(B13+1.96*B15)</f>
        <v>1.1441746355678837</v>
      </c>
    </row>
    <row r="17" spans="1:2" x14ac:dyDescent="0.3">
      <c r="A17" t="s">
        <v>1376</v>
      </c>
      <c r="B17">
        <f>EXP(B14-1.96*B16)</f>
        <v>0.10618395274230992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0C84-72E9-4C04-BB86-A7138DB1A0E4}">
  <dimension ref="A1:H761"/>
  <sheetViews>
    <sheetView workbookViewId="0">
      <selection activeCell="F16" sqref="F16:H28"/>
    </sheetView>
  </sheetViews>
  <sheetFormatPr defaultRowHeight="14.4" x14ac:dyDescent="0.3"/>
  <cols>
    <col min="2" max="2" width="13.109375" customWidth="1"/>
    <col min="6" max="6" width="41.21875" bestFit="1" customWidth="1"/>
    <col min="7" max="7" width="12.6640625" bestFit="1" customWidth="1"/>
    <col min="8" max="8" width="12" bestFit="1" customWidth="1"/>
  </cols>
  <sheetData>
    <row r="1" spans="1:7" x14ac:dyDescent="0.3">
      <c r="A1" s="41" t="s">
        <v>1379</v>
      </c>
      <c r="B1" s="41" t="s">
        <v>1377</v>
      </c>
      <c r="C1" s="3" t="s">
        <v>1300</v>
      </c>
      <c r="D1" s="3" t="s">
        <v>1378</v>
      </c>
    </row>
    <row r="2" spans="1:7" x14ac:dyDescent="0.3">
      <c r="A2" s="18" t="s">
        <v>1302</v>
      </c>
      <c r="B2" s="42">
        <v>1</v>
      </c>
      <c r="C2" s="40">
        <v>0</v>
      </c>
      <c r="D2" s="40">
        <v>26100000</v>
      </c>
      <c r="F2" t="s">
        <v>1380</v>
      </c>
    </row>
    <row r="3" spans="1:7" ht="15" thickBot="1" x14ac:dyDescent="0.35">
      <c r="A3" s="18" t="s">
        <v>1302</v>
      </c>
      <c r="B3" s="42">
        <v>1</v>
      </c>
      <c r="C3" s="40">
        <v>18950</v>
      </c>
      <c r="D3" s="40">
        <v>24500000</v>
      </c>
    </row>
    <row r="4" spans="1:7" x14ac:dyDescent="0.3">
      <c r="A4" s="43" t="s">
        <v>1302</v>
      </c>
      <c r="B4" s="43">
        <v>1</v>
      </c>
      <c r="C4" s="40">
        <v>3168</v>
      </c>
      <c r="D4" s="40">
        <v>15000000</v>
      </c>
      <c r="F4" s="20"/>
    </row>
    <row r="5" spans="1:7" x14ac:dyDescent="0.3">
      <c r="A5" s="18" t="s">
        <v>1302</v>
      </c>
      <c r="B5" s="42">
        <v>1</v>
      </c>
      <c r="C5" s="40">
        <v>4790</v>
      </c>
      <c r="D5" s="40">
        <v>14500000</v>
      </c>
      <c r="F5" t="s">
        <v>1309</v>
      </c>
      <c r="G5">
        <f>AVERAGE(C2:C381)</f>
        <v>19218.2</v>
      </c>
    </row>
    <row r="6" spans="1:7" x14ac:dyDescent="0.3">
      <c r="A6" s="18" t="s">
        <v>1302</v>
      </c>
      <c r="B6" s="42">
        <v>1</v>
      </c>
      <c r="C6" s="40">
        <v>283775</v>
      </c>
      <c r="D6" s="40">
        <v>57600000</v>
      </c>
      <c r="F6" t="s">
        <v>1390</v>
      </c>
      <c r="G6">
        <f>STDEV(C2:C381)</f>
        <v>50702.366351359196</v>
      </c>
    </row>
    <row r="7" spans="1:7" x14ac:dyDescent="0.3">
      <c r="A7" s="43" t="s">
        <v>1302</v>
      </c>
      <c r="B7" s="43">
        <v>1</v>
      </c>
      <c r="C7" s="40">
        <v>441</v>
      </c>
      <c r="D7" s="40">
        <v>16900000</v>
      </c>
      <c r="F7" t="s">
        <v>1382</v>
      </c>
      <c r="G7">
        <f>COUNT(C2:C381)</f>
        <v>380</v>
      </c>
    </row>
    <row r="8" spans="1:7" x14ac:dyDescent="0.3">
      <c r="A8" s="43" t="s">
        <v>1302</v>
      </c>
      <c r="B8" s="43">
        <v>1</v>
      </c>
      <c r="C8" s="40">
        <v>641</v>
      </c>
      <c r="D8" s="40">
        <v>30500000</v>
      </c>
      <c r="F8" t="s">
        <v>1391</v>
      </c>
      <c r="G8">
        <f>G6/SQRT(G7)</f>
        <v>2600.976513799264</v>
      </c>
    </row>
    <row r="9" spans="1:7" x14ac:dyDescent="0.3">
      <c r="A9" s="43" t="s">
        <v>1302</v>
      </c>
      <c r="B9" s="43">
        <v>1</v>
      </c>
      <c r="C9" s="40">
        <v>301308</v>
      </c>
      <c r="D9" s="40">
        <v>37000000</v>
      </c>
      <c r="F9" t="s">
        <v>1392</v>
      </c>
      <c r="G9">
        <f>G7-1</f>
        <v>379</v>
      </c>
    </row>
    <row r="10" spans="1:7" x14ac:dyDescent="0.3">
      <c r="A10" s="18" t="s">
        <v>1302</v>
      </c>
      <c r="B10" s="42">
        <v>1</v>
      </c>
      <c r="C10" s="40">
        <v>193890</v>
      </c>
      <c r="D10" s="40">
        <v>44200000</v>
      </c>
      <c r="F10" t="s">
        <v>1393</v>
      </c>
      <c r="G10">
        <v>0</v>
      </c>
    </row>
    <row r="11" spans="1:7" x14ac:dyDescent="0.3">
      <c r="A11" s="43" t="s">
        <v>1302</v>
      </c>
      <c r="B11" s="43">
        <v>1</v>
      </c>
      <c r="C11" s="40">
        <v>209520</v>
      </c>
      <c r="D11" s="40">
        <v>15100000</v>
      </c>
      <c r="F11" t="s">
        <v>1385</v>
      </c>
      <c r="G11">
        <f>(G5-G10)/G8</f>
        <v>7.3888402675070086</v>
      </c>
    </row>
    <row r="12" spans="1:7" x14ac:dyDescent="0.3">
      <c r="A12" s="18" t="s">
        <v>1302</v>
      </c>
      <c r="B12" s="42">
        <v>1</v>
      </c>
      <c r="C12" s="40">
        <v>5436</v>
      </c>
      <c r="D12" s="40">
        <v>28400000</v>
      </c>
      <c r="F12" t="s">
        <v>1386</v>
      </c>
      <c r="G12">
        <f>TDIST(G11,G9,1)</f>
        <v>4.7682178933406288E-13</v>
      </c>
    </row>
    <row r="13" spans="1:7" x14ac:dyDescent="0.3">
      <c r="A13" s="43" t="s">
        <v>1302</v>
      </c>
      <c r="B13" s="43">
        <v>1</v>
      </c>
      <c r="C13" s="40">
        <v>2197</v>
      </c>
      <c r="D13" s="40">
        <v>30400000</v>
      </c>
      <c r="F13" t="s">
        <v>1388</v>
      </c>
      <c r="G13">
        <f>TDIST(G11,G9,2)</f>
        <v>9.5364357866812577E-13</v>
      </c>
    </row>
    <row r="14" spans="1:7" x14ac:dyDescent="0.3">
      <c r="A14" s="18" t="s">
        <v>1302</v>
      </c>
      <c r="B14" s="42">
        <v>1</v>
      </c>
      <c r="C14" s="40">
        <v>8</v>
      </c>
      <c r="D14" s="40">
        <v>43700000</v>
      </c>
    </row>
    <row r="15" spans="1:7" ht="15" thickBot="1" x14ac:dyDescent="0.35">
      <c r="A15" s="43" t="s">
        <v>1302</v>
      </c>
      <c r="B15" s="43">
        <v>1</v>
      </c>
      <c r="C15" s="40">
        <v>169304</v>
      </c>
      <c r="D15" s="40">
        <v>12900000</v>
      </c>
      <c r="F15" s="19"/>
    </row>
    <row r="16" spans="1:7" x14ac:dyDescent="0.3">
      <c r="A16" s="18" t="s">
        <v>1302</v>
      </c>
      <c r="B16" s="42">
        <v>1</v>
      </c>
      <c r="C16" s="40">
        <v>287</v>
      </c>
      <c r="D16" s="40">
        <v>13100000</v>
      </c>
      <c r="F16" t="s">
        <v>1394</v>
      </c>
    </row>
    <row r="17" spans="1:8" ht="15" thickBot="1" x14ac:dyDescent="0.35">
      <c r="A17" s="18" t="s">
        <v>1302</v>
      </c>
      <c r="B17" s="42">
        <v>1</v>
      </c>
      <c r="C17" s="40">
        <v>118448</v>
      </c>
      <c r="D17" s="40">
        <v>17400000</v>
      </c>
      <c r="G17" t="s">
        <v>1300</v>
      </c>
      <c r="H17" t="s">
        <v>1378</v>
      </c>
    </row>
    <row r="18" spans="1:8" x14ac:dyDescent="0.3">
      <c r="A18" s="43" t="s">
        <v>1302</v>
      </c>
      <c r="B18" s="43">
        <v>1</v>
      </c>
      <c r="C18" s="40">
        <v>591</v>
      </c>
      <c r="D18" s="40">
        <v>13500000</v>
      </c>
      <c r="F18" s="46"/>
      <c r="G18" s="46">
        <v>0</v>
      </c>
      <c r="H18" s="46">
        <v>26100000</v>
      </c>
    </row>
    <row r="19" spans="1:8" x14ac:dyDescent="0.3">
      <c r="A19" s="18" t="s">
        <v>1302</v>
      </c>
      <c r="B19" s="42">
        <v>1</v>
      </c>
      <c r="C19" s="40">
        <v>542</v>
      </c>
      <c r="D19" s="40">
        <v>15800000</v>
      </c>
      <c r="F19" s="44" t="s">
        <v>1309</v>
      </c>
      <c r="G19" s="44">
        <v>19268.907651715039</v>
      </c>
      <c r="H19" s="44">
        <v>23268337.730870713</v>
      </c>
    </row>
    <row r="20" spans="1:8" x14ac:dyDescent="0.3">
      <c r="A20" s="43" t="s">
        <v>1302</v>
      </c>
      <c r="B20" s="43">
        <v>1</v>
      </c>
      <c r="C20" s="40">
        <v>109871</v>
      </c>
      <c r="D20" s="40">
        <v>43200000</v>
      </c>
      <c r="F20" s="44" t="s">
        <v>1381</v>
      </c>
      <c r="G20" s="44">
        <v>2576551160.5919785</v>
      </c>
      <c r="H20" s="44">
        <v>386465185324789.56</v>
      </c>
    </row>
    <row r="21" spans="1:8" x14ac:dyDescent="0.3">
      <c r="A21" s="18" t="s">
        <v>1302</v>
      </c>
      <c r="B21" s="42">
        <v>1</v>
      </c>
      <c r="C21" s="40">
        <v>151</v>
      </c>
      <c r="D21" s="40">
        <v>29800000</v>
      </c>
      <c r="F21" s="44" t="s">
        <v>1382</v>
      </c>
      <c r="G21" s="44">
        <v>379</v>
      </c>
      <c r="H21" s="44">
        <v>379</v>
      </c>
    </row>
    <row r="22" spans="1:8" x14ac:dyDescent="0.3">
      <c r="A22" s="18" t="s">
        <v>1302</v>
      </c>
      <c r="B22" s="42">
        <v>1</v>
      </c>
      <c r="C22" s="40">
        <v>669</v>
      </c>
      <c r="D22" s="40">
        <v>21300000</v>
      </c>
      <c r="F22" s="44" t="s">
        <v>1383</v>
      </c>
      <c r="G22" s="44">
        <v>0</v>
      </c>
      <c r="H22" s="44"/>
    </row>
    <row r="23" spans="1:8" x14ac:dyDescent="0.3">
      <c r="A23" s="43" t="s">
        <v>1302</v>
      </c>
      <c r="B23" s="43">
        <v>1</v>
      </c>
      <c r="C23" s="40">
        <v>875</v>
      </c>
      <c r="D23" s="40">
        <v>20300000</v>
      </c>
      <c r="F23" s="44" t="s">
        <v>1384</v>
      </c>
      <c r="G23" s="44">
        <v>378</v>
      </c>
      <c r="H23" s="44"/>
    </row>
    <row r="24" spans="1:8" x14ac:dyDescent="0.3">
      <c r="A24" s="43" t="s">
        <v>1302</v>
      </c>
      <c r="B24" s="43">
        <v>1</v>
      </c>
      <c r="C24" s="40">
        <v>2325</v>
      </c>
      <c r="D24" s="40">
        <v>21100000</v>
      </c>
      <c r="F24" s="44" t="s">
        <v>1385</v>
      </c>
      <c r="G24" s="44">
        <v>-23.023350869222131</v>
      </c>
      <c r="H24" s="44"/>
    </row>
    <row r="25" spans="1:8" x14ac:dyDescent="0.3">
      <c r="A25" s="18" t="s">
        <v>1302</v>
      </c>
      <c r="B25" s="42">
        <v>1</v>
      </c>
      <c r="C25" s="40">
        <v>1640</v>
      </c>
      <c r="D25" s="40">
        <v>13300000</v>
      </c>
      <c r="F25" s="44" t="s">
        <v>1386</v>
      </c>
      <c r="G25" s="44">
        <v>3.0827024884345436E-74</v>
      </c>
      <c r="H25" s="44"/>
    </row>
    <row r="26" spans="1:8" x14ac:dyDescent="0.3">
      <c r="A26" s="18" t="s">
        <v>1302</v>
      </c>
      <c r="B26" s="42">
        <v>1</v>
      </c>
      <c r="C26" s="40">
        <v>2281</v>
      </c>
      <c r="D26" s="40">
        <v>75600000</v>
      </c>
      <c r="F26" s="44" t="s">
        <v>1387</v>
      </c>
      <c r="G26" s="44">
        <v>1.6488947200363526</v>
      </c>
      <c r="H26" s="44"/>
    </row>
    <row r="27" spans="1:8" x14ac:dyDescent="0.3">
      <c r="A27" s="43" t="s">
        <v>1302</v>
      </c>
      <c r="B27" s="43">
        <v>1</v>
      </c>
      <c r="C27" s="40">
        <v>190</v>
      </c>
      <c r="D27" s="40">
        <v>26300000</v>
      </c>
      <c r="F27" s="44" t="s">
        <v>1388</v>
      </c>
      <c r="G27" s="44">
        <v>6.1654049768690873E-74</v>
      </c>
      <c r="H27" s="44"/>
    </row>
    <row r="28" spans="1:8" ht="15" thickBot="1" x14ac:dyDescent="0.35">
      <c r="A28" s="18" t="s">
        <v>1302</v>
      </c>
      <c r="B28" s="42">
        <v>1</v>
      </c>
      <c r="C28" s="40">
        <v>21243</v>
      </c>
      <c r="D28" s="40">
        <v>16500000</v>
      </c>
      <c r="F28" s="45" t="s">
        <v>1389</v>
      </c>
      <c r="G28" s="45">
        <v>1.9662596355318549</v>
      </c>
      <c r="H28" s="45"/>
    </row>
    <row r="29" spans="1:8" x14ac:dyDescent="0.3">
      <c r="A29" s="43" t="s">
        <v>1302</v>
      </c>
      <c r="B29" s="43">
        <v>1</v>
      </c>
      <c r="C29" s="40">
        <v>729</v>
      </c>
      <c r="D29" s="40">
        <v>12400000</v>
      </c>
    </row>
    <row r="30" spans="1:8" x14ac:dyDescent="0.3">
      <c r="A30" s="43" t="s">
        <v>1302</v>
      </c>
      <c r="B30" s="43">
        <v>1</v>
      </c>
      <c r="C30" s="40">
        <v>192</v>
      </c>
      <c r="D30" s="40">
        <v>13200000</v>
      </c>
    </row>
    <row r="31" spans="1:8" x14ac:dyDescent="0.3">
      <c r="A31" s="43" t="s">
        <v>1302</v>
      </c>
      <c r="B31" s="43">
        <v>1</v>
      </c>
      <c r="C31" s="40">
        <v>193</v>
      </c>
      <c r="D31" s="40">
        <v>12900000</v>
      </c>
    </row>
    <row r="32" spans="1:8" x14ac:dyDescent="0.3">
      <c r="A32" s="43" t="s">
        <v>1302</v>
      </c>
      <c r="B32" s="43">
        <v>1</v>
      </c>
      <c r="C32" s="40">
        <v>1540</v>
      </c>
      <c r="D32" s="40">
        <v>14100000</v>
      </c>
    </row>
    <row r="33" spans="1:4" x14ac:dyDescent="0.3">
      <c r="A33" s="43" t="s">
        <v>1302</v>
      </c>
      <c r="B33" s="43">
        <v>1</v>
      </c>
      <c r="C33" s="40">
        <v>776</v>
      </c>
      <c r="D33" s="40">
        <v>15100000</v>
      </c>
    </row>
    <row r="34" spans="1:4" x14ac:dyDescent="0.3">
      <c r="A34" s="18" t="s">
        <v>1302</v>
      </c>
      <c r="B34" s="42">
        <v>1</v>
      </c>
      <c r="C34" s="40">
        <v>543</v>
      </c>
      <c r="D34" s="40">
        <v>89800000</v>
      </c>
    </row>
    <row r="35" spans="1:4" x14ac:dyDescent="0.3">
      <c r="A35" s="43" t="s">
        <v>1302</v>
      </c>
      <c r="B35" s="43">
        <v>1</v>
      </c>
      <c r="C35" s="40">
        <v>0</v>
      </c>
      <c r="D35" s="40">
        <v>13400000</v>
      </c>
    </row>
    <row r="36" spans="1:4" x14ac:dyDescent="0.3">
      <c r="A36" s="43" t="s">
        <v>1302</v>
      </c>
      <c r="B36" s="43">
        <v>1</v>
      </c>
      <c r="C36" s="40">
        <v>1444</v>
      </c>
      <c r="D36" s="40">
        <v>16300000</v>
      </c>
    </row>
    <row r="37" spans="1:4" x14ac:dyDescent="0.3">
      <c r="A37" s="18" t="s">
        <v>1302</v>
      </c>
      <c r="B37" s="42">
        <v>1</v>
      </c>
      <c r="C37" s="40">
        <v>618</v>
      </c>
      <c r="D37" s="40">
        <v>14500000</v>
      </c>
    </row>
    <row r="38" spans="1:4" x14ac:dyDescent="0.3">
      <c r="A38" s="43" t="s">
        <v>1302</v>
      </c>
      <c r="B38" s="43">
        <v>1</v>
      </c>
      <c r="C38" s="40">
        <v>319</v>
      </c>
      <c r="D38" s="40">
        <v>13500000</v>
      </c>
    </row>
    <row r="39" spans="1:4" x14ac:dyDescent="0.3">
      <c r="A39" s="43" t="s">
        <v>1302</v>
      </c>
      <c r="B39" s="43">
        <v>1</v>
      </c>
      <c r="C39" s="40">
        <v>29</v>
      </c>
      <c r="D39" s="40">
        <v>13000000</v>
      </c>
    </row>
    <row r="40" spans="1:4" x14ac:dyDescent="0.3">
      <c r="A40" s="18" t="s">
        <v>1302</v>
      </c>
      <c r="B40" s="42">
        <v>1</v>
      </c>
      <c r="C40" s="40">
        <v>186</v>
      </c>
      <c r="D40" s="40">
        <v>39200000</v>
      </c>
    </row>
    <row r="41" spans="1:4" x14ac:dyDescent="0.3">
      <c r="A41" s="18" t="s">
        <v>1302</v>
      </c>
      <c r="B41" s="42">
        <v>1</v>
      </c>
      <c r="C41" s="40">
        <v>96214</v>
      </c>
      <c r="D41" s="40">
        <v>33500000</v>
      </c>
    </row>
    <row r="42" spans="1:4" x14ac:dyDescent="0.3">
      <c r="A42" s="18" t="s">
        <v>1302</v>
      </c>
      <c r="B42" s="42">
        <v>1</v>
      </c>
      <c r="C42" s="40">
        <v>56203</v>
      </c>
      <c r="D42" s="40">
        <v>16400000</v>
      </c>
    </row>
    <row r="43" spans="1:4" x14ac:dyDescent="0.3">
      <c r="A43" s="18" t="s">
        <v>1302</v>
      </c>
      <c r="B43" s="42">
        <v>1</v>
      </c>
      <c r="C43" s="40">
        <v>2717</v>
      </c>
      <c r="D43" s="40">
        <v>15100000</v>
      </c>
    </row>
    <row r="44" spans="1:4" x14ac:dyDescent="0.3">
      <c r="A44" s="43" t="s">
        <v>1302</v>
      </c>
      <c r="B44" s="43">
        <v>1</v>
      </c>
      <c r="C44" s="40">
        <v>899</v>
      </c>
      <c r="D44" s="40">
        <v>15000000</v>
      </c>
    </row>
    <row r="45" spans="1:4" x14ac:dyDescent="0.3">
      <c r="A45" s="43" t="s">
        <v>1302</v>
      </c>
      <c r="B45" s="43">
        <v>1</v>
      </c>
      <c r="C45" s="40">
        <v>633</v>
      </c>
      <c r="D45" s="40">
        <v>65900000</v>
      </c>
    </row>
    <row r="46" spans="1:4" x14ac:dyDescent="0.3">
      <c r="A46" s="18" t="s">
        <v>1302</v>
      </c>
      <c r="B46" s="42">
        <v>1</v>
      </c>
      <c r="C46" s="40">
        <v>117</v>
      </c>
      <c r="D46" s="40">
        <v>12500000</v>
      </c>
    </row>
    <row r="47" spans="1:4" x14ac:dyDescent="0.3">
      <c r="A47" s="43" t="s">
        <v>1302</v>
      </c>
      <c r="B47" s="43">
        <v>1</v>
      </c>
      <c r="C47" s="40">
        <v>23490</v>
      </c>
      <c r="D47" s="40">
        <v>14700000</v>
      </c>
    </row>
    <row r="48" spans="1:4" x14ac:dyDescent="0.3">
      <c r="A48" s="18" t="s">
        <v>1302</v>
      </c>
      <c r="B48" s="42">
        <v>1</v>
      </c>
      <c r="C48" s="40">
        <v>112915</v>
      </c>
      <c r="D48" s="40">
        <v>64600000</v>
      </c>
    </row>
    <row r="49" spans="1:4" x14ac:dyDescent="0.3">
      <c r="A49" s="18" t="s">
        <v>1302</v>
      </c>
      <c r="B49" s="42">
        <v>1</v>
      </c>
      <c r="C49" s="40">
        <v>393</v>
      </c>
      <c r="D49" s="40">
        <v>13200000</v>
      </c>
    </row>
    <row r="50" spans="1:4" x14ac:dyDescent="0.3">
      <c r="A50" s="18" t="s">
        <v>1302</v>
      </c>
      <c r="B50" s="42">
        <v>1</v>
      </c>
      <c r="C50" s="40">
        <v>1259</v>
      </c>
      <c r="D50" s="40">
        <v>27300000</v>
      </c>
    </row>
    <row r="51" spans="1:4" x14ac:dyDescent="0.3">
      <c r="A51" s="18" t="s">
        <v>1302</v>
      </c>
      <c r="B51" s="42">
        <v>1</v>
      </c>
      <c r="C51" s="40">
        <v>338</v>
      </c>
      <c r="D51" s="40">
        <v>33400000</v>
      </c>
    </row>
    <row r="52" spans="1:4" x14ac:dyDescent="0.3">
      <c r="A52" s="18" t="s">
        <v>1302</v>
      </c>
      <c r="B52" s="42">
        <v>1</v>
      </c>
      <c r="C52" s="40">
        <v>3810</v>
      </c>
      <c r="D52" s="40">
        <v>15100000</v>
      </c>
    </row>
    <row r="53" spans="1:4" x14ac:dyDescent="0.3">
      <c r="A53" s="18" t="s">
        <v>1302</v>
      </c>
      <c r="B53" s="42">
        <v>1</v>
      </c>
      <c r="C53" s="40">
        <v>20225</v>
      </c>
      <c r="D53" s="40">
        <v>21300000</v>
      </c>
    </row>
    <row r="54" spans="1:4" x14ac:dyDescent="0.3">
      <c r="A54" s="43" t="s">
        <v>1302</v>
      </c>
      <c r="B54" s="43">
        <v>1</v>
      </c>
      <c r="C54" s="40">
        <v>633</v>
      </c>
      <c r="D54" s="40">
        <v>15800000</v>
      </c>
    </row>
    <row r="55" spans="1:4" x14ac:dyDescent="0.3">
      <c r="A55" s="43" t="s">
        <v>1302</v>
      </c>
      <c r="B55" s="43">
        <v>1</v>
      </c>
      <c r="C55" s="40">
        <v>15</v>
      </c>
      <c r="D55" s="40">
        <v>20600000</v>
      </c>
    </row>
    <row r="56" spans="1:4" x14ac:dyDescent="0.3">
      <c r="A56" s="18" t="s">
        <v>1302</v>
      </c>
      <c r="B56" s="42">
        <v>1</v>
      </c>
      <c r="C56" s="40">
        <v>218</v>
      </c>
      <c r="D56" s="40">
        <v>12400000</v>
      </c>
    </row>
    <row r="57" spans="1:4" x14ac:dyDescent="0.3">
      <c r="A57" s="43" t="s">
        <v>1302</v>
      </c>
      <c r="B57" s="43">
        <v>1</v>
      </c>
      <c r="C57" s="40">
        <v>4750</v>
      </c>
      <c r="D57" s="40">
        <v>19400000</v>
      </c>
    </row>
    <row r="58" spans="1:4" x14ac:dyDescent="0.3">
      <c r="A58" s="43" t="s">
        <v>1302</v>
      </c>
      <c r="B58" s="43">
        <v>1</v>
      </c>
      <c r="C58" s="40">
        <v>79</v>
      </c>
      <c r="D58" s="40">
        <v>15700000</v>
      </c>
    </row>
    <row r="59" spans="1:4" x14ac:dyDescent="0.3">
      <c r="A59" s="18" t="s">
        <v>1302</v>
      </c>
      <c r="B59" s="42">
        <v>1</v>
      </c>
      <c r="C59" s="40">
        <v>896</v>
      </c>
      <c r="D59" s="40">
        <v>20900000</v>
      </c>
    </row>
    <row r="60" spans="1:4" x14ac:dyDescent="0.3">
      <c r="A60" s="18" t="s">
        <v>1302</v>
      </c>
      <c r="B60" s="42">
        <v>1</v>
      </c>
      <c r="C60" s="40">
        <v>889</v>
      </c>
      <c r="D60" s="40">
        <v>27100000</v>
      </c>
    </row>
    <row r="61" spans="1:4" x14ac:dyDescent="0.3">
      <c r="A61" s="18" t="s">
        <v>1302</v>
      </c>
      <c r="B61" s="42">
        <v>1</v>
      </c>
      <c r="C61" s="40">
        <v>2805</v>
      </c>
      <c r="D61" s="40">
        <v>16100000</v>
      </c>
    </row>
    <row r="62" spans="1:4" x14ac:dyDescent="0.3">
      <c r="A62" s="43" t="s">
        <v>1302</v>
      </c>
      <c r="B62" s="43">
        <v>1</v>
      </c>
      <c r="C62" s="40">
        <v>3733</v>
      </c>
      <c r="D62" s="40">
        <v>15100000</v>
      </c>
    </row>
    <row r="63" spans="1:4" x14ac:dyDescent="0.3">
      <c r="A63" s="18" t="s">
        <v>1302</v>
      </c>
      <c r="B63" s="42">
        <v>1</v>
      </c>
      <c r="C63" s="40">
        <v>239</v>
      </c>
      <c r="D63" s="40">
        <v>20400000</v>
      </c>
    </row>
    <row r="64" spans="1:4" x14ac:dyDescent="0.3">
      <c r="A64" s="43" t="s">
        <v>1302</v>
      </c>
      <c r="B64" s="43">
        <v>1</v>
      </c>
      <c r="C64" s="40">
        <v>9652</v>
      </c>
      <c r="D64" s="40">
        <v>14000000</v>
      </c>
    </row>
    <row r="65" spans="1:4" x14ac:dyDescent="0.3">
      <c r="A65" s="18" t="s">
        <v>1302</v>
      </c>
      <c r="B65" s="42">
        <v>1</v>
      </c>
      <c r="C65" s="40">
        <v>125974</v>
      </c>
      <c r="D65" s="40">
        <v>19400000</v>
      </c>
    </row>
    <row r="66" spans="1:4" x14ac:dyDescent="0.3">
      <c r="A66" s="43" t="s">
        <v>1302</v>
      </c>
      <c r="B66" s="43">
        <v>1</v>
      </c>
      <c r="C66" s="40">
        <v>782</v>
      </c>
      <c r="D66" s="40">
        <v>12700000</v>
      </c>
    </row>
    <row r="67" spans="1:4" x14ac:dyDescent="0.3">
      <c r="A67" s="18" t="s">
        <v>1302</v>
      </c>
      <c r="B67" s="42">
        <v>1</v>
      </c>
      <c r="C67" s="40">
        <v>709</v>
      </c>
      <c r="D67" s="40">
        <v>17500000</v>
      </c>
    </row>
    <row r="68" spans="1:4" x14ac:dyDescent="0.3">
      <c r="A68" s="18" t="s">
        <v>1302</v>
      </c>
      <c r="B68" s="42">
        <v>1</v>
      </c>
      <c r="C68" s="40">
        <v>1699</v>
      </c>
      <c r="D68" s="40">
        <v>12500000</v>
      </c>
    </row>
    <row r="69" spans="1:4" x14ac:dyDescent="0.3">
      <c r="A69" s="43" t="s">
        <v>1302</v>
      </c>
      <c r="B69" s="43">
        <v>1</v>
      </c>
      <c r="C69" s="40">
        <v>863</v>
      </c>
      <c r="D69" s="40">
        <v>13700000</v>
      </c>
    </row>
    <row r="70" spans="1:4" x14ac:dyDescent="0.3">
      <c r="A70" s="18" t="s">
        <v>1302</v>
      </c>
      <c r="B70" s="42">
        <v>1</v>
      </c>
      <c r="C70" s="40">
        <v>379</v>
      </c>
      <c r="D70" s="40">
        <v>15400000</v>
      </c>
    </row>
    <row r="71" spans="1:4" x14ac:dyDescent="0.3">
      <c r="A71" s="43" t="s">
        <v>1302</v>
      </c>
      <c r="B71" s="43">
        <v>1</v>
      </c>
      <c r="C71" s="40">
        <v>11907</v>
      </c>
      <c r="D71" s="40">
        <v>12500000</v>
      </c>
    </row>
    <row r="72" spans="1:4" x14ac:dyDescent="0.3">
      <c r="A72" s="43" t="s">
        <v>1302</v>
      </c>
      <c r="B72" s="43">
        <v>1</v>
      </c>
      <c r="C72" s="40">
        <v>1500</v>
      </c>
      <c r="D72" s="40">
        <v>12300000</v>
      </c>
    </row>
    <row r="73" spans="1:4" x14ac:dyDescent="0.3">
      <c r="A73" s="43" t="s">
        <v>1302</v>
      </c>
      <c r="B73" s="43">
        <v>1</v>
      </c>
      <c r="C73" s="40">
        <v>149</v>
      </c>
      <c r="D73" s="40">
        <v>17500000</v>
      </c>
    </row>
    <row r="74" spans="1:4" x14ac:dyDescent="0.3">
      <c r="A74" s="43" t="s">
        <v>1302</v>
      </c>
      <c r="B74" s="43">
        <v>1</v>
      </c>
      <c r="C74" s="40">
        <v>679</v>
      </c>
      <c r="D74" s="40">
        <v>34300000</v>
      </c>
    </row>
    <row r="75" spans="1:4" x14ac:dyDescent="0.3">
      <c r="A75" s="43" t="s">
        <v>1302</v>
      </c>
      <c r="B75" s="43">
        <v>1</v>
      </c>
      <c r="C75" s="40">
        <v>1037</v>
      </c>
      <c r="D75" s="40">
        <v>18100000</v>
      </c>
    </row>
    <row r="76" spans="1:4" x14ac:dyDescent="0.3">
      <c r="A76" s="43" t="s">
        <v>1302</v>
      </c>
      <c r="B76" s="43">
        <v>1</v>
      </c>
      <c r="C76" s="40">
        <v>1725</v>
      </c>
      <c r="D76" s="40">
        <v>15400000</v>
      </c>
    </row>
    <row r="77" spans="1:4" x14ac:dyDescent="0.3">
      <c r="A77" s="43" t="s">
        <v>1302</v>
      </c>
      <c r="B77" s="43">
        <v>1</v>
      </c>
      <c r="C77" s="40">
        <v>190093</v>
      </c>
      <c r="D77" s="40">
        <v>13800000</v>
      </c>
    </row>
    <row r="78" spans="1:4" x14ac:dyDescent="0.3">
      <c r="A78" s="43" t="s">
        <v>1302</v>
      </c>
      <c r="B78" s="43">
        <v>1</v>
      </c>
      <c r="C78" s="40">
        <v>3322</v>
      </c>
      <c r="D78" s="40">
        <v>47500000</v>
      </c>
    </row>
    <row r="79" spans="1:4" x14ac:dyDescent="0.3">
      <c r="A79" s="18" t="s">
        <v>1302</v>
      </c>
      <c r="B79" s="42">
        <v>1</v>
      </c>
      <c r="C79" s="40">
        <v>510</v>
      </c>
      <c r="D79" s="40">
        <v>13000000</v>
      </c>
    </row>
    <row r="80" spans="1:4" x14ac:dyDescent="0.3">
      <c r="A80" s="18" t="s">
        <v>1302</v>
      </c>
      <c r="B80" s="42">
        <v>1</v>
      </c>
      <c r="C80" s="40">
        <v>93311</v>
      </c>
      <c r="D80" s="40">
        <v>31900000</v>
      </c>
    </row>
    <row r="81" spans="1:4" x14ac:dyDescent="0.3">
      <c r="A81" s="18" t="s">
        <v>1302</v>
      </c>
      <c r="B81" s="42">
        <v>1</v>
      </c>
      <c r="C81" s="40">
        <v>296272</v>
      </c>
      <c r="D81" s="40">
        <v>13400000</v>
      </c>
    </row>
    <row r="82" spans="1:4" x14ac:dyDescent="0.3">
      <c r="A82" s="18" t="s">
        <v>1302</v>
      </c>
      <c r="B82" s="42">
        <v>1</v>
      </c>
      <c r="C82" s="40">
        <v>31989</v>
      </c>
      <c r="D82" s="40">
        <v>21200000</v>
      </c>
    </row>
    <row r="83" spans="1:4" x14ac:dyDescent="0.3">
      <c r="A83" s="43" t="s">
        <v>1302</v>
      </c>
      <c r="B83" s="43">
        <v>1</v>
      </c>
      <c r="C83" s="40">
        <v>15462</v>
      </c>
      <c r="D83" s="40">
        <v>23100000</v>
      </c>
    </row>
    <row r="84" spans="1:4" x14ac:dyDescent="0.3">
      <c r="A84" s="18" t="s">
        <v>1302</v>
      </c>
      <c r="B84" s="42">
        <v>1</v>
      </c>
      <c r="C84" s="40">
        <v>68606</v>
      </c>
      <c r="D84" s="40">
        <v>14500000</v>
      </c>
    </row>
    <row r="85" spans="1:4" x14ac:dyDescent="0.3">
      <c r="A85" s="43" t="s">
        <v>1302</v>
      </c>
      <c r="B85" s="43">
        <v>1</v>
      </c>
      <c r="C85" s="40">
        <v>23952</v>
      </c>
      <c r="D85" s="40">
        <v>16400000</v>
      </c>
    </row>
    <row r="86" spans="1:4" x14ac:dyDescent="0.3">
      <c r="A86" s="18" t="s">
        <v>1302</v>
      </c>
      <c r="B86" s="42">
        <v>1</v>
      </c>
      <c r="C86" s="40">
        <v>3622</v>
      </c>
      <c r="D86" s="40">
        <v>26400000</v>
      </c>
    </row>
    <row r="87" spans="1:4" x14ac:dyDescent="0.3">
      <c r="A87" s="43" t="s">
        <v>1302</v>
      </c>
      <c r="B87" s="43">
        <v>1</v>
      </c>
      <c r="C87" s="40">
        <v>3377</v>
      </c>
      <c r="D87" s="40">
        <v>22500000</v>
      </c>
    </row>
    <row r="88" spans="1:4" x14ac:dyDescent="0.3">
      <c r="A88" s="18" t="s">
        <v>1302</v>
      </c>
      <c r="B88" s="42">
        <v>1</v>
      </c>
      <c r="C88" s="40">
        <v>3532</v>
      </c>
      <c r="D88" s="40">
        <v>38300000</v>
      </c>
    </row>
    <row r="89" spans="1:4" x14ac:dyDescent="0.3">
      <c r="A89" s="18" t="s">
        <v>1302</v>
      </c>
      <c r="B89" s="42">
        <v>1</v>
      </c>
      <c r="C89" s="40">
        <v>975</v>
      </c>
      <c r="D89" s="40">
        <v>13700000</v>
      </c>
    </row>
    <row r="90" spans="1:4" x14ac:dyDescent="0.3">
      <c r="A90" s="43" t="s">
        <v>1302</v>
      </c>
      <c r="B90" s="43">
        <v>1</v>
      </c>
      <c r="C90" s="40">
        <v>6287</v>
      </c>
      <c r="D90" s="40">
        <v>18600000</v>
      </c>
    </row>
    <row r="91" spans="1:4" x14ac:dyDescent="0.3">
      <c r="A91" s="43" t="s">
        <v>1302</v>
      </c>
      <c r="B91" s="43">
        <v>1</v>
      </c>
      <c r="C91" s="40">
        <v>1476</v>
      </c>
      <c r="D91" s="40">
        <v>20000000</v>
      </c>
    </row>
    <row r="92" spans="1:4" x14ac:dyDescent="0.3">
      <c r="A92" s="18" t="s">
        <v>1302</v>
      </c>
      <c r="B92" s="42">
        <v>1</v>
      </c>
      <c r="C92" s="40">
        <v>3086</v>
      </c>
      <c r="D92" s="40">
        <v>14400000</v>
      </c>
    </row>
    <row r="93" spans="1:4" x14ac:dyDescent="0.3">
      <c r="A93" s="43" t="s">
        <v>1302</v>
      </c>
      <c r="B93" s="43">
        <v>1</v>
      </c>
      <c r="C93" s="40">
        <v>206</v>
      </c>
      <c r="D93" s="40">
        <v>15000000</v>
      </c>
    </row>
    <row r="94" spans="1:4" x14ac:dyDescent="0.3">
      <c r="A94" s="43" t="s">
        <v>1302</v>
      </c>
      <c r="B94" s="43">
        <v>1</v>
      </c>
      <c r="C94" s="40">
        <v>100755</v>
      </c>
      <c r="D94" s="40">
        <v>44600000</v>
      </c>
    </row>
    <row r="95" spans="1:4" x14ac:dyDescent="0.3">
      <c r="A95" s="18" t="s">
        <v>1302</v>
      </c>
      <c r="B95" s="42">
        <v>1</v>
      </c>
      <c r="C95" s="40">
        <v>165</v>
      </c>
      <c r="D95" s="40">
        <v>15400000</v>
      </c>
    </row>
    <row r="96" spans="1:4" x14ac:dyDescent="0.3">
      <c r="A96" s="43" t="s">
        <v>1302</v>
      </c>
      <c r="B96" s="43">
        <v>1</v>
      </c>
      <c r="C96" s="40">
        <v>1810</v>
      </c>
      <c r="D96" s="40">
        <v>12500000</v>
      </c>
    </row>
    <row r="97" spans="1:4" x14ac:dyDescent="0.3">
      <c r="A97" s="43" t="s">
        <v>1302</v>
      </c>
      <c r="B97" s="43">
        <v>1</v>
      </c>
      <c r="C97" s="40">
        <v>495</v>
      </c>
      <c r="D97" s="40">
        <v>22600000</v>
      </c>
    </row>
    <row r="98" spans="1:4" x14ac:dyDescent="0.3">
      <c r="A98" s="18" t="s">
        <v>1302</v>
      </c>
      <c r="B98" s="42">
        <v>1</v>
      </c>
      <c r="C98" s="40">
        <v>375</v>
      </c>
      <c r="D98" s="40">
        <v>18900000</v>
      </c>
    </row>
    <row r="99" spans="1:4" x14ac:dyDescent="0.3">
      <c r="A99" s="43" t="s">
        <v>1302</v>
      </c>
      <c r="B99" s="43">
        <v>1</v>
      </c>
      <c r="C99" s="40">
        <v>106983</v>
      </c>
      <c r="D99" s="40">
        <v>28300000</v>
      </c>
    </row>
    <row r="100" spans="1:4" x14ac:dyDescent="0.3">
      <c r="A100" s="18" t="s">
        <v>1302</v>
      </c>
      <c r="B100" s="42">
        <v>1</v>
      </c>
      <c r="C100" s="40">
        <v>1337</v>
      </c>
      <c r="D100" s="40">
        <v>71300000</v>
      </c>
    </row>
    <row r="101" spans="1:4" x14ac:dyDescent="0.3">
      <c r="A101" s="18" t="s">
        <v>1302</v>
      </c>
      <c r="B101" s="42">
        <v>1</v>
      </c>
      <c r="C101" s="40">
        <v>2175</v>
      </c>
      <c r="D101" s="40">
        <v>15300000</v>
      </c>
    </row>
    <row r="102" spans="1:4" x14ac:dyDescent="0.3">
      <c r="A102" s="18" t="s">
        <v>1302</v>
      </c>
      <c r="B102" s="42">
        <v>1</v>
      </c>
      <c r="C102" s="40">
        <v>273255</v>
      </c>
      <c r="D102" s="40">
        <v>35500000</v>
      </c>
    </row>
    <row r="103" spans="1:4" x14ac:dyDescent="0.3">
      <c r="A103" s="43" t="s">
        <v>1302</v>
      </c>
      <c r="B103" s="43">
        <v>1</v>
      </c>
      <c r="C103" s="40">
        <v>1838</v>
      </c>
      <c r="D103" s="40">
        <v>14400000</v>
      </c>
    </row>
    <row r="104" spans="1:4" x14ac:dyDescent="0.3">
      <c r="A104" s="18" t="s">
        <v>1302</v>
      </c>
      <c r="B104" s="42">
        <v>1</v>
      </c>
      <c r="C104" s="40">
        <v>65286</v>
      </c>
      <c r="D104" s="40">
        <v>25900000</v>
      </c>
    </row>
    <row r="105" spans="1:4" x14ac:dyDescent="0.3">
      <c r="A105" s="18" t="s">
        <v>1302</v>
      </c>
      <c r="B105" s="42">
        <v>1</v>
      </c>
      <c r="C105" s="40">
        <v>495</v>
      </c>
      <c r="D105" s="40">
        <v>13700000</v>
      </c>
    </row>
    <row r="106" spans="1:4" x14ac:dyDescent="0.3">
      <c r="A106" s="18" t="s">
        <v>1302</v>
      </c>
      <c r="B106" s="42">
        <v>1</v>
      </c>
      <c r="C106" s="40">
        <v>577</v>
      </c>
      <c r="D106" s="40">
        <v>53300000</v>
      </c>
    </row>
    <row r="107" spans="1:4" x14ac:dyDescent="0.3">
      <c r="A107" s="43" t="s">
        <v>1302</v>
      </c>
      <c r="B107" s="43">
        <v>1</v>
      </c>
      <c r="C107" s="40">
        <v>433</v>
      </c>
      <c r="D107" s="40">
        <v>14200000</v>
      </c>
    </row>
    <row r="108" spans="1:4" x14ac:dyDescent="0.3">
      <c r="A108" s="43" t="s">
        <v>1302</v>
      </c>
      <c r="B108" s="43">
        <v>1</v>
      </c>
      <c r="C108" s="40">
        <v>555</v>
      </c>
      <c r="D108" s="40">
        <v>28900000</v>
      </c>
    </row>
    <row r="109" spans="1:4" x14ac:dyDescent="0.3">
      <c r="A109" s="18" t="s">
        <v>1302</v>
      </c>
      <c r="B109" s="42">
        <v>1</v>
      </c>
      <c r="C109" s="40">
        <v>505</v>
      </c>
      <c r="D109" s="40">
        <v>28300000</v>
      </c>
    </row>
    <row r="110" spans="1:4" x14ac:dyDescent="0.3">
      <c r="A110" s="43" t="s">
        <v>1302</v>
      </c>
      <c r="B110" s="43">
        <v>1</v>
      </c>
      <c r="C110" s="40">
        <v>359</v>
      </c>
      <c r="D110" s="40">
        <v>15500000</v>
      </c>
    </row>
    <row r="111" spans="1:4" x14ac:dyDescent="0.3">
      <c r="A111" s="43" t="s">
        <v>1302</v>
      </c>
      <c r="B111" s="43">
        <v>1</v>
      </c>
      <c r="C111" s="40">
        <v>951</v>
      </c>
      <c r="D111" s="40">
        <v>21300000</v>
      </c>
    </row>
    <row r="112" spans="1:4" x14ac:dyDescent="0.3">
      <c r="A112" s="43" t="s">
        <v>1302</v>
      </c>
      <c r="B112" s="43">
        <v>1</v>
      </c>
      <c r="C112" s="40">
        <v>4510</v>
      </c>
      <c r="D112" s="40">
        <v>41400000</v>
      </c>
    </row>
    <row r="113" spans="1:4" x14ac:dyDescent="0.3">
      <c r="A113" s="18" t="s">
        <v>1302</v>
      </c>
      <c r="B113" s="42">
        <v>1</v>
      </c>
      <c r="C113" s="40">
        <v>1788</v>
      </c>
      <c r="D113" s="40">
        <v>15000000</v>
      </c>
    </row>
    <row r="114" spans="1:4" x14ac:dyDescent="0.3">
      <c r="A114" s="43" t="s">
        <v>1302</v>
      </c>
      <c r="B114" s="43">
        <v>1</v>
      </c>
      <c r="C114" s="40">
        <v>180</v>
      </c>
      <c r="D114" s="40">
        <v>16600000</v>
      </c>
    </row>
    <row r="115" spans="1:4" x14ac:dyDescent="0.3">
      <c r="A115" s="18" t="s">
        <v>1302</v>
      </c>
      <c r="B115" s="42">
        <v>1</v>
      </c>
      <c r="C115" s="40">
        <v>512</v>
      </c>
      <c r="D115" s="40">
        <v>17700000</v>
      </c>
    </row>
    <row r="116" spans="1:4" x14ac:dyDescent="0.3">
      <c r="A116" s="43" t="s">
        <v>1302</v>
      </c>
      <c r="B116" s="43">
        <v>1</v>
      </c>
      <c r="C116" s="40">
        <v>6</v>
      </c>
      <c r="D116" s="40">
        <v>13900000</v>
      </c>
    </row>
    <row r="117" spans="1:4" x14ac:dyDescent="0.3">
      <c r="A117" s="18" t="s">
        <v>1302</v>
      </c>
      <c r="B117" s="42">
        <v>1</v>
      </c>
      <c r="C117" s="40">
        <v>1888</v>
      </c>
      <c r="D117" s="40">
        <v>17700000</v>
      </c>
    </row>
    <row r="118" spans="1:4" x14ac:dyDescent="0.3">
      <c r="A118" s="43" t="s">
        <v>1302</v>
      </c>
      <c r="B118" s="43">
        <v>1</v>
      </c>
      <c r="C118" s="40">
        <v>2284</v>
      </c>
      <c r="D118" s="40">
        <v>34000000</v>
      </c>
    </row>
    <row r="119" spans="1:4" x14ac:dyDescent="0.3">
      <c r="A119" s="43" t="s">
        <v>1302</v>
      </c>
      <c r="B119" s="43">
        <v>1</v>
      </c>
      <c r="C119" s="40">
        <v>326</v>
      </c>
      <c r="D119" s="40">
        <v>17600000</v>
      </c>
    </row>
    <row r="120" spans="1:4" x14ac:dyDescent="0.3">
      <c r="A120" s="43" t="s">
        <v>1302</v>
      </c>
      <c r="B120" s="43">
        <v>1</v>
      </c>
      <c r="C120" s="40">
        <v>240</v>
      </c>
      <c r="D120" s="40">
        <v>34000000</v>
      </c>
    </row>
    <row r="121" spans="1:4" x14ac:dyDescent="0.3">
      <c r="A121" s="43" t="s">
        <v>1302</v>
      </c>
      <c r="B121" s="43">
        <v>1</v>
      </c>
      <c r="C121" s="40">
        <v>220</v>
      </c>
      <c r="D121" s="40">
        <v>37200000</v>
      </c>
    </row>
    <row r="122" spans="1:4" x14ac:dyDescent="0.3">
      <c r="A122" s="43" t="s">
        <v>1302</v>
      </c>
      <c r="B122" s="43">
        <v>1</v>
      </c>
      <c r="C122" s="40">
        <v>1097</v>
      </c>
      <c r="D122" s="40">
        <v>13600000</v>
      </c>
    </row>
    <row r="123" spans="1:4" x14ac:dyDescent="0.3">
      <c r="A123" s="43" t="s">
        <v>1302</v>
      </c>
      <c r="B123" s="43">
        <v>1</v>
      </c>
      <c r="C123" s="40">
        <v>5985</v>
      </c>
      <c r="D123" s="40">
        <v>26200000</v>
      </c>
    </row>
    <row r="124" spans="1:4" x14ac:dyDescent="0.3">
      <c r="A124" s="43" t="s">
        <v>1302</v>
      </c>
      <c r="B124" s="43">
        <v>1</v>
      </c>
      <c r="C124" s="40">
        <v>1753</v>
      </c>
      <c r="D124" s="40">
        <v>27400000</v>
      </c>
    </row>
    <row r="125" spans="1:4" x14ac:dyDescent="0.3">
      <c r="A125" s="43" t="s">
        <v>1302</v>
      </c>
      <c r="B125" s="43">
        <v>1</v>
      </c>
      <c r="C125" s="40">
        <v>1489</v>
      </c>
      <c r="D125" s="40">
        <v>13300000</v>
      </c>
    </row>
    <row r="126" spans="1:4" x14ac:dyDescent="0.3">
      <c r="A126" s="43" t="s">
        <v>1302</v>
      </c>
      <c r="B126" s="43">
        <v>1</v>
      </c>
      <c r="C126" s="40">
        <v>2254</v>
      </c>
      <c r="D126" s="40">
        <v>13900000</v>
      </c>
    </row>
    <row r="127" spans="1:4" x14ac:dyDescent="0.3">
      <c r="A127" s="18" t="s">
        <v>1302</v>
      </c>
      <c r="B127" s="42">
        <v>1</v>
      </c>
      <c r="C127" s="40">
        <v>1525</v>
      </c>
      <c r="D127" s="40">
        <v>15500000</v>
      </c>
    </row>
    <row r="128" spans="1:4" x14ac:dyDescent="0.3">
      <c r="A128" s="18" t="s">
        <v>1302</v>
      </c>
      <c r="B128" s="42">
        <v>1</v>
      </c>
      <c r="C128" s="40">
        <v>220</v>
      </c>
      <c r="D128" s="40">
        <v>15500000</v>
      </c>
    </row>
    <row r="129" spans="1:4" x14ac:dyDescent="0.3">
      <c r="A129" s="18" t="s">
        <v>1302</v>
      </c>
      <c r="B129" s="42">
        <v>1</v>
      </c>
      <c r="C129" s="40">
        <v>428</v>
      </c>
      <c r="D129" s="40">
        <v>16400000</v>
      </c>
    </row>
    <row r="130" spans="1:4" x14ac:dyDescent="0.3">
      <c r="A130" s="18" t="s">
        <v>1302</v>
      </c>
      <c r="B130" s="42">
        <v>1</v>
      </c>
      <c r="C130" s="40">
        <v>64496</v>
      </c>
      <c r="D130" s="40">
        <v>19000000</v>
      </c>
    </row>
    <row r="131" spans="1:4" x14ac:dyDescent="0.3">
      <c r="A131" s="18" t="s">
        <v>1302</v>
      </c>
      <c r="B131" s="42">
        <v>1</v>
      </c>
      <c r="C131" s="40">
        <v>4186</v>
      </c>
      <c r="D131" s="40">
        <v>15400000</v>
      </c>
    </row>
    <row r="132" spans="1:4" x14ac:dyDescent="0.3">
      <c r="A132" s="43" t="s">
        <v>1302</v>
      </c>
      <c r="B132" s="43">
        <v>1</v>
      </c>
      <c r="C132" s="40">
        <v>217</v>
      </c>
      <c r="D132" s="40">
        <v>33500000</v>
      </c>
    </row>
    <row r="133" spans="1:4" x14ac:dyDescent="0.3">
      <c r="A133" s="43" t="s">
        <v>1302</v>
      </c>
      <c r="B133" s="43">
        <v>1</v>
      </c>
      <c r="C133" s="40">
        <v>226</v>
      </c>
      <c r="D133" s="40">
        <v>20200000</v>
      </c>
    </row>
    <row r="134" spans="1:4" x14ac:dyDescent="0.3">
      <c r="A134" s="18" t="s">
        <v>1302</v>
      </c>
      <c r="B134" s="42">
        <v>1</v>
      </c>
      <c r="C134" s="40">
        <v>1505</v>
      </c>
      <c r="D134" s="40">
        <v>13800000</v>
      </c>
    </row>
    <row r="135" spans="1:4" x14ac:dyDescent="0.3">
      <c r="A135" s="18" t="s">
        <v>1302</v>
      </c>
      <c r="B135" s="42">
        <v>1</v>
      </c>
      <c r="C135" s="40">
        <v>269050</v>
      </c>
      <c r="D135" s="40">
        <v>15000000</v>
      </c>
    </row>
    <row r="136" spans="1:4" x14ac:dyDescent="0.3">
      <c r="A136" s="18" t="s">
        <v>1302</v>
      </c>
      <c r="B136" s="42">
        <v>1</v>
      </c>
      <c r="C136" s="40">
        <v>8976</v>
      </c>
      <c r="D136" s="40">
        <v>16600000</v>
      </c>
    </row>
    <row r="137" spans="1:4" x14ac:dyDescent="0.3">
      <c r="A137" s="43" t="s">
        <v>1302</v>
      </c>
      <c r="B137" s="43">
        <v>1</v>
      </c>
      <c r="C137" s="40">
        <v>31889</v>
      </c>
      <c r="D137" s="40">
        <v>16200000</v>
      </c>
    </row>
    <row r="138" spans="1:4" x14ac:dyDescent="0.3">
      <c r="A138" s="43" t="s">
        <v>1302</v>
      </c>
      <c r="B138" s="43">
        <v>1</v>
      </c>
      <c r="C138" s="40">
        <v>1716</v>
      </c>
      <c r="D138" s="40">
        <v>17700000</v>
      </c>
    </row>
    <row r="139" spans="1:4" x14ac:dyDescent="0.3">
      <c r="A139" s="18" t="s">
        <v>1302</v>
      </c>
      <c r="B139" s="42">
        <v>1</v>
      </c>
      <c r="C139" s="40">
        <v>502</v>
      </c>
      <c r="D139" s="40">
        <v>16800000</v>
      </c>
    </row>
    <row r="140" spans="1:4" x14ac:dyDescent="0.3">
      <c r="A140" s="18" t="s">
        <v>1302</v>
      </c>
      <c r="B140" s="42">
        <v>1</v>
      </c>
      <c r="C140" s="40">
        <v>493</v>
      </c>
      <c r="D140" s="40">
        <v>18500000</v>
      </c>
    </row>
    <row r="141" spans="1:4" x14ac:dyDescent="0.3">
      <c r="A141" s="43" t="s">
        <v>1302</v>
      </c>
      <c r="B141" s="43">
        <v>1</v>
      </c>
      <c r="C141" s="40">
        <v>493</v>
      </c>
      <c r="D141" s="40">
        <v>106000000</v>
      </c>
    </row>
    <row r="142" spans="1:4" x14ac:dyDescent="0.3">
      <c r="A142" s="18" t="s">
        <v>1302</v>
      </c>
      <c r="B142" s="42">
        <v>1</v>
      </c>
      <c r="C142" s="40">
        <v>602</v>
      </c>
      <c r="D142" s="40">
        <v>17900000</v>
      </c>
    </row>
    <row r="143" spans="1:4" x14ac:dyDescent="0.3">
      <c r="A143" s="18" t="s">
        <v>1302</v>
      </c>
      <c r="B143" s="42">
        <v>1</v>
      </c>
      <c r="C143" s="40">
        <v>0</v>
      </c>
      <c r="D143" s="40">
        <v>20400000</v>
      </c>
    </row>
    <row r="144" spans="1:4" x14ac:dyDescent="0.3">
      <c r="A144" s="43" t="s">
        <v>1302</v>
      </c>
      <c r="B144" s="43">
        <v>1</v>
      </c>
      <c r="C144" s="40">
        <v>1262</v>
      </c>
      <c r="D144" s="40">
        <v>13100000</v>
      </c>
    </row>
    <row r="145" spans="1:4" x14ac:dyDescent="0.3">
      <c r="A145" s="18" t="s">
        <v>1302</v>
      </c>
      <c r="B145" s="42">
        <v>1</v>
      </c>
      <c r="C145" s="40">
        <v>1397</v>
      </c>
      <c r="D145" s="40">
        <v>15300000</v>
      </c>
    </row>
    <row r="146" spans="1:4" x14ac:dyDescent="0.3">
      <c r="A146" s="18" t="s">
        <v>1302</v>
      </c>
      <c r="B146" s="42">
        <v>1</v>
      </c>
      <c r="C146" s="40">
        <v>514</v>
      </c>
      <c r="D146" s="40">
        <v>14500000</v>
      </c>
    </row>
    <row r="147" spans="1:4" x14ac:dyDescent="0.3">
      <c r="A147" s="43" t="s">
        <v>1302</v>
      </c>
      <c r="B147" s="43">
        <v>1</v>
      </c>
      <c r="C147" s="40">
        <v>62</v>
      </c>
      <c r="D147" s="40">
        <v>12300000</v>
      </c>
    </row>
    <row r="148" spans="1:4" x14ac:dyDescent="0.3">
      <c r="A148" s="43" t="s">
        <v>1302</v>
      </c>
      <c r="B148" s="43">
        <v>1</v>
      </c>
      <c r="C148" s="40">
        <v>335</v>
      </c>
      <c r="D148" s="40">
        <v>19300000</v>
      </c>
    </row>
    <row r="149" spans="1:4" x14ac:dyDescent="0.3">
      <c r="A149" s="18" t="s">
        <v>1302</v>
      </c>
      <c r="B149" s="42">
        <v>1</v>
      </c>
      <c r="C149" s="40">
        <v>374</v>
      </c>
      <c r="D149" s="40">
        <v>18500000</v>
      </c>
    </row>
    <row r="150" spans="1:4" x14ac:dyDescent="0.3">
      <c r="A150" s="43" t="s">
        <v>1302</v>
      </c>
      <c r="B150" s="43">
        <v>1</v>
      </c>
      <c r="C150" s="40">
        <v>87864</v>
      </c>
      <c r="D150" s="40">
        <v>15300000</v>
      </c>
    </row>
    <row r="151" spans="1:4" x14ac:dyDescent="0.3">
      <c r="A151" s="18" t="s">
        <v>1302</v>
      </c>
      <c r="B151" s="42">
        <v>1</v>
      </c>
      <c r="C151" s="40">
        <v>1727</v>
      </c>
      <c r="D151" s="40">
        <v>12800000</v>
      </c>
    </row>
    <row r="152" spans="1:4" x14ac:dyDescent="0.3">
      <c r="A152" s="43" t="s">
        <v>1302</v>
      </c>
      <c r="B152" s="43">
        <v>1</v>
      </c>
      <c r="C152" s="40">
        <v>3713</v>
      </c>
      <c r="D152" s="40">
        <v>20200000</v>
      </c>
    </row>
    <row r="153" spans="1:4" x14ac:dyDescent="0.3">
      <c r="A153" s="18" t="s">
        <v>1302</v>
      </c>
      <c r="B153" s="42">
        <v>1</v>
      </c>
      <c r="C153" s="40">
        <v>1189</v>
      </c>
      <c r="D153" s="40">
        <v>22600000</v>
      </c>
    </row>
    <row r="154" spans="1:4" x14ac:dyDescent="0.3">
      <c r="A154" s="43" t="s">
        <v>1302</v>
      </c>
      <c r="B154" s="43">
        <v>1</v>
      </c>
      <c r="C154" s="40">
        <v>66362</v>
      </c>
      <c r="D154" s="40">
        <v>14900000</v>
      </c>
    </row>
    <row r="155" spans="1:4" x14ac:dyDescent="0.3">
      <c r="A155" s="18" t="s">
        <v>1302</v>
      </c>
      <c r="B155" s="42">
        <v>1</v>
      </c>
      <c r="C155" s="40">
        <v>33229</v>
      </c>
      <c r="D155" s="40">
        <v>20500000</v>
      </c>
    </row>
    <row r="156" spans="1:4" x14ac:dyDescent="0.3">
      <c r="A156" s="43" t="s">
        <v>1302</v>
      </c>
      <c r="B156" s="43">
        <v>1</v>
      </c>
      <c r="C156" s="40">
        <v>929</v>
      </c>
      <c r="D156" s="40">
        <v>31700000</v>
      </c>
    </row>
    <row r="157" spans="1:4" x14ac:dyDescent="0.3">
      <c r="A157" s="18" t="s">
        <v>1302</v>
      </c>
      <c r="B157" s="42">
        <v>1</v>
      </c>
      <c r="C157" s="40">
        <v>223</v>
      </c>
      <c r="D157" s="40">
        <v>12500000</v>
      </c>
    </row>
    <row r="158" spans="1:4" x14ac:dyDescent="0.3">
      <c r="A158" s="43" t="s">
        <v>1302</v>
      </c>
      <c r="B158" s="43">
        <v>1</v>
      </c>
      <c r="C158" s="40">
        <v>150</v>
      </c>
      <c r="D158" s="40">
        <v>15700000</v>
      </c>
    </row>
    <row r="159" spans="1:4" x14ac:dyDescent="0.3">
      <c r="A159" s="18" t="s">
        <v>1302</v>
      </c>
      <c r="B159" s="42">
        <v>1</v>
      </c>
      <c r="C159" s="40">
        <v>1195</v>
      </c>
      <c r="D159" s="40">
        <v>13400000</v>
      </c>
    </row>
    <row r="160" spans="1:4" x14ac:dyDescent="0.3">
      <c r="A160" s="43" t="s">
        <v>1302</v>
      </c>
      <c r="B160" s="43">
        <v>1</v>
      </c>
      <c r="C160" s="40">
        <v>340</v>
      </c>
      <c r="D160" s="40">
        <v>13700000</v>
      </c>
    </row>
    <row r="161" spans="1:4" x14ac:dyDescent="0.3">
      <c r="A161" s="43" t="s">
        <v>1302</v>
      </c>
      <c r="B161" s="43">
        <v>1</v>
      </c>
      <c r="C161" s="40">
        <v>1521</v>
      </c>
      <c r="D161" s="40">
        <v>32700000</v>
      </c>
    </row>
    <row r="162" spans="1:4" x14ac:dyDescent="0.3">
      <c r="A162" s="18" t="s">
        <v>1302</v>
      </c>
      <c r="B162" s="42">
        <v>1</v>
      </c>
      <c r="C162" s="40">
        <v>786</v>
      </c>
      <c r="D162" s="40">
        <v>18300000</v>
      </c>
    </row>
    <row r="163" spans="1:4" x14ac:dyDescent="0.3">
      <c r="A163" s="43" t="s">
        <v>1302</v>
      </c>
      <c r="B163" s="43">
        <v>1</v>
      </c>
      <c r="C163" s="40">
        <v>20679</v>
      </c>
      <c r="D163" s="40">
        <v>15800000</v>
      </c>
    </row>
    <row r="164" spans="1:4" x14ac:dyDescent="0.3">
      <c r="A164" s="43" t="s">
        <v>1302</v>
      </c>
      <c r="B164" s="43">
        <v>1</v>
      </c>
      <c r="C164" s="40">
        <v>151136</v>
      </c>
      <c r="D164" s="40">
        <v>12500000</v>
      </c>
    </row>
    <row r="165" spans="1:4" x14ac:dyDescent="0.3">
      <c r="A165" s="18" t="s">
        <v>1302</v>
      </c>
      <c r="B165" s="42">
        <v>1</v>
      </c>
      <c r="C165" s="40">
        <v>91704</v>
      </c>
      <c r="D165" s="40">
        <v>15200000</v>
      </c>
    </row>
    <row r="166" spans="1:4" x14ac:dyDescent="0.3">
      <c r="A166" s="43" t="s">
        <v>1302</v>
      </c>
      <c r="B166" s="43">
        <v>1</v>
      </c>
      <c r="C166" s="40">
        <v>149</v>
      </c>
      <c r="D166" s="40">
        <v>14100000</v>
      </c>
    </row>
    <row r="167" spans="1:4" x14ac:dyDescent="0.3">
      <c r="A167" s="18" t="s">
        <v>1302</v>
      </c>
      <c r="B167" s="42">
        <v>1</v>
      </c>
      <c r="C167" s="40">
        <v>182742</v>
      </c>
      <c r="D167" s="40">
        <v>17500000</v>
      </c>
    </row>
    <row r="168" spans="1:4" x14ac:dyDescent="0.3">
      <c r="A168" s="18" t="s">
        <v>1302</v>
      </c>
      <c r="B168" s="42">
        <v>1</v>
      </c>
      <c r="C168" s="40">
        <v>443</v>
      </c>
      <c r="D168" s="40">
        <v>15200000</v>
      </c>
    </row>
    <row r="169" spans="1:4" x14ac:dyDescent="0.3">
      <c r="A169" s="43" t="s">
        <v>1302</v>
      </c>
      <c r="B169" s="43">
        <v>1</v>
      </c>
      <c r="C169" s="40">
        <v>2158</v>
      </c>
      <c r="D169" s="40">
        <v>13700000</v>
      </c>
    </row>
    <row r="170" spans="1:4" x14ac:dyDescent="0.3">
      <c r="A170" s="18" t="s">
        <v>1302</v>
      </c>
      <c r="B170" s="42">
        <v>1</v>
      </c>
      <c r="C170" s="40">
        <v>112261</v>
      </c>
      <c r="D170" s="40">
        <v>16600000</v>
      </c>
    </row>
    <row r="171" spans="1:4" x14ac:dyDescent="0.3">
      <c r="A171" s="43" t="s">
        <v>1302</v>
      </c>
      <c r="B171" s="43">
        <v>1</v>
      </c>
      <c r="C171" s="40">
        <v>560</v>
      </c>
      <c r="D171" s="40">
        <v>14600000</v>
      </c>
    </row>
    <row r="172" spans="1:4" x14ac:dyDescent="0.3">
      <c r="A172" s="18" t="s">
        <v>1302</v>
      </c>
      <c r="B172" s="42">
        <v>1</v>
      </c>
      <c r="C172" s="40">
        <v>693</v>
      </c>
      <c r="D172" s="40">
        <v>20200000</v>
      </c>
    </row>
    <row r="173" spans="1:4" x14ac:dyDescent="0.3">
      <c r="A173" s="18" t="s">
        <v>1302</v>
      </c>
      <c r="B173" s="42">
        <v>1</v>
      </c>
      <c r="C173" s="40">
        <v>131</v>
      </c>
      <c r="D173" s="40">
        <v>18100000</v>
      </c>
    </row>
    <row r="174" spans="1:4" x14ac:dyDescent="0.3">
      <c r="A174" s="43" t="s">
        <v>1302</v>
      </c>
      <c r="B174" s="43">
        <v>1</v>
      </c>
      <c r="C174" s="40">
        <v>459</v>
      </c>
      <c r="D174" s="40">
        <v>12400000</v>
      </c>
    </row>
    <row r="175" spans="1:4" x14ac:dyDescent="0.3">
      <c r="A175" s="18" t="s">
        <v>1302</v>
      </c>
      <c r="B175" s="42">
        <v>1</v>
      </c>
      <c r="C175" s="40">
        <v>1667</v>
      </c>
      <c r="D175" s="40">
        <v>24300000</v>
      </c>
    </row>
    <row r="176" spans="1:4" x14ac:dyDescent="0.3">
      <c r="A176" s="43" t="s">
        <v>1302</v>
      </c>
      <c r="B176" s="43">
        <v>1</v>
      </c>
      <c r="C176" s="40">
        <v>4716</v>
      </c>
      <c r="D176" s="40">
        <v>111000000</v>
      </c>
    </row>
    <row r="177" spans="1:4" x14ac:dyDescent="0.3">
      <c r="A177" s="18" t="s">
        <v>1302</v>
      </c>
      <c r="B177" s="42">
        <v>1</v>
      </c>
      <c r="C177" s="40">
        <v>194</v>
      </c>
      <c r="D177" s="40">
        <v>15200000</v>
      </c>
    </row>
    <row r="178" spans="1:4" x14ac:dyDescent="0.3">
      <c r="A178" s="18" t="s">
        <v>1302</v>
      </c>
      <c r="B178" s="42">
        <v>1</v>
      </c>
      <c r="C178" s="40">
        <v>2235</v>
      </c>
      <c r="D178" s="40">
        <v>16900000</v>
      </c>
    </row>
    <row r="179" spans="1:4" x14ac:dyDescent="0.3">
      <c r="A179" s="43" t="s">
        <v>1302</v>
      </c>
      <c r="B179" s="43">
        <v>1</v>
      </c>
      <c r="C179" s="40">
        <v>3943</v>
      </c>
      <c r="D179" s="40">
        <v>16200000</v>
      </c>
    </row>
    <row r="180" spans="1:4" x14ac:dyDescent="0.3">
      <c r="A180" s="43" t="s">
        <v>1302</v>
      </c>
      <c r="B180" s="43">
        <v>1</v>
      </c>
      <c r="C180" s="40">
        <v>1407</v>
      </c>
      <c r="D180" s="40">
        <v>17000000</v>
      </c>
    </row>
    <row r="181" spans="1:4" x14ac:dyDescent="0.3">
      <c r="A181" s="18" t="s">
        <v>1302</v>
      </c>
      <c r="B181" s="42">
        <v>1</v>
      </c>
      <c r="C181" s="40">
        <v>772</v>
      </c>
      <c r="D181" s="40">
        <v>17800000</v>
      </c>
    </row>
    <row r="182" spans="1:4" x14ac:dyDescent="0.3">
      <c r="A182" s="43" t="s">
        <v>1302</v>
      </c>
      <c r="B182" s="43">
        <v>1</v>
      </c>
      <c r="C182" s="40">
        <v>10022</v>
      </c>
      <c r="D182" s="40">
        <v>26500000</v>
      </c>
    </row>
    <row r="183" spans="1:4" x14ac:dyDescent="0.3">
      <c r="A183" s="43" t="s">
        <v>1302</v>
      </c>
      <c r="B183" s="43">
        <v>1</v>
      </c>
      <c r="C183" s="40">
        <v>3741</v>
      </c>
      <c r="D183" s="40">
        <v>33500000</v>
      </c>
    </row>
    <row r="184" spans="1:4" x14ac:dyDescent="0.3">
      <c r="A184" s="43" t="s">
        <v>1302</v>
      </c>
      <c r="B184" s="43">
        <v>1</v>
      </c>
      <c r="C184" s="40">
        <v>3716</v>
      </c>
      <c r="D184" s="40">
        <v>25400000</v>
      </c>
    </row>
    <row r="185" spans="1:4" x14ac:dyDescent="0.3">
      <c r="A185" s="18" t="s">
        <v>1302</v>
      </c>
      <c r="B185" s="42">
        <v>1</v>
      </c>
      <c r="C185" s="40">
        <v>533</v>
      </c>
      <c r="D185" s="40">
        <v>15100000</v>
      </c>
    </row>
    <row r="186" spans="1:4" x14ac:dyDescent="0.3">
      <c r="A186" s="43" t="s">
        <v>1302</v>
      </c>
      <c r="B186" s="43">
        <v>1</v>
      </c>
      <c r="C186" s="40">
        <v>2736</v>
      </c>
      <c r="D186" s="40">
        <v>33300000</v>
      </c>
    </row>
    <row r="187" spans="1:4" x14ac:dyDescent="0.3">
      <c r="A187" s="18" t="s">
        <v>1302</v>
      </c>
      <c r="B187" s="42">
        <v>1</v>
      </c>
      <c r="C187" s="40">
        <v>2044</v>
      </c>
      <c r="D187" s="40">
        <v>12800000</v>
      </c>
    </row>
    <row r="188" spans="1:4" x14ac:dyDescent="0.3">
      <c r="A188" s="43" t="s">
        <v>1302</v>
      </c>
      <c r="B188" s="43">
        <v>1</v>
      </c>
      <c r="C188" s="40">
        <v>847</v>
      </c>
      <c r="D188" s="40">
        <v>19500000</v>
      </c>
    </row>
    <row r="189" spans="1:4" x14ac:dyDescent="0.3">
      <c r="A189" s="18" t="s">
        <v>1302</v>
      </c>
      <c r="B189" s="42">
        <v>1</v>
      </c>
      <c r="C189" s="40">
        <v>67</v>
      </c>
      <c r="D189" s="40">
        <v>30700000</v>
      </c>
    </row>
    <row r="190" spans="1:4" x14ac:dyDescent="0.3">
      <c r="A190" s="18" t="s">
        <v>1302</v>
      </c>
      <c r="B190" s="42">
        <v>1</v>
      </c>
      <c r="C190" s="40">
        <v>5628</v>
      </c>
      <c r="D190" s="40">
        <v>14400000</v>
      </c>
    </row>
    <row r="191" spans="1:4" x14ac:dyDescent="0.3">
      <c r="A191" s="18" t="s">
        <v>1302</v>
      </c>
      <c r="B191" s="42">
        <v>1</v>
      </c>
      <c r="C191" s="40">
        <v>3159</v>
      </c>
      <c r="D191" s="40">
        <v>18400000</v>
      </c>
    </row>
    <row r="192" spans="1:4" x14ac:dyDescent="0.3">
      <c r="A192" s="43" t="s">
        <v>1302</v>
      </c>
      <c r="B192" s="43">
        <v>1</v>
      </c>
      <c r="C192" s="40">
        <v>409</v>
      </c>
      <c r="D192" s="40">
        <v>12400000</v>
      </c>
    </row>
    <row r="193" spans="1:4" x14ac:dyDescent="0.3">
      <c r="A193" s="18" t="s">
        <v>1302</v>
      </c>
      <c r="B193" s="42">
        <v>1</v>
      </c>
      <c r="C193" s="40">
        <v>6274</v>
      </c>
      <c r="D193" s="40">
        <v>22000000</v>
      </c>
    </row>
    <row r="194" spans="1:4" x14ac:dyDescent="0.3">
      <c r="A194" s="43" t="s">
        <v>1302</v>
      </c>
      <c r="B194" s="43">
        <v>1</v>
      </c>
      <c r="C194" s="40">
        <v>0</v>
      </c>
      <c r="D194" s="40">
        <v>27800000</v>
      </c>
    </row>
    <row r="195" spans="1:4" x14ac:dyDescent="0.3">
      <c r="A195" s="18" t="s">
        <v>1302</v>
      </c>
      <c r="B195" s="42">
        <v>1</v>
      </c>
      <c r="C195" s="40">
        <v>1793</v>
      </c>
      <c r="D195" s="40">
        <v>13500000</v>
      </c>
    </row>
    <row r="196" spans="1:4" x14ac:dyDescent="0.3">
      <c r="A196" s="43" t="s">
        <v>1302</v>
      </c>
      <c r="B196" s="43">
        <v>1</v>
      </c>
      <c r="C196" s="40">
        <v>7566</v>
      </c>
      <c r="D196" s="40">
        <v>35500000</v>
      </c>
    </row>
    <row r="197" spans="1:4" x14ac:dyDescent="0.3">
      <c r="A197" s="43" t="s">
        <v>1302</v>
      </c>
      <c r="B197" s="43">
        <v>1</v>
      </c>
      <c r="C197" s="40">
        <v>116536</v>
      </c>
      <c r="D197" s="40">
        <v>159000000</v>
      </c>
    </row>
    <row r="198" spans="1:4" x14ac:dyDescent="0.3">
      <c r="A198" s="18" t="s">
        <v>1302</v>
      </c>
      <c r="B198" s="42">
        <v>1</v>
      </c>
      <c r="C198" s="40">
        <v>872</v>
      </c>
      <c r="D198" s="40">
        <v>14200000</v>
      </c>
    </row>
    <row r="199" spans="1:4" x14ac:dyDescent="0.3">
      <c r="A199" s="43" t="s">
        <v>1302</v>
      </c>
      <c r="B199" s="43">
        <v>1</v>
      </c>
      <c r="C199" s="40">
        <v>11451</v>
      </c>
      <c r="D199" s="40">
        <v>47400000</v>
      </c>
    </row>
    <row r="200" spans="1:4" x14ac:dyDescent="0.3">
      <c r="A200" s="18" t="s">
        <v>1302</v>
      </c>
      <c r="B200" s="42">
        <v>1</v>
      </c>
      <c r="C200" s="40">
        <v>4487</v>
      </c>
      <c r="D200" s="40">
        <v>18600000</v>
      </c>
    </row>
    <row r="201" spans="1:4" x14ac:dyDescent="0.3">
      <c r="A201" s="43" t="s">
        <v>1302</v>
      </c>
      <c r="B201" s="43">
        <v>1</v>
      </c>
      <c r="C201" s="40">
        <v>8502</v>
      </c>
      <c r="D201" s="40">
        <v>65600000</v>
      </c>
    </row>
    <row r="202" spans="1:4" x14ac:dyDescent="0.3">
      <c r="A202" s="43" t="s">
        <v>1302</v>
      </c>
      <c r="B202" s="43">
        <v>1</v>
      </c>
      <c r="C202" s="40">
        <v>3009</v>
      </c>
      <c r="D202" s="40">
        <v>28200000</v>
      </c>
    </row>
    <row r="203" spans="1:4" x14ac:dyDescent="0.3">
      <c r="A203" s="18" t="s">
        <v>1302</v>
      </c>
      <c r="B203" s="42">
        <v>1</v>
      </c>
      <c r="C203" s="40">
        <v>469</v>
      </c>
      <c r="D203" s="40">
        <v>24200000</v>
      </c>
    </row>
    <row r="204" spans="1:4" x14ac:dyDescent="0.3">
      <c r="A204" s="43" t="s">
        <v>1302</v>
      </c>
      <c r="B204" s="43">
        <v>1</v>
      </c>
      <c r="C204" s="40">
        <v>1596</v>
      </c>
      <c r="D204" s="40">
        <v>39700000</v>
      </c>
    </row>
    <row r="205" spans="1:4" x14ac:dyDescent="0.3">
      <c r="A205" s="18" t="s">
        <v>1302</v>
      </c>
      <c r="B205" s="42">
        <v>1</v>
      </c>
      <c r="C205" s="40">
        <v>114</v>
      </c>
      <c r="D205" s="40">
        <v>21400000</v>
      </c>
    </row>
    <row r="206" spans="1:4" x14ac:dyDescent="0.3">
      <c r="A206" s="43" t="s">
        <v>1302</v>
      </c>
      <c r="B206" s="43">
        <v>1</v>
      </c>
      <c r="C206" s="40">
        <v>8285</v>
      </c>
      <c r="D206" s="40">
        <v>19200000</v>
      </c>
    </row>
    <row r="207" spans="1:4" x14ac:dyDescent="0.3">
      <c r="A207" s="18" t="s">
        <v>1302</v>
      </c>
      <c r="B207" s="42">
        <v>1</v>
      </c>
      <c r="C207" s="40">
        <v>8019</v>
      </c>
      <c r="D207" s="40">
        <v>13200000</v>
      </c>
    </row>
    <row r="208" spans="1:4" x14ac:dyDescent="0.3">
      <c r="A208" s="43" t="s">
        <v>1302</v>
      </c>
      <c r="B208" s="43">
        <v>1</v>
      </c>
      <c r="C208" s="40">
        <v>11099</v>
      </c>
      <c r="D208" s="40">
        <v>15200000</v>
      </c>
    </row>
    <row r="209" spans="1:4" x14ac:dyDescent="0.3">
      <c r="A209" s="18" t="s">
        <v>1302</v>
      </c>
      <c r="B209" s="42">
        <v>1</v>
      </c>
      <c r="C209" s="40">
        <v>3882</v>
      </c>
      <c r="D209" s="40">
        <v>57200000</v>
      </c>
    </row>
    <row r="210" spans="1:4" x14ac:dyDescent="0.3">
      <c r="A210" s="43" t="s">
        <v>1302</v>
      </c>
      <c r="B210" s="43">
        <v>1</v>
      </c>
      <c r="C210" s="40">
        <v>2726</v>
      </c>
      <c r="D210" s="40">
        <v>15000000</v>
      </c>
    </row>
    <row r="211" spans="1:4" x14ac:dyDescent="0.3">
      <c r="A211" s="43" t="s">
        <v>1302</v>
      </c>
      <c r="B211" s="43">
        <v>1</v>
      </c>
      <c r="C211" s="40">
        <v>24089</v>
      </c>
      <c r="D211" s="40">
        <v>38200000</v>
      </c>
    </row>
    <row r="212" spans="1:4" x14ac:dyDescent="0.3">
      <c r="A212" s="43" t="s">
        <v>1302</v>
      </c>
      <c r="B212" s="43">
        <v>1</v>
      </c>
      <c r="C212" s="40">
        <v>71270</v>
      </c>
      <c r="D212" s="40">
        <v>83000000</v>
      </c>
    </row>
    <row r="213" spans="1:4" x14ac:dyDescent="0.3">
      <c r="A213" s="18" t="s">
        <v>1302</v>
      </c>
      <c r="B213" s="42">
        <v>1</v>
      </c>
      <c r="C213" s="40">
        <v>10938</v>
      </c>
      <c r="D213" s="40">
        <v>42500000</v>
      </c>
    </row>
    <row r="214" spans="1:4" x14ac:dyDescent="0.3">
      <c r="A214" s="43" t="s">
        <v>1302</v>
      </c>
      <c r="B214" s="43">
        <v>1</v>
      </c>
      <c r="C214" s="40">
        <v>20102</v>
      </c>
      <c r="D214" s="40">
        <v>16600000</v>
      </c>
    </row>
    <row r="215" spans="1:4" x14ac:dyDescent="0.3">
      <c r="A215" s="18" t="s">
        <v>1302</v>
      </c>
      <c r="B215" s="42">
        <v>1</v>
      </c>
      <c r="C215" s="40">
        <v>8</v>
      </c>
      <c r="D215" s="40">
        <v>13000000</v>
      </c>
    </row>
    <row r="216" spans="1:4" x14ac:dyDescent="0.3">
      <c r="A216" s="43" t="s">
        <v>1302</v>
      </c>
      <c r="B216" s="43">
        <v>1</v>
      </c>
      <c r="C216" s="40">
        <v>5056</v>
      </c>
      <c r="D216" s="40">
        <v>15200000</v>
      </c>
    </row>
    <row r="217" spans="1:4" x14ac:dyDescent="0.3">
      <c r="A217" s="43" t="s">
        <v>1302</v>
      </c>
      <c r="B217" s="43">
        <v>1</v>
      </c>
      <c r="C217" s="40">
        <v>44892</v>
      </c>
      <c r="D217" s="40">
        <v>32000000</v>
      </c>
    </row>
    <row r="218" spans="1:4" x14ac:dyDescent="0.3">
      <c r="A218" s="18" t="s">
        <v>1302</v>
      </c>
      <c r="B218" s="42">
        <v>1</v>
      </c>
      <c r="C218" s="40">
        <v>287</v>
      </c>
      <c r="D218" s="40">
        <v>17300000</v>
      </c>
    </row>
    <row r="219" spans="1:4" x14ac:dyDescent="0.3">
      <c r="A219" s="43" t="s">
        <v>1302</v>
      </c>
      <c r="B219" s="43">
        <v>1</v>
      </c>
      <c r="C219" s="40">
        <v>43564</v>
      </c>
      <c r="D219" s="40">
        <v>14700000</v>
      </c>
    </row>
    <row r="220" spans="1:4" x14ac:dyDescent="0.3">
      <c r="A220" s="43" t="s">
        <v>1302</v>
      </c>
      <c r="B220" s="43">
        <v>1</v>
      </c>
      <c r="C220" s="40">
        <v>60964</v>
      </c>
      <c r="D220" s="40">
        <v>22600000</v>
      </c>
    </row>
    <row r="221" spans="1:4" x14ac:dyDescent="0.3">
      <c r="A221" s="18" t="s">
        <v>1302</v>
      </c>
      <c r="B221" s="42">
        <v>1</v>
      </c>
      <c r="C221" s="40">
        <v>855</v>
      </c>
      <c r="D221" s="40">
        <v>14100000</v>
      </c>
    </row>
    <row r="222" spans="1:4" x14ac:dyDescent="0.3">
      <c r="A222" s="43" t="s">
        <v>1302</v>
      </c>
      <c r="B222" s="43">
        <v>1</v>
      </c>
      <c r="C222" s="40">
        <v>13</v>
      </c>
      <c r="D222" s="40">
        <v>61000000</v>
      </c>
    </row>
    <row r="223" spans="1:4" x14ac:dyDescent="0.3">
      <c r="A223" s="18" t="s">
        <v>1302</v>
      </c>
      <c r="B223" s="42">
        <v>1</v>
      </c>
      <c r="C223" s="40">
        <v>4778</v>
      </c>
      <c r="D223" s="40">
        <v>17300000</v>
      </c>
    </row>
    <row r="224" spans="1:4" x14ac:dyDescent="0.3">
      <c r="A224" s="43" t="s">
        <v>1302</v>
      </c>
      <c r="B224" s="43">
        <v>1</v>
      </c>
      <c r="C224" s="40">
        <v>739</v>
      </c>
      <c r="D224" s="40">
        <v>17700000</v>
      </c>
    </row>
    <row r="225" spans="1:4" x14ac:dyDescent="0.3">
      <c r="A225" s="18" t="s">
        <v>1302</v>
      </c>
      <c r="B225" s="42">
        <v>1</v>
      </c>
      <c r="C225" s="40">
        <v>19703</v>
      </c>
      <c r="D225" s="40">
        <v>15700000</v>
      </c>
    </row>
    <row r="226" spans="1:4" x14ac:dyDescent="0.3">
      <c r="A226" s="43" t="s">
        <v>1302</v>
      </c>
      <c r="B226" s="43">
        <v>1</v>
      </c>
      <c r="C226" s="40">
        <v>5041</v>
      </c>
      <c r="D226" s="40">
        <v>23000000</v>
      </c>
    </row>
    <row r="227" spans="1:4" x14ac:dyDescent="0.3">
      <c r="A227" s="43" t="s">
        <v>1302</v>
      </c>
      <c r="B227" s="43">
        <v>1</v>
      </c>
      <c r="C227" s="40">
        <v>1022</v>
      </c>
      <c r="D227" s="40">
        <v>13200000</v>
      </c>
    </row>
    <row r="228" spans="1:4" x14ac:dyDescent="0.3">
      <c r="A228" s="43" t="s">
        <v>1302</v>
      </c>
      <c r="B228" s="43">
        <v>1</v>
      </c>
      <c r="C228" s="40">
        <v>244899</v>
      </c>
      <c r="D228" s="40">
        <v>16200000</v>
      </c>
    </row>
    <row r="229" spans="1:4" x14ac:dyDescent="0.3">
      <c r="A229" s="18" t="s">
        <v>1302</v>
      </c>
      <c r="B229" s="42">
        <v>1</v>
      </c>
      <c r="C229" s="40">
        <v>965</v>
      </c>
      <c r="D229" s="40">
        <v>15000000</v>
      </c>
    </row>
    <row r="230" spans="1:4" x14ac:dyDescent="0.3">
      <c r="A230" s="18" t="s">
        <v>1302</v>
      </c>
      <c r="B230" s="42">
        <v>1</v>
      </c>
      <c r="C230" s="40">
        <v>51129</v>
      </c>
      <c r="D230" s="40">
        <v>25200000</v>
      </c>
    </row>
    <row r="231" spans="1:4" x14ac:dyDescent="0.3">
      <c r="A231" s="43" t="s">
        <v>1302</v>
      </c>
      <c r="B231" s="43">
        <v>1</v>
      </c>
      <c r="C231" s="40">
        <v>106</v>
      </c>
      <c r="D231" s="40">
        <v>15200000</v>
      </c>
    </row>
    <row r="232" spans="1:4" x14ac:dyDescent="0.3">
      <c r="A232" s="43" t="s">
        <v>1302</v>
      </c>
      <c r="B232" s="43">
        <v>1</v>
      </c>
      <c r="C232" s="40">
        <v>2337</v>
      </c>
      <c r="D232" s="40">
        <v>12900000</v>
      </c>
    </row>
    <row r="233" spans="1:4" x14ac:dyDescent="0.3">
      <c r="A233" s="43" t="s">
        <v>1302</v>
      </c>
      <c r="B233" s="43">
        <v>1</v>
      </c>
      <c r="C233" s="40">
        <v>1040</v>
      </c>
      <c r="D233" s="40">
        <v>13700000</v>
      </c>
    </row>
    <row r="234" spans="1:4" x14ac:dyDescent="0.3">
      <c r="A234" s="18" t="s">
        <v>1302</v>
      </c>
      <c r="B234" s="42">
        <v>1</v>
      </c>
      <c r="C234" s="40">
        <v>1028</v>
      </c>
      <c r="D234" s="40">
        <v>13400000</v>
      </c>
    </row>
    <row r="235" spans="1:4" x14ac:dyDescent="0.3">
      <c r="A235" s="43" t="s">
        <v>1302</v>
      </c>
      <c r="B235" s="43">
        <v>1</v>
      </c>
      <c r="C235" s="40">
        <v>498</v>
      </c>
      <c r="D235" s="40">
        <v>17100000</v>
      </c>
    </row>
    <row r="236" spans="1:4" x14ac:dyDescent="0.3">
      <c r="A236" s="18" t="s">
        <v>1302</v>
      </c>
      <c r="B236" s="42">
        <v>1</v>
      </c>
      <c r="C236" s="40">
        <v>4978</v>
      </c>
      <c r="D236" s="40">
        <v>13800000</v>
      </c>
    </row>
    <row r="237" spans="1:4" x14ac:dyDescent="0.3">
      <c r="A237" s="43" t="s">
        <v>1302</v>
      </c>
      <c r="B237" s="43">
        <v>1</v>
      </c>
      <c r="C237" s="40">
        <v>6672</v>
      </c>
      <c r="D237" s="40">
        <v>23400000</v>
      </c>
    </row>
    <row r="238" spans="1:4" x14ac:dyDescent="0.3">
      <c r="A238" s="43" t="s">
        <v>1302</v>
      </c>
      <c r="B238" s="43">
        <v>1</v>
      </c>
      <c r="C238" s="40">
        <v>4741</v>
      </c>
      <c r="D238" s="40">
        <v>59300000</v>
      </c>
    </row>
    <row r="239" spans="1:4" x14ac:dyDescent="0.3">
      <c r="A239" s="18" t="s">
        <v>1302</v>
      </c>
      <c r="B239" s="42">
        <v>1</v>
      </c>
      <c r="C239" s="40">
        <v>1159</v>
      </c>
      <c r="D239" s="40">
        <v>22900000</v>
      </c>
    </row>
    <row r="240" spans="1:4" x14ac:dyDescent="0.3">
      <c r="A240" s="18" t="s">
        <v>1302</v>
      </c>
      <c r="B240" s="42">
        <v>1</v>
      </c>
      <c r="C240" s="40">
        <v>3640</v>
      </c>
      <c r="D240" s="40">
        <v>13300000</v>
      </c>
    </row>
    <row r="241" spans="1:4" x14ac:dyDescent="0.3">
      <c r="A241" s="43" t="s">
        <v>1302</v>
      </c>
      <c r="B241" s="43">
        <v>1</v>
      </c>
      <c r="C241" s="40">
        <v>148225</v>
      </c>
      <c r="D241" s="40">
        <v>17100000</v>
      </c>
    </row>
    <row r="242" spans="1:4" x14ac:dyDescent="0.3">
      <c r="A242" s="18" t="s">
        <v>1302</v>
      </c>
      <c r="B242" s="42">
        <v>1</v>
      </c>
      <c r="C242" s="40">
        <v>89179</v>
      </c>
      <c r="D242" s="40">
        <v>25000000</v>
      </c>
    </row>
    <row r="243" spans="1:4" x14ac:dyDescent="0.3">
      <c r="A243" s="43" t="s">
        <v>1302</v>
      </c>
      <c r="B243" s="43">
        <v>1</v>
      </c>
      <c r="C243" s="40">
        <v>304</v>
      </c>
      <c r="D243" s="40">
        <v>18800000</v>
      </c>
    </row>
    <row r="244" spans="1:4" x14ac:dyDescent="0.3">
      <c r="A244" s="18" t="s">
        <v>1302</v>
      </c>
      <c r="B244" s="42">
        <v>1</v>
      </c>
      <c r="C244" s="40">
        <v>20082</v>
      </c>
      <c r="D244" s="40">
        <v>245000000</v>
      </c>
    </row>
    <row r="245" spans="1:4" x14ac:dyDescent="0.3">
      <c r="A245" s="18" t="s">
        <v>1302</v>
      </c>
      <c r="B245" s="42">
        <v>1</v>
      </c>
      <c r="C245" s="40">
        <v>2010</v>
      </c>
      <c r="D245" s="40">
        <v>35400000</v>
      </c>
    </row>
    <row r="246" spans="1:4" x14ac:dyDescent="0.3">
      <c r="A246" s="43" t="s">
        <v>1302</v>
      </c>
      <c r="B246" s="43">
        <v>1</v>
      </c>
      <c r="C246" s="40">
        <v>9862</v>
      </c>
      <c r="D246" s="40">
        <v>15200000</v>
      </c>
    </row>
    <row r="247" spans="1:4" x14ac:dyDescent="0.3">
      <c r="A247" s="18" t="s">
        <v>1302</v>
      </c>
      <c r="B247" s="42">
        <v>1</v>
      </c>
      <c r="C247" s="40">
        <v>15075</v>
      </c>
      <c r="D247" s="40">
        <v>13900000</v>
      </c>
    </row>
    <row r="248" spans="1:4" x14ac:dyDescent="0.3">
      <c r="A248" s="18" t="s">
        <v>1302</v>
      </c>
      <c r="B248" s="42">
        <v>1</v>
      </c>
      <c r="C248" s="40">
        <v>889</v>
      </c>
      <c r="D248" s="40">
        <v>20700000</v>
      </c>
    </row>
    <row r="249" spans="1:4" x14ac:dyDescent="0.3">
      <c r="A249" s="43" t="s">
        <v>1302</v>
      </c>
      <c r="B249" s="43">
        <v>1</v>
      </c>
      <c r="C249" s="40">
        <v>293516</v>
      </c>
      <c r="D249" s="40">
        <v>14500000</v>
      </c>
    </row>
    <row r="250" spans="1:4" x14ac:dyDescent="0.3">
      <c r="A250" s="18" t="s">
        <v>1302</v>
      </c>
      <c r="B250" s="42">
        <v>1</v>
      </c>
      <c r="C250" s="40">
        <v>9168</v>
      </c>
      <c r="D250" s="40">
        <v>36600000</v>
      </c>
    </row>
    <row r="251" spans="1:4" x14ac:dyDescent="0.3">
      <c r="A251" s="43" t="s">
        <v>1302</v>
      </c>
      <c r="B251" s="43">
        <v>1</v>
      </c>
      <c r="C251" s="40">
        <v>1670</v>
      </c>
      <c r="D251" s="40">
        <v>22900000</v>
      </c>
    </row>
    <row r="252" spans="1:4" x14ac:dyDescent="0.3">
      <c r="A252" s="43" t="s">
        <v>1302</v>
      </c>
      <c r="B252" s="43">
        <v>1</v>
      </c>
      <c r="C252" s="40">
        <v>456</v>
      </c>
      <c r="D252" s="40">
        <v>23100000</v>
      </c>
    </row>
    <row r="253" spans="1:4" x14ac:dyDescent="0.3">
      <c r="A253" s="43" t="s">
        <v>1302</v>
      </c>
      <c r="B253" s="43">
        <v>1</v>
      </c>
      <c r="C253" s="40">
        <v>256</v>
      </c>
      <c r="D253" s="40">
        <v>13400000</v>
      </c>
    </row>
    <row r="254" spans="1:4" x14ac:dyDescent="0.3">
      <c r="A254" s="18" t="s">
        <v>1302</v>
      </c>
      <c r="B254" s="42">
        <v>1</v>
      </c>
      <c r="C254" s="40">
        <v>1357</v>
      </c>
      <c r="D254" s="40">
        <v>13500000</v>
      </c>
    </row>
    <row r="255" spans="1:4" x14ac:dyDescent="0.3">
      <c r="A255" s="43" t="s">
        <v>1302</v>
      </c>
      <c r="B255" s="43">
        <v>1</v>
      </c>
      <c r="C255" s="40">
        <v>51515</v>
      </c>
      <c r="D255" s="40">
        <v>20400000</v>
      </c>
    </row>
    <row r="256" spans="1:4" x14ac:dyDescent="0.3">
      <c r="A256" s="18" t="s">
        <v>1302</v>
      </c>
      <c r="B256" s="42">
        <v>1</v>
      </c>
      <c r="C256" s="40">
        <v>219</v>
      </c>
      <c r="D256" s="40">
        <v>21600000</v>
      </c>
    </row>
    <row r="257" spans="1:4" x14ac:dyDescent="0.3">
      <c r="A257" s="18" t="s">
        <v>1302</v>
      </c>
      <c r="B257" s="42">
        <v>1</v>
      </c>
      <c r="C257" s="40">
        <v>1324</v>
      </c>
      <c r="D257" s="40">
        <v>13200000</v>
      </c>
    </row>
    <row r="258" spans="1:4" x14ac:dyDescent="0.3">
      <c r="A258" s="43" t="s">
        <v>1302</v>
      </c>
      <c r="B258" s="43">
        <v>1</v>
      </c>
      <c r="C258" s="40">
        <v>16874</v>
      </c>
      <c r="D258" s="40">
        <v>15700000</v>
      </c>
    </row>
    <row r="259" spans="1:4" x14ac:dyDescent="0.3">
      <c r="A259" s="43" t="s">
        <v>1302</v>
      </c>
      <c r="B259" s="43">
        <v>1</v>
      </c>
      <c r="C259" s="40">
        <v>4660</v>
      </c>
      <c r="D259" s="40">
        <v>45500000</v>
      </c>
    </row>
    <row r="260" spans="1:4" x14ac:dyDescent="0.3">
      <c r="A260" s="18" t="s">
        <v>1302</v>
      </c>
      <c r="B260" s="43">
        <v>1</v>
      </c>
      <c r="C260" s="40">
        <v>19487</v>
      </c>
      <c r="D260" s="40">
        <v>58000000</v>
      </c>
    </row>
    <row r="261" spans="1:4" x14ac:dyDescent="0.3">
      <c r="A261" s="42" t="s">
        <v>1302</v>
      </c>
      <c r="B261" s="42">
        <v>1</v>
      </c>
      <c r="C261" s="40">
        <v>19899</v>
      </c>
      <c r="D261" s="40">
        <v>12500000</v>
      </c>
    </row>
    <row r="262" spans="1:4" x14ac:dyDescent="0.3">
      <c r="A262" s="18" t="s">
        <v>1302</v>
      </c>
      <c r="B262" s="43">
        <v>1</v>
      </c>
      <c r="C262" s="40">
        <v>22578</v>
      </c>
      <c r="D262" s="40">
        <v>23100000</v>
      </c>
    </row>
    <row r="263" spans="1:4" x14ac:dyDescent="0.3">
      <c r="A263" s="18" t="s">
        <v>1302</v>
      </c>
      <c r="B263" s="43">
        <v>1</v>
      </c>
      <c r="C263" s="40">
        <v>5718</v>
      </c>
      <c r="D263" s="40">
        <v>23000000</v>
      </c>
    </row>
    <row r="264" spans="1:4" x14ac:dyDescent="0.3">
      <c r="A264" s="42" t="s">
        <v>1302</v>
      </c>
      <c r="B264" s="42">
        <v>1</v>
      </c>
      <c r="C264" s="40">
        <v>52144</v>
      </c>
      <c r="D264" s="40">
        <v>16000000</v>
      </c>
    </row>
    <row r="265" spans="1:4" x14ac:dyDescent="0.3">
      <c r="A265" s="18" t="s">
        <v>1302</v>
      </c>
      <c r="B265" s="43">
        <v>1</v>
      </c>
      <c r="C265" s="40">
        <v>679</v>
      </c>
      <c r="D265" s="40">
        <v>18500000</v>
      </c>
    </row>
    <row r="266" spans="1:4" x14ac:dyDescent="0.3">
      <c r="A266" s="18" t="s">
        <v>1302</v>
      </c>
      <c r="B266" s="43">
        <v>1</v>
      </c>
      <c r="C266" s="40">
        <v>1823</v>
      </c>
      <c r="D266" s="40">
        <v>14200000</v>
      </c>
    </row>
    <row r="267" spans="1:4" x14ac:dyDescent="0.3">
      <c r="A267" s="18" t="s">
        <v>1302</v>
      </c>
      <c r="B267" s="43">
        <v>1</v>
      </c>
      <c r="C267" s="40">
        <v>22</v>
      </c>
      <c r="D267" s="40">
        <v>13000000</v>
      </c>
    </row>
    <row r="268" spans="1:4" x14ac:dyDescent="0.3">
      <c r="A268" s="42" t="s">
        <v>1302</v>
      </c>
      <c r="B268" s="42">
        <v>1</v>
      </c>
      <c r="C268" s="40">
        <v>72580</v>
      </c>
      <c r="D268" s="40">
        <v>39000000</v>
      </c>
    </row>
    <row r="269" spans="1:4" x14ac:dyDescent="0.3">
      <c r="A269" s="18" t="s">
        <v>1302</v>
      </c>
      <c r="B269" s="43">
        <v>1</v>
      </c>
      <c r="C269" s="40">
        <v>6518</v>
      </c>
      <c r="D269" s="40">
        <v>31700000</v>
      </c>
    </row>
    <row r="270" spans="1:4" x14ac:dyDescent="0.3">
      <c r="A270" s="42" t="s">
        <v>1302</v>
      </c>
      <c r="B270" s="42">
        <v>1</v>
      </c>
      <c r="C270" s="40">
        <v>1525</v>
      </c>
      <c r="D270" s="40">
        <v>19000000</v>
      </c>
    </row>
    <row r="271" spans="1:4" x14ac:dyDescent="0.3">
      <c r="A271" s="18" t="s">
        <v>1302</v>
      </c>
      <c r="B271" s="43">
        <v>1</v>
      </c>
      <c r="C271" s="40">
        <v>3707</v>
      </c>
      <c r="D271" s="40">
        <v>54600000</v>
      </c>
    </row>
    <row r="272" spans="1:4" x14ac:dyDescent="0.3">
      <c r="A272" s="42" t="s">
        <v>1302</v>
      </c>
      <c r="B272" s="42">
        <v>1</v>
      </c>
      <c r="C272" s="40">
        <v>2854</v>
      </c>
      <c r="D272" s="40">
        <v>14100000</v>
      </c>
    </row>
    <row r="273" spans="1:4" x14ac:dyDescent="0.3">
      <c r="A273" s="18" t="s">
        <v>1302</v>
      </c>
      <c r="B273" s="43">
        <v>1</v>
      </c>
      <c r="C273" s="40">
        <v>15126</v>
      </c>
      <c r="D273" s="40">
        <v>21700000</v>
      </c>
    </row>
    <row r="274" spans="1:4" x14ac:dyDescent="0.3">
      <c r="A274" s="42" t="s">
        <v>1302</v>
      </c>
      <c r="B274" s="42">
        <v>1</v>
      </c>
      <c r="C274" s="40">
        <v>3151</v>
      </c>
      <c r="D274" s="40">
        <v>17600000</v>
      </c>
    </row>
    <row r="275" spans="1:4" x14ac:dyDescent="0.3">
      <c r="A275" s="18" t="s">
        <v>1302</v>
      </c>
      <c r="B275" s="43">
        <v>1</v>
      </c>
      <c r="C275" s="40">
        <v>132398</v>
      </c>
      <c r="D275" s="40">
        <v>14200000</v>
      </c>
    </row>
    <row r="276" spans="1:4" x14ac:dyDescent="0.3">
      <c r="A276" s="42" t="s">
        <v>1302</v>
      </c>
      <c r="B276" s="42">
        <v>1</v>
      </c>
      <c r="C276" s="40">
        <v>1212</v>
      </c>
      <c r="D276" s="40">
        <v>12400000</v>
      </c>
    </row>
    <row r="277" spans="1:4" x14ac:dyDescent="0.3">
      <c r="A277" s="18" t="s">
        <v>1302</v>
      </c>
      <c r="B277" s="43">
        <v>1</v>
      </c>
      <c r="C277" s="40">
        <v>1640</v>
      </c>
      <c r="D277" s="40">
        <v>15700000</v>
      </c>
    </row>
    <row r="278" spans="1:4" x14ac:dyDescent="0.3">
      <c r="A278" s="42" t="s">
        <v>1302</v>
      </c>
      <c r="B278" s="42">
        <v>1</v>
      </c>
      <c r="C278" s="40">
        <v>8548</v>
      </c>
      <c r="D278" s="40">
        <v>96700000</v>
      </c>
    </row>
    <row r="279" spans="1:4" x14ac:dyDescent="0.3">
      <c r="A279" s="18" t="s">
        <v>1302</v>
      </c>
      <c r="B279" s="43">
        <v>1</v>
      </c>
      <c r="C279" s="40">
        <v>180092</v>
      </c>
      <c r="D279" s="40">
        <v>30500000</v>
      </c>
    </row>
    <row r="280" spans="1:4" x14ac:dyDescent="0.3">
      <c r="A280" s="42" t="s">
        <v>1302</v>
      </c>
      <c r="B280" s="42">
        <v>1</v>
      </c>
      <c r="C280" s="40">
        <v>102699</v>
      </c>
      <c r="D280" s="40">
        <v>12500000</v>
      </c>
    </row>
    <row r="281" spans="1:4" x14ac:dyDescent="0.3">
      <c r="A281" s="18" t="s">
        <v>1302</v>
      </c>
      <c r="B281" s="43">
        <v>1</v>
      </c>
      <c r="C281" s="40">
        <v>129204</v>
      </c>
      <c r="D281" s="40">
        <v>70500000</v>
      </c>
    </row>
    <row r="282" spans="1:4" x14ac:dyDescent="0.3">
      <c r="A282" s="42" t="s">
        <v>1302</v>
      </c>
      <c r="B282" s="42">
        <v>1</v>
      </c>
      <c r="C282" s="40">
        <v>101401</v>
      </c>
      <c r="D282" s="40">
        <v>14400000</v>
      </c>
    </row>
    <row r="283" spans="1:4" x14ac:dyDescent="0.3">
      <c r="A283" s="18" t="s">
        <v>1302</v>
      </c>
      <c r="B283" s="43">
        <v>1</v>
      </c>
      <c r="C283" s="40">
        <v>3</v>
      </c>
      <c r="D283" s="40">
        <v>14000000</v>
      </c>
    </row>
    <row r="284" spans="1:4" x14ac:dyDescent="0.3">
      <c r="A284" s="42" t="s">
        <v>1302</v>
      </c>
      <c r="B284" s="42">
        <v>1</v>
      </c>
      <c r="C284" s="40">
        <v>273</v>
      </c>
      <c r="D284" s="40">
        <v>13600000</v>
      </c>
    </row>
    <row r="285" spans="1:4" x14ac:dyDescent="0.3">
      <c r="A285" s="18" t="s">
        <v>1304</v>
      </c>
      <c r="B285" s="42">
        <v>0</v>
      </c>
      <c r="C285" s="40">
        <v>211620</v>
      </c>
      <c r="D285" s="40">
        <v>17700000</v>
      </c>
    </row>
    <row r="286" spans="1:4" x14ac:dyDescent="0.3">
      <c r="A286" s="43" t="s">
        <v>1304</v>
      </c>
      <c r="B286" s="43">
        <v>0</v>
      </c>
      <c r="C286" s="40">
        <v>1</v>
      </c>
      <c r="D286" s="40">
        <v>80100000</v>
      </c>
    </row>
    <row r="287" spans="1:4" x14ac:dyDescent="0.3">
      <c r="A287" s="18" t="s">
        <v>1304</v>
      </c>
      <c r="B287" s="42">
        <v>0</v>
      </c>
      <c r="C287" s="40">
        <v>368</v>
      </c>
      <c r="D287" s="40">
        <v>13600000</v>
      </c>
    </row>
    <row r="288" spans="1:4" x14ac:dyDescent="0.3">
      <c r="A288" s="43" t="s">
        <v>1304</v>
      </c>
      <c r="B288" s="43">
        <v>0</v>
      </c>
      <c r="C288" s="40">
        <v>10</v>
      </c>
      <c r="D288" s="40">
        <v>16200000</v>
      </c>
    </row>
    <row r="289" spans="1:4" x14ac:dyDescent="0.3">
      <c r="A289" s="43" t="s">
        <v>1304</v>
      </c>
      <c r="B289" s="43">
        <v>0</v>
      </c>
      <c r="C289" s="40">
        <v>15</v>
      </c>
      <c r="D289" s="40">
        <v>30200000</v>
      </c>
    </row>
    <row r="290" spans="1:4" x14ac:dyDescent="0.3">
      <c r="A290" s="18" t="s">
        <v>1304</v>
      </c>
      <c r="B290" s="42">
        <v>0</v>
      </c>
      <c r="C290" s="40">
        <v>52</v>
      </c>
      <c r="D290" s="40">
        <v>15100000</v>
      </c>
    </row>
    <row r="291" spans="1:4" x14ac:dyDescent="0.3">
      <c r="A291" s="18" t="s">
        <v>1304</v>
      </c>
      <c r="B291" s="42">
        <v>0</v>
      </c>
      <c r="C291" s="40">
        <v>594</v>
      </c>
      <c r="D291" s="40">
        <v>12700000</v>
      </c>
    </row>
    <row r="292" spans="1:4" x14ac:dyDescent="0.3">
      <c r="A292" s="43" t="s">
        <v>1304</v>
      </c>
      <c r="B292" s="43">
        <v>0</v>
      </c>
      <c r="C292" s="40">
        <v>961</v>
      </c>
      <c r="D292" s="40">
        <v>14600000</v>
      </c>
    </row>
    <row r="293" spans="1:4" x14ac:dyDescent="0.3">
      <c r="A293" s="18" t="s">
        <v>1304</v>
      </c>
      <c r="B293" s="42">
        <v>0</v>
      </c>
      <c r="C293" s="40">
        <v>404</v>
      </c>
      <c r="D293" s="40">
        <v>29200000</v>
      </c>
    </row>
    <row r="294" spans="1:4" x14ac:dyDescent="0.3">
      <c r="A294" s="18" t="s">
        <v>1304</v>
      </c>
      <c r="B294" s="42">
        <v>0</v>
      </c>
      <c r="C294" s="40">
        <v>156</v>
      </c>
      <c r="D294" s="40">
        <v>20600000</v>
      </c>
    </row>
    <row r="295" spans="1:4" x14ac:dyDescent="0.3">
      <c r="A295" s="18" t="s">
        <v>1304</v>
      </c>
      <c r="B295" s="42">
        <v>0</v>
      </c>
      <c r="C295" s="40">
        <v>814</v>
      </c>
      <c r="D295" s="40">
        <v>13500000</v>
      </c>
    </row>
    <row r="296" spans="1:4" x14ac:dyDescent="0.3">
      <c r="A296" s="18" t="s">
        <v>1304</v>
      </c>
      <c r="B296" s="42">
        <v>0</v>
      </c>
      <c r="C296" s="40">
        <v>16047</v>
      </c>
      <c r="D296" s="40">
        <v>13600000</v>
      </c>
    </row>
    <row r="297" spans="1:4" x14ac:dyDescent="0.3">
      <c r="A297" s="18" t="s">
        <v>1304</v>
      </c>
      <c r="B297" s="42">
        <v>0</v>
      </c>
      <c r="C297" s="40">
        <v>18972</v>
      </c>
      <c r="D297" s="40">
        <v>14500000</v>
      </c>
    </row>
    <row r="298" spans="1:4" x14ac:dyDescent="0.3">
      <c r="A298" s="18" t="s">
        <v>1304</v>
      </c>
      <c r="B298" s="42">
        <v>0</v>
      </c>
      <c r="C298" s="40">
        <v>34</v>
      </c>
      <c r="D298" s="40">
        <v>14800000</v>
      </c>
    </row>
    <row r="299" spans="1:4" x14ac:dyDescent="0.3">
      <c r="A299" s="18" t="s">
        <v>1304</v>
      </c>
      <c r="B299" s="42">
        <v>0</v>
      </c>
      <c r="C299" s="40">
        <v>2738</v>
      </c>
      <c r="D299" s="40">
        <v>32700000</v>
      </c>
    </row>
    <row r="300" spans="1:4" x14ac:dyDescent="0.3">
      <c r="A300" s="43" t="s">
        <v>1304</v>
      </c>
      <c r="B300" s="43">
        <v>0</v>
      </c>
      <c r="C300" s="40">
        <v>172</v>
      </c>
      <c r="D300" s="40">
        <v>13200000</v>
      </c>
    </row>
    <row r="301" spans="1:4" x14ac:dyDescent="0.3">
      <c r="A301" s="18" t="s">
        <v>1304</v>
      </c>
      <c r="B301" s="42">
        <v>0</v>
      </c>
      <c r="C301" s="40">
        <v>4225</v>
      </c>
      <c r="D301" s="40">
        <v>19700000</v>
      </c>
    </row>
    <row r="302" spans="1:4" x14ac:dyDescent="0.3">
      <c r="A302" s="43" t="s">
        <v>1304</v>
      </c>
      <c r="B302" s="43">
        <v>0</v>
      </c>
      <c r="C302" s="40">
        <v>79</v>
      </c>
      <c r="D302" s="40">
        <v>19000000</v>
      </c>
    </row>
    <row r="303" spans="1:4" x14ac:dyDescent="0.3">
      <c r="A303" s="43" t="s">
        <v>1304</v>
      </c>
      <c r="B303" s="43">
        <v>0</v>
      </c>
      <c r="C303" s="40">
        <v>554</v>
      </c>
      <c r="D303" s="40">
        <v>14700000</v>
      </c>
    </row>
    <row r="304" spans="1:4" x14ac:dyDescent="0.3">
      <c r="A304" s="18" t="s">
        <v>1304</v>
      </c>
      <c r="B304" s="42">
        <v>0</v>
      </c>
      <c r="C304" s="40">
        <v>16</v>
      </c>
      <c r="D304" s="40">
        <v>18700000</v>
      </c>
    </row>
    <row r="305" spans="1:4" x14ac:dyDescent="0.3">
      <c r="A305" s="43" t="s">
        <v>1304</v>
      </c>
      <c r="B305" s="43">
        <v>0</v>
      </c>
      <c r="C305" s="40">
        <v>398</v>
      </c>
      <c r="D305" s="40">
        <v>25300000</v>
      </c>
    </row>
    <row r="306" spans="1:4" x14ac:dyDescent="0.3">
      <c r="A306" s="43" t="s">
        <v>1304</v>
      </c>
      <c r="B306" s="43">
        <v>0</v>
      </c>
      <c r="C306" s="40">
        <v>385</v>
      </c>
      <c r="D306" s="40">
        <v>12500000</v>
      </c>
    </row>
    <row r="307" spans="1:4" x14ac:dyDescent="0.3">
      <c r="A307" s="43" t="s">
        <v>1304</v>
      </c>
      <c r="B307" s="43">
        <v>0</v>
      </c>
      <c r="C307" s="40">
        <v>222</v>
      </c>
      <c r="D307" s="40">
        <v>14400000</v>
      </c>
    </row>
    <row r="308" spans="1:4" x14ac:dyDescent="0.3">
      <c r="A308" s="18" t="s">
        <v>1304</v>
      </c>
      <c r="B308" s="42">
        <v>0</v>
      </c>
      <c r="C308" s="40">
        <v>1644</v>
      </c>
      <c r="D308" s="40">
        <v>24800000</v>
      </c>
    </row>
    <row r="309" spans="1:4" x14ac:dyDescent="0.3">
      <c r="A309" s="43" t="s">
        <v>1304</v>
      </c>
      <c r="B309" s="43">
        <v>0</v>
      </c>
      <c r="C309" s="40">
        <v>12419</v>
      </c>
      <c r="D309" s="40">
        <v>12400000</v>
      </c>
    </row>
    <row r="310" spans="1:4" x14ac:dyDescent="0.3">
      <c r="A310" s="18" t="s">
        <v>1304</v>
      </c>
      <c r="B310" s="42">
        <v>0</v>
      </c>
      <c r="C310" s="40">
        <v>3664</v>
      </c>
      <c r="D310" s="40">
        <v>27400000</v>
      </c>
    </row>
    <row r="311" spans="1:4" x14ac:dyDescent="0.3">
      <c r="A311" s="18" t="s">
        <v>1304</v>
      </c>
      <c r="B311" s="42">
        <v>0</v>
      </c>
      <c r="C311" s="40">
        <v>838</v>
      </c>
      <c r="D311" s="40">
        <v>13000000</v>
      </c>
    </row>
    <row r="312" spans="1:4" x14ac:dyDescent="0.3">
      <c r="A312" s="18" t="s">
        <v>1304</v>
      </c>
      <c r="B312" s="42">
        <v>0</v>
      </c>
      <c r="C312" s="40">
        <v>1935</v>
      </c>
      <c r="D312" s="40">
        <v>20200000</v>
      </c>
    </row>
    <row r="313" spans="1:4" x14ac:dyDescent="0.3">
      <c r="A313" s="18" t="s">
        <v>1304</v>
      </c>
      <c r="B313" s="42">
        <v>0</v>
      </c>
      <c r="C313" s="40">
        <v>4422</v>
      </c>
      <c r="D313" s="40">
        <v>12400000</v>
      </c>
    </row>
    <row r="314" spans="1:4" x14ac:dyDescent="0.3">
      <c r="A314" s="43" t="s">
        <v>1304</v>
      </c>
      <c r="B314" s="43">
        <v>0</v>
      </c>
      <c r="C314" s="40">
        <v>164</v>
      </c>
      <c r="D314" s="40">
        <v>21800000</v>
      </c>
    </row>
    <row r="315" spans="1:4" x14ac:dyDescent="0.3">
      <c r="A315" s="18" t="s">
        <v>1304</v>
      </c>
      <c r="B315" s="42">
        <v>0</v>
      </c>
      <c r="C315" s="40">
        <v>323</v>
      </c>
      <c r="D315" s="40">
        <v>12800000</v>
      </c>
    </row>
    <row r="316" spans="1:4" x14ac:dyDescent="0.3">
      <c r="A316" s="43" t="s">
        <v>1304</v>
      </c>
      <c r="B316" s="43">
        <v>0</v>
      </c>
      <c r="C316" s="40">
        <v>383</v>
      </c>
      <c r="D316" s="40">
        <v>53500000</v>
      </c>
    </row>
    <row r="317" spans="1:4" x14ac:dyDescent="0.3">
      <c r="A317" s="18" t="s">
        <v>1304</v>
      </c>
      <c r="B317" s="42">
        <v>0</v>
      </c>
      <c r="C317" s="40">
        <v>218</v>
      </c>
      <c r="D317" s="40">
        <v>12600000</v>
      </c>
    </row>
    <row r="318" spans="1:4" x14ac:dyDescent="0.3">
      <c r="A318" s="18" t="s">
        <v>1304</v>
      </c>
      <c r="B318" s="42">
        <v>0</v>
      </c>
      <c r="C318" s="40">
        <v>777</v>
      </c>
      <c r="D318" s="40">
        <v>14100000</v>
      </c>
    </row>
    <row r="319" spans="1:4" x14ac:dyDescent="0.3">
      <c r="A319" s="43" t="s">
        <v>1304</v>
      </c>
      <c r="B319" s="43">
        <v>0</v>
      </c>
      <c r="C319" s="40">
        <v>10988</v>
      </c>
      <c r="D319" s="40">
        <v>15300000</v>
      </c>
    </row>
    <row r="320" spans="1:4" x14ac:dyDescent="0.3">
      <c r="A320" s="18" t="s">
        <v>1304</v>
      </c>
      <c r="B320" s="42">
        <v>0</v>
      </c>
      <c r="C320" s="40">
        <v>10728</v>
      </c>
      <c r="D320" s="40">
        <v>19400000</v>
      </c>
    </row>
    <row r="321" spans="1:4" x14ac:dyDescent="0.3">
      <c r="A321" s="43" t="s">
        <v>1304</v>
      </c>
      <c r="B321" s="43">
        <v>0</v>
      </c>
      <c r="C321" s="40">
        <v>41</v>
      </c>
      <c r="D321" s="40">
        <v>16100000</v>
      </c>
    </row>
    <row r="322" spans="1:4" x14ac:dyDescent="0.3">
      <c r="A322" s="18" t="s">
        <v>1304</v>
      </c>
      <c r="B322" s="42">
        <v>0</v>
      </c>
      <c r="C322" s="40">
        <v>1527</v>
      </c>
      <c r="D322" s="40">
        <v>20000000</v>
      </c>
    </row>
    <row r="323" spans="1:4" x14ac:dyDescent="0.3">
      <c r="A323" s="18" t="s">
        <v>1304</v>
      </c>
      <c r="B323" s="42">
        <v>0</v>
      </c>
      <c r="C323" s="40">
        <v>1245</v>
      </c>
      <c r="D323" s="40">
        <v>20300000</v>
      </c>
    </row>
    <row r="324" spans="1:4" x14ac:dyDescent="0.3">
      <c r="A324" s="18" t="s">
        <v>1304</v>
      </c>
      <c r="B324" s="42">
        <v>0</v>
      </c>
      <c r="C324" s="40">
        <v>1572</v>
      </c>
      <c r="D324" s="40">
        <v>12900000</v>
      </c>
    </row>
    <row r="325" spans="1:4" x14ac:dyDescent="0.3">
      <c r="A325" s="43" t="s">
        <v>1304</v>
      </c>
      <c r="B325" s="43">
        <v>0</v>
      </c>
      <c r="C325" s="40">
        <v>1411</v>
      </c>
      <c r="D325" s="40">
        <v>19800000</v>
      </c>
    </row>
    <row r="326" spans="1:4" x14ac:dyDescent="0.3">
      <c r="A326" s="43" t="s">
        <v>1304</v>
      </c>
      <c r="B326" s="43">
        <v>0</v>
      </c>
      <c r="C326" s="40">
        <v>2452</v>
      </c>
      <c r="D326" s="40">
        <v>12300000</v>
      </c>
    </row>
    <row r="327" spans="1:4" x14ac:dyDescent="0.3">
      <c r="A327" s="18" t="s">
        <v>1304</v>
      </c>
      <c r="B327" s="42">
        <v>0</v>
      </c>
      <c r="C327" s="40">
        <v>216</v>
      </c>
      <c r="D327" s="40">
        <v>16600000</v>
      </c>
    </row>
    <row r="328" spans="1:4" x14ac:dyDescent="0.3">
      <c r="A328" s="18" t="s">
        <v>1304</v>
      </c>
      <c r="B328" s="42">
        <v>0</v>
      </c>
      <c r="C328" s="40">
        <v>8420</v>
      </c>
      <c r="D328" s="40">
        <v>14900000</v>
      </c>
    </row>
    <row r="329" spans="1:4" x14ac:dyDescent="0.3">
      <c r="A329" s="18" t="s">
        <v>1304</v>
      </c>
      <c r="B329" s="42">
        <v>0</v>
      </c>
      <c r="C329" s="40">
        <v>6066</v>
      </c>
      <c r="D329" s="40">
        <v>23500000</v>
      </c>
    </row>
    <row r="330" spans="1:4" x14ac:dyDescent="0.3">
      <c r="A330" s="43" t="s">
        <v>1304</v>
      </c>
      <c r="B330" s="43">
        <v>0</v>
      </c>
      <c r="C330" s="40">
        <v>1294</v>
      </c>
      <c r="D330" s="40">
        <v>16200000</v>
      </c>
    </row>
    <row r="331" spans="1:4" x14ac:dyDescent="0.3">
      <c r="A331" s="43" t="s">
        <v>1304</v>
      </c>
      <c r="B331" s="43">
        <v>0</v>
      </c>
      <c r="C331" s="40">
        <v>159</v>
      </c>
      <c r="D331" s="40">
        <v>15100000</v>
      </c>
    </row>
    <row r="332" spans="1:4" x14ac:dyDescent="0.3">
      <c r="A332" s="18" t="s">
        <v>1304</v>
      </c>
      <c r="B332" s="42">
        <v>0</v>
      </c>
      <c r="C332" s="40">
        <v>19</v>
      </c>
      <c r="D332" s="40">
        <v>13500000</v>
      </c>
    </row>
    <row r="333" spans="1:4" x14ac:dyDescent="0.3">
      <c r="A333" s="43" t="s">
        <v>1304</v>
      </c>
      <c r="B333" s="43">
        <v>0</v>
      </c>
      <c r="C333" s="40">
        <v>1252</v>
      </c>
      <c r="D333" s="40">
        <v>24100000</v>
      </c>
    </row>
    <row r="334" spans="1:4" x14ac:dyDescent="0.3">
      <c r="A334" s="18" t="s">
        <v>1304</v>
      </c>
      <c r="B334" s="42">
        <v>0</v>
      </c>
      <c r="C334" s="40">
        <v>193</v>
      </c>
      <c r="D334" s="40">
        <v>20800000</v>
      </c>
    </row>
    <row r="335" spans="1:4" x14ac:dyDescent="0.3">
      <c r="A335" s="43" t="s">
        <v>1304</v>
      </c>
      <c r="B335" s="43">
        <v>0</v>
      </c>
      <c r="C335" s="40">
        <v>1403</v>
      </c>
      <c r="D335" s="40">
        <v>13500000</v>
      </c>
    </row>
    <row r="336" spans="1:4" x14ac:dyDescent="0.3">
      <c r="A336" s="43" t="s">
        <v>1304</v>
      </c>
      <c r="B336" s="43">
        <v>0</v>
      </c>
      <c r="C336" s="40">
        <v>1459</v>
      </c>
      <c r="D336" s="40">
        <v>12500000</v>
      </c>
    </row>
    <row r="337" spans="1:4" x14ac:dyDescent="0.3">
      <c r="A337" s="18" t="s">
        <v>1304</v>
      </c>
      <c r="B337" s="42">
        <v>0</v>
      </c>
      <c r="C337" s="40">
        <v>278</v>
      </c>
      <c r="D337" s="40">
        <v>16300000</v>
      </c>
    </row>
    <row r="338" spans="1:4" x14ac:dyDescent="0.3">
      <c r="A338" s="18" t="s">
        <v>1304</v>
      </c>
      <c r="B338" s="42">
        <v>0</v>
      </c>
      <c r="C338" s="40">
        <v>409</v>
      </c>
      <c r="D338" s="40">
        <v>13000000</v>
      </c>
    </row>
    <row r="339" spans="1:4" x14ac:dyDescent="0.3">
      <c r="A339" s="43" t="s">
        <v>1304</v>
      </c>
      <c r="B339" s="43">
        <v>0</v>
      </c>
      <c r="C339" s="40">
        <v>294</v>
      </c>
      <c r="D339" s="40">
        <v>14000000</v>
      </c>
    </row>
    <row r="340" spans="1:4" x14ac:dyDescent="0.3">
      <c r="A340" s="18" t="s">
        <v>1304</v>
      </c>
      <c r="B340" s="42">
        <v>0</v>
      </c>
      <c r="C340" s="40">
        <v>2997</v>
      </c>
      <c r="D340" s="40">
        <v>15100000</v>
      </c>
    </row>
    <row r="341" spans="1:4" x14ac:dyDescent="0.3">
      <c r="A341" s="18" t="s">
        <v>1304</v>
      </c>
      <c r="B341" s="42">
        <v>0</v>
      </c>
      <c r="C341" s="40">
        <v>1876</v>
      </c>
      <c r="D341" s="40">
        <v>39100000</v>
      </c>
    </row>
    <row r="342" spans="1:4" x14ac:dyDescent="0.3">
      <c r="A342" s="43" t="s">
        <v>1304</v>
      </c>
      <c r="B342" s="43">
        <v>0</v>
      </c>
      <c r="C342" s="40">
        <v>1044</v>
      </c>
      <c r="D342" s="40">
        <v>23500000</v>
      </c>
    </row>
    <row r="343" spans="1:4" x14ac:dyDescent="0.3">
      <c r="A343" s="18" t="s">
        <v>1304</v>
      </c>
      <c r="B343" s="42">
        <v>0</v>
      </c>
      <c r="C343" s="40">
        <v>1099</v>
      </c>
      <c r="D343" s="40">
        <v>23700000</v>
      </c>
    </row>
    <row r="344" spans="1:4" x14ac:dyDescent="0.3">
      <c r="A344" s="18" t="s">
        <v>1304</v>
      </c>
      <c r="B344" s="42">
        <v>0</v>
      </c>
      <c r="C344" s="40">
        <v>2324</v>
      </c>
      <c r="D344" s="40">
        <v>15000000</v>
      </c>
    </row>
    <row r="345" spans="1:4" x14ac:dyDescent="0.3">
      <c r="A345" s="18" t="s">
        <v>1304</v>
      </c>
      <c r="B345" s="42">
        <v>0</v>
      </c>
      <c r="C345" s="40">
        <v>825</v>
      </c>
      <c r="D345" s="40">
        <v>12600000</v>
      </c>
    </row>
    <row r="346" spans="1:4" x14ac:dyDescent="0.3">
      <c r="A346" s="18" t="s">
        <v>1304</v>
      </c>
      <c r="B346" s="42">
        <v>0</v>
      </c>
      <c r="C346" s="40">
        <v>3091</v>
      </c>
      <c r="D346" s="40">
        <v>32100000</v>
      </c>
    </row>
    <row r="347" spans="1:4" x14ac:dyDescent="0.3">
      <c r="A347" s="43" t="s">
        <v>1304</v>
      </c>
      <c r="B347" s="43">
        <v>0</v>
      </c>
      <c r="C347" s="40">
        <v>1577</v>
      </c>
      <c r="D347" s="40">
        <v>15400000</v>
      </c>
    </row>
    <row r="348" spans="1:4" x14ac:dyDescent="0.3">
      <c r="A348" s="18" t="s">
        <v>1304</v>
      </c>
      <c r="B348" s="42">
        <v>0</v>
      </c>
      <c r="C348" s="40">
        <v>431</v>
      </c>
      <c r="D348" s="40">
        <v>14000000</v>
      </c>
    </row>
    <row r="349" spans="1:4" x14ac:dyDescent="0.3">
      <c r="A349" s="43" t="s">
        <v>1304</v>
      </c>
      <c r="B349" s="43">
        <v>0</v>
      </c>
      <c r="C349" s="40">
        <v>23491</v>
      </c>
      <c r="D349" s="40">
        <v>24100000</v>
      </c>
    </row>
    <row r="350" spans="1:4" x14ac:dyDescent="0.3">
      <c r="A350" s="18" t="s">
        <v>1304</v>
      </c>
      <c r="B350" s="42">
        <v>0</v>
      </c>
      <c r="C350" s="40">
        <v>876</v>
      </c>
      <c r="D350" s="40">
        <v>14200000</v>
      </c>
    </row>
    <row r="351" spans="1:4" x14ac:dyDescent="0.3">
      <c r="A351" s="18" t="s">
        <v>1304</v>
      </c>
      <c r="B351" s="42">
        <v>0</v>
      </c>
      <c r="C351" s="40">
        <v>1331</v>
      </c>
      <c r="D351" s="40">
        <v>33400000</v>
      </c>
    </row>
    <row r="352" spans="1:4" x14ac:dyDescent="0.3">
      <c r="A352" s="43" t="s">
        <v>1304</v>
      </c>
      <c r="B352" s="43">
        <v>0</v>
      </c>
      <c r="C352" s="40">
        <v>266</v>
      </c>
      <c r="D352" s="40">
        <v>21800000</v>
      </c>
    </row>
    <row r="353" spans="1:4" x14ac:dyDescent="0.3">
      <c r="A353" s="18" t="s">
        <v>1304</v>
      </c>
      <c r="B353" s="42">
        <v>0</v>
      </c>
      <c r="C353" s="40">
        <v>654</v>
      </c>
      <c r="D353" s="40">
        <v>15200000</v>
      </c>
    </row>
    <row r="354" spans="1:4" x14ac:dyDescent="0.3">
      <c r="A354" s="43" t="s">
        <v>1304</v>
      </c>
      <c r="B354" s="43">
        <v>0</v>
      </c>
      <c r="C354" s="40">
        <v>967</v>
      </c>
      <c r="D354" s="40">
        <v>26400000</v>
      </c>
    </row>
    <row r="355" spans="1:4" x14ac:dyDescent="0.3">
      <c r="A355" s="18" t="s">
        <v>1304</v>
      </c>
      <c r="B355" s="42">
        <v>0</v>
      </c>
      <c r="C355" s="40">
        <v>667</v>
      </c>
      <c r="D355" s="40">
        <v>16100000</v>
      </c>
    </row>
    <row r="356" spans="1:4" x14ac:dyDescent="0.3">
      <c r="A356" s="43" t="s">
        <v>1304</v>
      </c>
      <c r="B356" s="43">
        <v>0</v>
      </c>
      <c r="C356" s="40">
        <v>3589</v>
      </c>
      <c r="D356" s="40">
        <v>31400000</v>
      </c>
    </row>
    <row r="357" spans="1:4" x14ac:dyDescent="0.3">
      <c r="A357" s="43" t="s">
        <v>1304</v>
      </c>
      <c r="B357" s="43">
        <v>0</v>
      </c>
      <c r="C357" s="40">
        <v>1251</v>
      </c>
      <c r="D357" s="40">
        <v>23600000</v>
      </c>
    </row>
    <row r="358" spans="1:4" x14ac:dyDescent="0.3">
      <c r="A358" s="18" t="s">
        <v>1304</v>
      </c>
      <c r="B358" s="42">
        <v>0</v>
      </c>
      <c r="C358" s="40">
        <v>1015</v>
      </c>
      <c r="D358" s="40">
        <v>17000000</v>
      </c>
    </row>
    <row r="359" spans="1:4" x14ac:dyDescent="0.3">
      <c r="A359" s="43" t="s">
        <v>1304</v>
      </c>
      <c r="B359" s="43">
        <v>0</v>
      </c>
      <c r="C359" s="40">
        <v>39</v>
      </c>
      <c r="D359" s="40">
        <v>12300000</v>
      </c>
    </row>
    <row r="360" spans="1:4" x14ac:dyDescent="0.3">
      <c r="A360" s="18" t="s">
        <v>1304</v>
      </c>
      <c r="B360" s="42">
        <v>0</v>
      </c>
      <c r="C360" s="40">
        <v>230</v>
      </c>
      <c r="D360" s="40">
        <v>16300000</v>
      </c>
    </row>
    <row r="361" spans="1:4" x14ac:dyDescent="0.3">
      <c r="A361" s="43" t="s">
        <v>1304</v>
      </c>
      <c r="B361" s="43">
        <v>0</v>
      </c>
      <c r="C361" s="40">
        <v>267</v>
      </c>
      <c r="D361" s="40">
        <v>19700000</v>
      </c>
    </row>
    <row r="362" spans="1:4" x14ac:dyDescent="0.3">
      <c r="A362" s="18" t="s">
        <v>1304</v>
      </c>
      <c r="B362" s="42">
        <v>0</v>
      </c>
      <c r="C362" s="40">
        <v>312</v>
      </c>
      <c r="D362" s="40">
        <v>18800000</v>
      </c>
    </row>
    <row r="363" spans="1:4" x14ac:dyDescent="0.3">
      <c r="A363" s="43" t="s">
        <v>1304</v>
      </c>
      <c r="B363" s="43">
        <v>0</v>
      </c>
      <c r="C363" s="40">
        <v>60</v>
      </c>
      <c r="D363" s="40">
        <v>14200000</v>
      </c>
    </row>
    <row r="364" spans="1:4" x14ac:dyDescent="0.3">
      <c r="A364" s="18" t="s">
        <v>1304</v>
      </c>
      <c r="B364" s="42">
        <v>0</v>
      </c>
      <c r="C364" s="40">
        <v>462</v>
      </c>
      <c r="D364" s="40">
        <v>20400000</v>
      </c>
    </row>
    <row r="365" spans="1:4" x14ac:dyDescent="0.3">
      <c r="A365" s="43" t="s">
        <v>1304</v>
      </c>
      <c r="B365" s="43">
        <v>0</v>
      </c>
      <c r="C365" s="40">
        <v>34</v>
      </c>
      <c r="D365" s="40">
        <v>22300000</v>
      </c>
    </row>
    <row r="366" spans="1:4" x14ac:dyDescent="0.3">
      <c r="A366" s="18" t="s">
        <v>1304</v>
      </c>
      <c r="B366" s="42">
        <v>0</v>
      </c>
      <c r="C366" s="40">
        <v>11501</v>
      </c>
      <c r="D366" s="40">
        <v>30100000</v>
      </c>
    </row>
    <row r="367" spans="1:4" x14ac:dyDescent="0.3">
      <c r="A367" s="18" t="s">
        <v>1304</v>
      </c>
      <c r="B367" s="43">
        <v>0</v>
      </c>
      <c r="C367" s="40">
        <v>1521</v>
      </c>
      <c r="D367" s="40">
        <v>18100000</v>
      </c>
    </row>
    <row r="368" spans="1:4" x14ac:dyDescent="0.3">
      <c r="A368" s="42" t="s">
        <v>1304</v>
      </c>
      <c r="B368" s="42">
        <v>0</v>
      </c>
      <c r="C368" s="40">
        <v>1306</v>
      </c>
      <c r="D368" s="40">
        <v>19600000</v>
      </c>
    </row>
    <row r="369" spans="1:4" x14ac:dyDescent="0.3">
      <c r="A369" s="42" t="s">
        <v>1304</v>
      </c>
      <c r="B369" s="42">
        <v>0</v>
      </c>
      <c r="C369" s="40">
        <v>233</v>
      </c>
      <c r="D369" s="40">
        <v>12800000</v>
      </c>
    </row>
    <row r="370" spans="1:4" x14ac:dyDescent="0.3">
      <c r="A370" s="42" t="s">
        <v>1304</v>
      </c>
      <c r="B370" s="42">
        <v>0</v>
      </c>
      <c r="C370" s="40">
        <v>3566</v>
      </c>
      <c r="D370" s="40">
        <v>18000000</v>
      </c>
    </row>
    <row r="371" spans="1:4" x14ac:dyDescent="0.3">
      <c r="A371" s="18" t="s">
        <v>1304</v>
      </c>
      <c r="B371" s="43">
        <v>0</v>
      </c>
      <c r="C371" s="40">
        <v>6943</v>
      </c>
      <c r="D371" s="40">
        <v>18400000</v>
      </c>
    </row>
    <row r="372" spans="1:4" x14ac:dyDescent="0.3">
      <c r="A372" s="42" t="s">
        <v>1304</v>
      </c>
      <c r="B372" s="42">
        <v>0</v>
      </c>
      <c r="C372" s="40">
        <v>1024</v>
      </c>
      <c r="D372" s="40">
        <v>12400000</v>
      </c>
    </row>
    <row r="373" spans="1:4" x14ac:dyDescent="0.3">
      <c r="A373" s="18" t="s">
        <v>1304</v>
      </c>
      <c r="B373" s="43">
        <v>0</v>
      </c>
      <c r="C373" s="40">
        <v>342</v>
      </c>
      <c r="D373" s="40">
        <v>14200000</v>
      </c>
    </row>
    <row r="374" spans="1:4" x14ac:dyDescent="0.3">
      <c r="A374" s="42" t="s">
        <v>1304</v>
      </c>
      <c r="B374" s="42">
        <v>0</v>
      </c>
      <c r="C374" s="40">
        <v>2905</v>
      </c>
      <c r="D374" s="40">
        <v>23000000</v>
      </c>
    </row>
    <row r="375" spans="1:4" x14ac:dyDescent="0.3">
      <c r="A375" s="18" t="s">
        <v>1304</v>
      </c>
      <c r="B375" s="43">
        <v>0</v>
      </c>
      <c r="C375" s="40">
        <v>7606</v>
      </c>
      <c r="D375" s="40">
        <v>33800000</v>
      </c>
    </row>
    <row r="376" spans="1:4" x14ac:dyDescent="0.3">
      <c r="A376" s="42" t="s">
        <v>1304</v>
      </c>
      <c r="B376" s="42">
        <v>0</v>
      </c>
      <c r="C376" s="40">
        <v>2411</v>
      </c>
      <c r="D376" s="40">
        <v>13300000</v>
      </c>
    </row>
    <row r="377" spans="1:4" x14ac:dyDescent="0.3">
      <c r="A377" s="18" t="s">
        <v>1304</v>
      </c>
      <c r="B377" s="43">
        <v>0</v>
      </c>
      <c r="C377" s="40">
        <v>652</v>
      </c>
      <c r="D377" s="40">
        <v>16300000</v>
      </c>
    </row>
    <row r="378" spans="1:4" x14ac:dyDescent="0.3">
      <c r="A378" s="42" t="s">
        <v>1304</v>
      </c>
      <c r="B378" s="42">
        <v>0</v>
      </c>
      <c r="C378" s="40">
        <v>7550</v>
      </c>
      <c r="D378" s="40">
        <v>17200000</v>
      </c>
    </row>
    <row r="379" spans="1:4" x14ac:dyDescent="0.3">
      <c r="A379" s="18" t="s">
        <v>1304</v>
      </c>
      <c r="B379" s="43">
        <v>0</v>
      </c>
      <c r="C379" s="40">
        <v>975</v>
      </c>
      <c r="D379" s="40">
        <v>13500000</v>
      </c>
    </row>
    <row r="380" spans="1:4" x14ac:dyDescent="0.3">
      <c r="A380" s="42" t="s">
        <v>1304</v>
      </c>
      <c r="B380" s="42">
        <v>0</v>
      </c>
      <c r="C380" s="40">
        <v>0</v>
      </c>
      <c r="D380" s="40">
        <v>21400000</v>
      </c>
    </row>
    <row r="381" spans="1:4" x14ac:dyDescent="0.3">
      <c r="A381" s="18" t="s">
        <v>1304</v>
      </c>
      <c r="B381" s="43">
        <v>0</v>
      </c>
      <c r="C381" s="40">
        <v>2200</v>
      </c>
      <c r="D381" s="40">
        <v>16600000</v>
      </c>
    </row>
    <row r="479" spans="2:2" x14ac:dyDescent="0.3">
      <c r="B479" s="42"/>
    </row>
    <row r="480" spans="2:2" x14ac:dyDescent="0.3">
      <c r="B480" s="42"/>
    </row>
    <row r="481" spans="2:2" x14ac:dyDescent="0.3">
      <c r="B481" s="43"/>
    </row>
    <row r="482" spans="2:2" x14ac:dyDescent="0.3">
      <c r="B482" s="42"/>
    </row>
    <row r="483" spans="2:2" x14ac:dyDescent="0.3">
      <c r="B483" s="42"/>
    </row>
    <row r="484" spans="2:2" x14ac:dyDescent="0.3">
      <c r="B484" s="43"/>
    </row>
    <row r="485" spans="2:2" x14ac:dyDescent="0.3">
      <c r="B485" s="43"/>
    </row>
    <row r="486" spans="2:2" x14ac:dyDescent="0.3">
      <c r="B486" s="43"/>
    </row>
    <row r="487" spans="2:2" x14ac:dyDescent="0.3">
      <c r="B487" s="42"/>
    </row>
    <row r="488" spans="2:2" x14ac:dyDescent="0.3">
      <c r="B488" s="43"/>
    </row>
    <row r="489" spans="2:2" x14ac:dyDescent="0.3">
      <c r="B489" s="42"/>
    </row>
    <row r="490" spans="2:2" x14ac:dyDescent="0.3">
      <c r="B490" s="43"/>
    </row>
    <row r="491" spans="2:2" x14ac:dyDescent="0.3">
      <c r="B491" s="42"/>
    </row>
    <row r="492" spans="2:2" x14ac:dyDescent="0.3">
      <c r="B492" s="43"/>
    </row>
    <row r="493" spans="2:2" x14ac:dyDescent="0.3">
      <c r="B493" s="42"/>
    </row>
    <row r="494" spans="2:2" x14ac:dyDescent="0.3">
      <c r="B494" s="42"/>
    </row>
    <row r="495" spans="2:2" x14ac:dyDescent="0.3">
      <c r="B495" s="43"/>
    </row>
    <row r="496" spans="2:2" x14ac:dyDescent="0.3">
      <c r="B496" s="42"/>
    </row>
    <row r="497" spans="2:2" x14ac:dyDescent="0.3">
      <c r="B497" s="43"/>
    </row>
    <row r="498" spans="2:2" x14ac:dyDescent="0.3">
      <c r="B498" s="42"/>
    </row>
    <row r="499" spans="2:2" x14ac:dyDescent="0.3">
      <c r="B499" s="42"/>
    </row>
    <row r="500" spans="2:2" x14ac:dyDescent="0.3">
      <c r="B500" s="43"/>
    </row>
    <row r="501" spans="2:2" x14ac:dyDescent="0.3">
      <c r="B501" s="43"/>
    </row>
    <row r="502" spans="2:2" x14ac:dyDescent="0.3">
      <c r="B502" s="42"/>
    </row>
    <row r="503" spans="2:2" x14ac:dyDescent="0.3">
      <c r="B503" s="42"/>
    </row>
    <row r="504" spans="2:2" x14ac:dyDescent="0.3">
      <c r="B504" s="43"/>
    </row>
    <row r="505" spans="2:2" x14ac:dyDescent="0.3">
      <c r="B505" s="42"/>
    </row>
    <row r="506" spans="2:2" x14ac:dyDescent="0.3">
      <c r="B506" s="43"/>
    </row>
    <row r="507" spans="2:2" x14ac:dyDescent="0.3">
      <c r="B507" s="43"/>
    </row>
    <row r="508" spans="2:2" x14ac:dyDescent="0.3">
      <c r="B508" s="43"/>
    </row>
    <row r="509" spans="2:2" x14ac:dyDescent="0.3">
      <c r="B509" s="43"/>
    </row>
    <row r="510" spans="2:2" x14ac:dyDescent="0.3">
      <c r="B510" s="43"/>
    </row>
    <row r="511" spans="2:2" x14ac:dyDescent="0.3">
      <c r="B511" s="42"/>
    </row>
    <row r="512" spans="2:2" x14ac:dyDescent="0.3">
      <c r="B512" s="43"/>
    </row>
    <row r="513" spans="2:2" x14ac:dyDescent="0.3">
      <c r="B513" s="43"/>
    </row>
    <row r="514" spans="2:2" x14ac:dyDescent="0.3">
      <c r="B514" s="42"/>
    </row>
    <row r="515" spans="2:2" x14ac:dyDescent="0.3">
      <c r="B515" s="43"/>
    </row>
    <row r="516" spans="2:2" x14ac:dyDescent="0.3">
      <c r="B516" s="43"/>
    </row>
    <row r="517" spans="2:2" x14ac:dyDescent="0.3">
      <c r="B517" s="42"/>
    </row>
    <row r="518" spans="2:2" x14ac:dyDescent="0.3">
      <c r="B518" s="42"/>
    </row>
    <row r="519" spans="2:2" x14ac:dyDescent="0.3">
      <c r="B519" s="42"/>
    </row>
    <row r="520" spans="2:2" x14ac:dyDescent="0.3">
      <c r="B520" s="42"/>
    </row>
    <row r="521" spans="2:2" x14ac:dyDescent="0.3">
      <c r="B521" s="43"/>
    </row>
    <row r="522" spans="2:2" x14ac:dyDescent="0.3">
      <c r="B522" s="43"/>
    </row>
    <row r="523" spans="2:2" x14ac:dyDescent="0.3">
      <c r="B523" s="42"/>
    </row>
    <row r="524" spans="2:2" x14ac:dyDescent="0.3">
      <c r="B524" s="43"/>
    </row>
    <row r="525" spans="2:2" x14ac:dyDescent="0.3">
      <c r="B525" s="42"/>
    </row>
    <row r="526" spans="2:2" x14ac:dyDescent="0.3">
      <c r="B526" s="42"/>
    </row>
    <row r="527" spans="2:2" x14ac:dyDescent="0.3">
      <c r="B527" s="42"/>
    </row>
    <row r="528" spans="2:2" x14ac:dyDescent="0.3">
      <c r="B528" s="42"/>
    </row>
    <row r="529" spans="2:2" x14ac:dyDescent="0.3">
      <c r="B529" s="42"/>
    </row>
    <row r="530" spans="2:2" x14ac:dyDescent="0.3">
      <c r="B530" s="42"/>
    </row>
    <row r="531" spans="2:2" x14ac:dyDescent="0.3">
      <c r="B531" s="43"/>
    </row>
    <row r="532" spans="2:2" x14ac:dyDescent="0.3">
      <c r="B532" s="43"/>
    </row>
    <row r="533" spans="2:2" x14ac:dyDescent="0.3">
      <c r="B533" s="42"/>
    </row>
    <row r="534" spans="2:2" x14ac:dyDescent="0.3">
      <c r="B534" s="43"/>
    </row>
    <row r="535" spans="2:2" x14ac:dyDescent="0.3">
      <c r="B535" s="43"/>
    </row>
    <row r="536" spans="2:2" x14ac:dyDescent="0.3">
      <c r="B536" s="42"/>
    </row>
    <row r="537" spans="2:2" x14ac:dyDescent="0.3">
      <c r="B537" s="42"/>
    </row>
    <row r="538" spans="2:2" x14ac:dyDescent="0.3">
      <c r="B538" s="42"/>
    </row>
    <row r="539" spans="2:2" x14ac:dyDescent="0.3">
      <c r="B539" s="43"/>
    </row>
    <row r="540" spans="2:2" x14ac:dyDescent="0.3">
      <c r="B540" s="42"/>
    </row>
    <row r="541" spans="2:2" x14ac:dyDescent="0.3">
      <c r="B541" s="43"/>
    </row>
    <row r="542" spans="2:2" x14ac:dyDescent="0.3">
      <c r="B542" s="42"/>
    </row>
    <row r="543" spans="2:2" x14ac:dyDescent="0.3">
      <c r="B543" s="43"/>
    </row>
    <row r="544" spans="2:2" x14ac:dyDescent="0.3">
      <c r="B544" s="42"/>
    </row>
    <row r="545" spans="2:2" x14ac:dyDescent="0.3">
      <c r="B545" s="42"/>
    </row>
    <row r="546" spans="2:2" x14ac:dyDescent="0.3">
      <c r="B546" s="43"/>
    </row>
    <row r="547" spans="2:2" x14ac:dyDescent="0.3">
      <c r="B547" s="42"/>
    </row>
    <row r="548" spans="2:2" x14ac:dyDescent="0.3">
      <c r="B548" s="43"/>
    </row>
    <row r="549" spans="2:2" x14ac:dyDescent="0.3">
      <c r="B549" s="43"/>
    </row>
    <row r="550" spans="2:2" x14ac:dyDescent="0.3">
      <c r="B550" s="43"/>
    </row>
    <row r="551" spans="2:2" x14ac:dyDescent="0.3">
      <c r="B551" s="43"/>
    </row>
    <row r="552" spans="2:2" x14ac:dyDescent="0.3">
      <c r="B552" s="43"/>
    </row>
    <row r="553" spans="2:2" x14ac:dyDescent="0.3">
      <c r="B553" s="43"/>
    </row>
    <row r="554" spans="2:2" x14ac:dyDescent="0.3">
      <c r="B554" s="43"/>
    </row>
    <row r="555" spans="2:2" x14ac:dyDescent="0.3">
      <c r="B555" s="43"/>
    </row>
    <row r="556" spans="2:2" x14ac:dyDescent="0.3">
      <c r="B556" s="42"/>
    </row>
    <row r="557" spans="2:2" x14ac:dyDescent="0.3">
      <c r="B557" s="42"/>
    </row>
    <row r="558" spans="2:2" x14ac:dyDescent="0.3">
      <c r="B558" s="42"/>
    </row>
    <row r="559" spans="2:2" x14ac:dyDescent="0.3">
      <c r="B559" s="42"/>
    </row>
    <row r="560" spans="2:2" x14ac:dyDescent="0.3">
      <c r="B560" s="43"/>
    </row>
    <row r="561" spans="2:2" x14ac:dyDescent="0.3">
      <c r="B561" s="42"/>
    </row>
    <row r="562" spans="2:2" x14ac:dyDescent="0.3">
      <c r="B562" s="43"/>
    </row>
    <row r="563" spans="2:2" x14ac:dyDescent="0.3">
      <c r="B563" s="42"/>
    </row>
    <row r="564" spans="2:2" x14ac:dyDescent="0.3">
      <c r="B564" s="43"/>
    </row>
    <row r="565" spans="2:2" x14ac:dyDescent="0.3">
      <c r="B565" s="42"/>
    </row>
    <row r="566" spans="2:2" x14ac:dyDescent="0.3">
      <c r="B566" s="42"/>
    </row>
    <row r="567" spans="2:2" x14ac:dyDescent="0.3">
      <c r="B567" s="43"/>
    </row>
    <row r="568" spans="2:2" x14ac:dyDescent="0.3">
      <c r="B568" s="43"/>
    </row>
    <row r="569" spans="2:2" x14ac:dyDescent="0.3">
      <c r="B569" s="42"/>
    </row>
    <row r="570" spans="2:2" x14ac:dyDescent="0.3">
      <c r="B570" s="43"/>
    </row>
    <row r="571" spans="2:2" x14ac:dyDescent="0.3">
      <c r="B571" s="43"/>
    </row>
    <row r="572" spans="2:2" x14ac:dyDescent="0.3">
      <c r="B572" s="42"/>
    </row>
    <row r="573" spans="2:2" x14ac:dyDescent="0.3">
      <c r="B573" s="43"/>
    </row>
    <row r="574" spans="2:2" x14ac:dyDescent="0.3">
      <c r="B574" s="43"/>
    </row>
    <row r="575" spans="2:2" x14ac:dyDescent="0.3">
      <c r="B575" s="42"/>
    </row>
    <row r="576" spans="2:2" x14ac:dyDescent="0.3">
      <c r="B576" s="43"/>
    </row>
    <row r="577" spans="2:2" x14ac:dyDescent="0.3">
      <c r="B577" s="42"/>
    </row>
    <row r="578" spans="2:2" x14ac:dyDescent="0.3">
      <c r="B578" s="42"/>
    </row>
    <row r="579" spans="2:2" x14ac:dyDescent="0.3">
      <c r="B579" s="42"/>
    </row>
    <row r="580" spans="2:2" x14ac:dyDescent="0.3">
      <c r="B580" s="43"/>
    </row>
    <row r="581" spans="2:2" x14ac:dyDescent="0.3">
      <c r="B581" s="42"/>
    </row>
    <row r="582" spans="2:2" x14ac:dyDescent="0.3">
      <c r="B582" s="42"/>
    </row>
    <row r="583" spans="2:2" x14ac:dyDescent="0.3">
      <c r="B583" s="42"/>
    </row>
    <row r="584" spans="2:2" x14ac:dyDescent="0.3">
      <c r="B584" s="43"/>
    </row>
    <row r="585" spans="2:2" x14ac:dyDescent="0.3">
      <c r="B585" s="43"/>
    </row>
    <row r="586" spans="2:2" x14ac:dyDescent="0.3">
      <c r="B586" s="42"/>
    </row>
    <row r="587" spans="2:2" x14ac:dyDescent="0.3">
      <c r="B587" s="43"/>
    </row>
    <row r="588" spans="2:2" x14ac:dyDescent="0.3">
      <c r="B588" s="43"/>
    </row>
    <row r="589" spans="2:2" x14ac:dyDescent="0.3">
      <c r="B589" s="43"/>
    </row>
    <row r="590" spans="2:2" x14ac:dyDescent="0.3">
      <c r="B590" s="42"/>
    </row>
    <row r="591" spans="2:2" x14ac:dyDescent="0.3">
      <c r="B591" s="43"/>
    </row>
    <row r="592" spans="2:2" x14ac:dyDescent="0.3">
      <c r="B592" s="42"/>
    </row>
    <row r="593" spans="2:2" x14ac:dyDescent="0.3">
      <c r="B593" s="43"/>
    </row>
    <row r="594" spans="2:2" x14ac:dyDescent="0.3">
      <c r="B594" s="42"/>
    </row>
    <row r="595" spans="2:2" x14ac:dyDescent="0.3">
      <c r="B595" s="43"/>
    </row>
    <row r="596" spans="2:2" x14ac:dyDescent="0.3">
      <c r="B596" s="43"/>
    </row>
    <row r="597" spans="2:2" x14ac:dyDescent="0.3">
      <c r="B597" s="43"/>
    </row>
    <row r="598" spans="2:2" x14ac:dyDescent="0.3">
      <c r="B598" s="43"/>
    </row>
    <row r="599" spans="2:2" x14ac:dyDescent="0.3">
      <c r="B599" s="43"/>
    </row>
    <row r="600" spans="2:2" x14ac:dyDescent="0.3">
      <c r="B600" s="43"/>
    </row>
    <row r="601" spans="2:2" x14ac:dyDescent="0.3">
      <c r="B601" s="43"/>
    </row>
    <row r="602" spans="2:2" x14ac:dyDescent="0.3">
      <c r="B602" s="43"/>
    </row>
    <row r="603" spans="2:2" x14ac:dyDescent="0.3">
      <c r="B603" s="43"/>
    </row>
    <row r="604" spans="2:2" x14ac:dyDescent="0.3">
      <c r="B604" s="42"/>
    </row>
    <row r="605" spans="2:2" x14ac:dyDescent="0.3">
      <c r="B605" s="42"/>
    </row>
    <row r="606" spans="2:2" x14ac:dyDescent="0.3">
      <c r="B606" s="42"/>
    </row>
    <row r="607" spans="2:2" x14ac:dyDescent="0.3">
      <c r="B607" s="42"/>
    </row>
    <row r="608" spans="2:2" x14ac:dyDescent="0.3">
      <c r="B608" s="42"/>
    </row>
    <row r="609" spans="2:2" x14ac:dyDescent="0.3">
      <c r="B609" s="43"/>
    </row>
    <row r="610" spans="2:2" x14ac:dyDescent="0.3">
      <c r="B610" s="43"/>
    </row>
    <row r="611" spans="2:2" x14ac:dyDescent="0.3">
      <c r="B611" s="42"/>
    </row>
    <row r="612" spans="2:2" x14ac:dyDescent="0.3">
      <c r="B612" s="42"/>
    </row>
    <row r="613" spans="2:2" x14ac:dyDescent="0.3">
      <c r="B613" s="42"/>
    </row>
    <row r="614" spans="2:2" x14ac:dyDescent="0.3">
      <c r="B614" s="43"/>
    </row>
    <row r="615" spans="2:2" x14ac:dyDescent="0.3">
      <c r="B615" s="43"/>
    </row>
    <row r="616" spans="2:2" x14ac:dyDescent="0.3">
      <c r="B616" s="42"/>
    </row>
    <row r="617" spans="2:2" x14ac:dyDescent="0.3">
      <c r="B617" s="42"/>
    </row>
    <row r="618" spans="2:2" x14ac:dyDescent="0.3">
      <c r="B618" s="43"/>
    </row>
    <row r="619" spans="2:2" x14ac:dyDescent="0.3">
      <c r="B619" s="42"/>
    </row>
    <row r="620" spans="2:2" x14ac:dyDescent="0.3">
      <c r="B620" s="42"/>
    </row>
    <row r="621" spans="2:2" x14ac:dyDescent="0.3">
      <c r="B621" s="43"/>
    </row>
    <row r="622" spans="2:2" x14ac:dyDescent="0.3">
      <c r="B622" s="42"/>
    </row>
    <row r="623" spans="2:2" x14ac:dyDescent="0.3">
      <c r="B623" s="42"/>
    </row>
    <row r="624" spans="2:2" x14ac:dyDescent="0.3">
      <c r="B624" s="43"/>
    </row>
    <row r="625" spans="2:2" x14ac:dyDescent="0.3">
      <c r="B625" s="43"/>
    </row>
    <row r="626" spans="2:2" x14ac:dyDescent="0.3">
      <c r="B626" s="42"/>
    </row>
    <row r="627" spans="2:2" x14ac:dyDescent="0.3">
      <c r="B627" s="43"/>
    </row>
    <row r="628" spans="2:2" x14ac:dyDescent="0.3">
      <c r="B628" s="42"/>
    </row>
    <row r="629" spans="2:2" x14ac:dyDescent="0.3">
      <c r="B629" s="43"/>
    </row>
    <row r="630" spans="2:2" x14ac:dyDescent="0.3">
      <c r="B630" s="42"/>
    </row>
    <row r="631" spans="2:2" x14ac:dyDescent="0.3">
      <c r="B631" s="43"/>
    </row>
    <row r="632" spans="2:2" x14ac:dyDescent="0.3">
      <c r="B632" s="42"/>
    </row>
    <row r="633" spans="2:2" x14ac:dyDescent="0.3">
      <c r="B633" s="43"/>
    </row>
    <row r="634" spans="2:2" x14ac:dyDescent="0.3">
      <c r="B634" s="42"/>
    </row>
    <row r="635" spans="2:2" x14ac:dyDescent="0.3">
      <c r="B635" s="43"/>
    </row>
    <row r="636" spans="2:2" x14ac:dyDescent="0.3">
      <c r="B636" s="42"/>
    </row>
    <row r="637" spans="2:2" x14ac:dyDescent="0.3">
      <c r="B637" s="43"/>
    </row>
    <row r="638" spans="2:2" x14ac:dyDescent="0.3">
      <c r="B638" s="43"/>
    </row>
    <row r="639" spans="2:2" x14ac:dyDescent="0.3">
      <c r="B639" s="42"/>
    </row>
    <row r="640" spans="2:2" x14ac:dyDescent="0.3">
      <c r="B640" s="43"/>
    </row>
    <row r="641" spans="2:2" x14ac:dyDescent="0.3">
      <c r="B641" s="43"/>
    </row>
    <row r="642" spans="2:2" x14ac:dyDescent="0.3">
      <c r="B642" s="42"/>
    </row>
    <row r="643" spans="2:2" x14ac:dyDescent="0.3">
      <c r="B643" s="43"/>
    </row>
    <row r="644" spans="2:2" x14ac:dyDescent="0.3">
      <c r="B644" s="42"/>
    </row>
    <row r="645" spans="2:2" x14ac:dyDescent="0.3">
      <c r="B645" s="42"/>
    </row>
    <row r="646" spans="2:2" x14ac:dyDescent="0.3">
      <c r="B646" s="43"/>
    </row>
    <row r="647" spans="2:2" x14ac:dyDescent="0.3">
      <c r="B647" s="42"/>
    </row>
    <row r="648" spans="2:2" x14ac:dyDescent="0.3">
      <c r="B648" s="43"/>
    </row>
    <row r="649" spans="2:2" x14ac:dyDescent="0.3">
      <c r="B649" s="42"/>
    </row>
    <row r="650" spans="2:2" x14ac:dyDescent="0.3">
      <c r="B650" s="42"/>
    </row>
    <row r="651" spans="2:2" x14ac:dyDescent="0.3">
      <c r="B651" s="43"/>
    </row>
    <row r="652" spans="2:2" x14ac:dyDescent="0.3">
      <c r="B652" s="42"/>
    </row>
    <row r="653" spans="2:2" x14ac:dyDescent="0.3">
      <c r="B653" s="43"/>
    </row>
    <row r="654" spans="2:2" x14ac:dyDescent="0.3">
      <c r="B654" s="42"/>
    </row>
    <row r="655" spans="2:2" x14ac:dyDescent="0.3">
      <c r="B655" s="42"/>
    </row>
    <row r="656" spans="2:2" x14ac:dyDescent="0.3">
      <c r="B656" s="43"/>
    </row>
    <row r="657" spans="2:2" x14ac:dyDescent="0.3">
      <c r="B657" s="43"/>
    </row>
    <row r="658" spans="2:2" x14ac:dyDescent="0.3">
      <c r="B658" s="42"/>
    </row>
    <row r="659" spans="2:2" x14ac:dyDescent="0.3">
      <c r="B659" s="43"/>
    </row>
    <row r="660" spans="2:2" x14ac:dyDescent="0.3">
      <c r="B660" s="43"/>
    </row>
    <row r="661" spans="2:2" x14ac:dyDescent="0.3">
      <c r="B661" s="43"/>
    </row>
    <row r="662" spans="2:2" x14ac:dyDescent="0.3">
      <c r="B662" s="42"/>
    </row>
    <row r="663" spans="2:2" x14ac:dyDescent="0.3">
      <c r="B663" s="43"/>
    </row>
    <row r="664" spans="2:2" x14ac:dyDescent="0.3">
      <c r="B664" s="42"/>
    </row>
    <row r="665" spans="2:2" x14ac:dyDescent="0.3">
      <c r="B665" s="43"/>
    </row>
    <row r="666" spans="2:2" x14ac:dyDescent="0.3">
      <c r="B666" s="42"/>
    </row>
    <row r="667" spans="2:2" x14ac:dyDescent="0.3">
      <c r="B667" s="42"/>
    </row>
    <row r="668" spans="2:2" x14ac:dyDescent="0.3">
      <c r="B668" s="42"/>
    </row>
    <row r="669" spans="2:2" x14ac:dyDescent="0.3">
      <c r="B669" s="43"/>
    </row>
    <row r="670" spans="2:2" x14ac:dyDescent="0.3">
      <c r="B670" s="42"/>
    </row>
    <row r="671" spans="2:2" x14ac:dyDescent="0.3">
      <c r="B671" s="43"/>
    </row>
    <row r="672" spans="2:2" x14ac:dyDescent="0.3">
      <c r="B672" s="42"/>
    </row>
    <row r="673" spans="2:2" x14ac:dyDescent="0.3">
      <c r="B673" s="43"/>
    </row>
    <row r="674" spans="2:2" x14ac:dyDescent="0.3">
      <c r="B674" s="43"/>
    </row>
    <row r="675" spans="2:2" x14ac:dyDescent="0.3">
      <c r="B675" s="42"/>
    </row>
    <row r="676" spans="2:2" x14ac:dyDescent="0.3">
      <c r="B676" s="43"/>
    </row>
    <row r="677" spans="2:2" x14ac:dyDescent="0.3">
      <c r="B677" s="42"/>
    </row>
    <row r="678" spans="2:2" x14ac:dyDescent="0.3">
      <c r="B678" s="43"/>
    </row>
    <row r="679" spans="2:2" x14ac:dyDescent="0.3">
      <c r="B679" s="43"/>
    </row>
    <row r="680" spans="2:2" x14ac:dyDescent="0.3">
      <c r="B680" s="42"/>
    </row>
    <row r="681" spans="2:2" x14ac:dyDescent="0.3">
      <c r="B681" s="43"/>
    </row>
    <row r="682" spans="2:2" x14ac:dyDescent="0.3">
      <c r="B682" s="42"/>
    </row>
    <row r="683" spans="2:2" x14ac:dyDescent="0.3">
      <c r="B683" s="43"/>
    </row>
    <row r="684" spans="2:2" x14ac:dyDescent="0.3">
      <c r="B684" s="42"/>
    </row>
    <row r="685" spans="2:2" x14ac:dyDescent="0.3">
      <c r="B685" s="43"/>
    </row>
    <row r="686" spans="2:2" x14ac:dyDescent="0.3">
      <c r="B686" s="42"/>
    </row>
    <row r="687" spans="2:2" x14ac:dyDescent="0.3">
      <c r="B687" s="43"/>
    </row>
    <row r="688" spans="2:2" x14ac:dyDescent="0.3">
      <c r="B688" s="43"/>
    </row>
    <row r="689" spans="2:2" x14ac:dyDescent="0.3">
      <c r="B689" s="43"/>
    </row>
    <row r="690" spans="2:2" x14ac:dyDescent="0.3">
      <c r="B690" s="42"/>
    </row>
    <row r="691" spans="2:2" x14ac:dyDescent="0.3">
      <c r="B691" s="43"/>
    </row>
    <row r="692" spans="2:2" x14ac:dyDescent="0.3">
      <c r="B692" s="42"/>
    </row>
    <row r="693" spans="2:2" x14ac:dyDescent="0.3">
      <c r="B693" s="43"/>
    </row>
    <row r="694" spans="2:2" x14ac:dyDescent="0.3">
      <c r="B694" s="43"/>
    </row>
    <row r="695" spans="2:2" x14ac:dyDescent="0.3">
      <c r="B695" s="42"/>
    </row>
    <row r="696" spans="2:2" x14ac:dyDescent="0.3">
      <c r="B696" s="43"/>
    </row>
    <row r="697" spans="2:2" x14ac:dyDescent="0.3">
      <c r="B697" s="43"/>
    </row>
    <row r="698" spans="2:2" x14ac:dyDescent="0.3">
      <c r="B698" s="42"/>
    </row>
    <row r="699" spans="2:2" x14ac:dyDescent="0.3">
      <c r="B699" s="43"/>
    </row>
    <row r="700" spans="2:2" x14ac:dyDescent="0.3">
      <c r="B700" s="42"/>
    </row>
    <row r="701" spans="2:2" x14ac:dyDescent="0.3">
      <c r="B701" s="43"/>
    </row>
    <row r="702" spans="2:2" x14ac:dyDescent="0.3">
      <c r="B702" s="42"/>
    </row>
    <row r="703" spans="2:2" x14ac:dyDescent="0.3">
      <c r="B703" s="43"/>
    </row>
    <row r="704" spans="2:2" x14ac:dyDescent="0.3">
      <c r="B704" s="43"/>
    </row>
    <row r="705" spans="2:2" x14ac:dyDescent="0.3">
      <c r="B705" s="43"/>
    </row>
    <row r="706" spans="2:2" x14ac:dyDescent="0.3">
      <c r="B706" s="42"/>
    </row>
    <row r="707" spans="2:2" x14ac:dyDescent="0.3">
      <c r="B707" s="42"/>
    </row>
    <row r="708" spans="2:2" x14ac:dyDescent="0.3">
      <c r="B708" s="43"/>
    </row>
    <row r="709" spans="2:2" x14ac:dyDescent="0.3">
      <c r="B709" s="43"/>
    </row>
    <row r="710" spans="2:2" x14ac:dyDescent="0.3">
      <c r="B710" s="43"/>
    </row>
    <row r="711" spans="2:2" x14ac:dyDescent="0.3">
      <c r="B711" s="42"/>
    </row>
    <row r="712" spans="2:2" x14ac:dyDescent="0.3">
      <c r="B712" s="43"/>
    </row>
    <row r="713" spans="2:2" x14ac:dyDescent="0.3">
      <c r="B713" s="42"/>
    </row>
    <row r="714" spans="2:2" x14ac:dyDescent="0.3">
      <c r="B714" s="43"/>
    </row>
    <row r="715" spans="2:2" x14ac:dyDescent="0.3">
      <c r="B715" s="43"/>
    </row>
    <row r="716" spans="2:2" x14ac:dyDescent="0.3">
      <c r="B716" s="42"/>
    </row>
    <row r="717" spans="2:2" x14ac:dyDescent="0.3">
      <c r="B717" s="42"/>
    </row>
    <row r="718" spans="2:2" x14ac:dyDescent="0.3">
      <c r="B718" s="43"/>
    </row>
    <row r="719" spans="2:2" x14ac:dyDescent="0.3">
      <c r="B719" s="42"/>
    </row>
    <row r="720" spans="2:2" x14ac:dyDescent="0.3">
      <c r="B720" s="43"/>
    </row>
    <row r="721" spans="2:2" x14ac:dyDescent="0.3">
      <c r="B721" s="42"/>
    </row>
    <row r="722" spans="2:2" x14ac:dyDescent="0.3">
      <c r="B722" s="42"/>
    </row>
    <row r="723" spans="2:2" x14ac:dyDescent="0.3">
      <c r="B723" s="43"/>
    </row>
    <row r="724" spans="2:2" x14ac:dyDescent="0.3">
      <c r="B724" s="42"/>
    </row>
    <row r="725" spans="2:2" x14ac:dyDescent="0.3">
      <c r="B725" s="42"/>
    </row>
    <row r="726" spans="2:2" x14ac:dyDescent="0.3">
      <c r="B726" s="43"/>
    </row>
    <row r="727" spans="2:2" x14ac:dyDescent="0.3">
      <c r="B727" s="42"/>
    </row>
    <row r="728" spans="2:2" x14ac:dyDescent="0.3">
      <c r="B728" s="43"/>
    </row>
    <row r="729" spans="2:2" x14ac:dyDescent="0.3">
      <c r="B729" s="43"/>
    </row>
    <row r="730" spans="2:2" x14ac:dyDescent="0.3">
      <c r="B730" s="43"/>
    </row>
    <row r="731" spans="2:2" x14ac:dyDescent="0.3">
      <c r="B731" s="42"/>
    </row>
    <row r="732" spans="2:2" x14ac:dyDescent="0.3">
      <c r="B732" s="43"/>
    </row>
    <row r="733" spans="2:2" x14ac:dyDescent="0.3">
      <c r="B733" s="42"/>
    </row>
    <row r="734" spans="2:2" x14ac:dyDescent="0.3">
      <c r="B734" s="42"/>
    </row>
    <row r="735" spans="2:2" x14ac:dyDescent="0.3">
      <c r="B735" s="43"/>
    </row>
    <row r="736" spans="2:2" x14ac:dyDescent="0.3">
      <c r="B736" s="43"/>
    </row>
    <row r="737" spans="2:2" x14ac:dyDescent="0.3">
      <c r="B737" s="43"/>
    </row>
    <row r="738" spans="2:2" x14ac:dyDescent="0.3">
      <c r="B738" s="42"/>
    </row>
    <row r="739" spans="2:2" x14ac:dyDescent="0.3">
      <c r="B739" s="43"/>
    </row>
    <row r="740" spans="2:2" x14ac:dyDescent="0.3">
      <c r="B740" s="43"/>
    </row>
    <row r="741" spans="2:2" x14ac:dyDescent="0.3">
      <c r="B741" s="42"/>
    </row>
    <row r="742" spans="2:2" x14ac:dyDescent="0.3">
      <c r="B742" s="43"/>
    </row>
    <row r="743" spans="2:2" x14ac:dyDescent="0.3">
      <c r="B743" s="43"/>
    </row>
    <row r="744" spans="2:2" x14ac:dyDescent="0.3">
      <c r="B744" s="43"/>
    </row>
    <row r="745" spans="2:2" x14ac:dyDescent="0.3">
      <c r="B745" s="42"/>
    </row>
    <row r="746" spans="2:2" x14ac:dyDescent="0.3">
      <c r="B746" s="43"/>
    </row>
    <row r="747" spans="2:2" x14ac:dyDescent="0.3">
      <c r="B747" s="42"/>
    </row>
    <row r="748" spans="2:2" x14ac:dyDescent="0.3">
      <c r="B748" s="43"/>
    </row>
    <row r="749" spans="2:2" x14ac:dyDescent="0.3">
      <c r="B749" s="42"/>
    </row>
    <row r="750" spans="2:2" x14ac:dyDescent="0.3">
      <c r="B750" s="43"/>
    </row>
    <row r="751" spans="2:2" x14ac:dyDescent="0.3">
      <c r="B751" s="42"/>
    </row>
    <row r="752" spans="2:2" x14ac:dyDescent="0.3">
      <c r="B752" s="43"/>
    </row>
    <row r="753" spans="2:2" x14ac:dyDescent="0.3">
      <c r="B753" s="42"/>
    </row>
    <row r="754" spans="2:2" x14ac:dyDescent="0.3">
      <c r="B754" s="43"/>
    </row>
    <row r="755" spans="2:2" x14ac:dyDescent="0.3">
      <c r="B755" s="42"/>
    </row>
    <row r="756" spans="2:2" x14ac:dyDescent="0.3">
      <c r="B756" s="43"/>
    </row>
    <row r="757" spans="2:2" x14ac:dyDescent="0.3">
      <c r="B757" s="42"/>
    </row>
    <row r="758" spans="2:2" x14ac:dyDescent="0.3">
      <c r="B758" s="43"/>
    </row>
    <row r="759" spans="2:2" x14ac:dyDescent="0.3">
      <c r="B759" s="42"/>
    </row>
    <row r="760" spans="2:2" x14ac:dyDescent="0.3">
      <c r="B760" s="43"/>
    </row>
    <row r="761" spans="2:2" x14ac:dyDescent="0.3">
      <c r="B761" s="4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2107-77EC-49F7-8A84-80F12F38D66E}">
  <dimension ref="A1:N381"/>
  <sheetViews>
    <sheetView tabSelected="1" zoomScale="90" workbookViewId="0">
      <selection activeCell="N30" sqref="N30"/>
    </sheetView>
  </sheetViews>
  <sheetFormatPr defaultRowHeight="14.4" x14ac:dyDescent="0.3"/>
  <cols>
    <col min="1" max="2" width="12.21875" bestFit="1" customWidth="1"/>
    <col min="3" max="3" width="7.88671875" bestFit="1" customWidth="1"/>
    <col min="4" max="4" width="12.21875" bestFit="1" customWidth="1"/>
    <col min="8" max="8" width="17.6640625" bestFit="1" customWidth="1"/>
    <col min="9" max="9" width="12" bestFit="1" customWidth="1"/>
    <col min="10" max="10" width="11" bestFit="1" customWidth="1"/>
    <col min="11" max="14" width="12" bestFit="1" customWidth="1"/>
  </cols>
  <sheetData>
    <row r="1" spans="1:14" x14ac:dyDescent="0.3">
      <c r="A1" s="41" t="s">
        <v>1379</v>
      </c>
      <c r="B1" s="41" t="s">
        <v>1377</v>
      </c>
      <c r="C1" s="3" t="s">
        <v>1300</v>
      </c>
      <c r="D1" s="3" t="s">
        <v>1378</v>
      </c>
    </row>
    <row r="2" spans="1:14" x14ac:dyDescent="0.3">
      <c r="A2" s="18" t="s">
        <v>1302</v>
      </c>
      <c r="B2" s="42">
        <v>1</v>
      </c>
      <c r="C2" s="40">
        <v>0</v>
      </c>
      <c r="D2" s="40">
        <v>26100000</v>
      </c>
    </row>
    <row r="3" spans="1:14" x14ac:dyDescent="0.3">
      <c r="A3" s="18" t="s">
        <v>1302</v>
      </c>
      <c r="B3" s="42">
        <v>1</v>
      </c>
      <c r="C3" s="40">
        <v>18950</v>
      </c>
      <c r="D3" s="40">
        <v>24500000</v>
      </c>
    </row>
    <row r="4" spans="1:14" x14ac:dyDescent="0.3">
      <c r="A4" s="43" t="s">
        <v>1302</v>
      </c>
      <c r="B4" s="43">
        <v>1</v>
      </c>
      <c r="C4" s="40">
        <v>3168</v>
      </c>
      <c r="D4" s="40">
        <v>15000000</v>
      </c>
      <c r="H4" t="s">
        <v>1395</v>
      </c>
    </row>
    <row r="5" spans="1:14" x14ac:dyDescent="0.3">
      <c r="A5" s="18" t="s">
        <v>1302</v>
      </c>
      <c r="B5" s="42">
        <v>1</v>
      </c>
      <c r="C5" s="40">
        <v>4790</v>
      </c>
      <c r="D5" s="40">
        <v>14500000</v>
      </c>
    </row>
    <row r="6" spans="1:14" ht="15" thickBot="1" x14ac:dyDescent="0.35">
      <c r="A6" s="18" t="s">
        <v>1302</v>
      </c>
      <c r="B6" s="42">
        <v>1</v>
      </c>
      <c r="C6" s="40">
        <v>283775</v>
      </c>
      <c r="D6" s="40">
        <v>57600000</v>
      </c>
      <c r="H6" t="s">
        <v>1396</v>
      </c>
    </row>
    <row r="7" spans="1:14" x14ac:dyDescent="0.3">
      <c r="A7" s="43" t="s">
        <v>1302</v>
      </c>
      <c r="B7" s="43">
        <v>1</v>
      </c>
      <c r="C7" s="40">
        <v>441</v>
      </c>
      <c r="D7" s="40">
        <v>16900000</v>
      </c>
      <c r="H7" s="46" t="s">
        <v>1397</v>
      </c>
      <c r="I7" s="46" t="s">
        <v>1321</v>
      </c>
      <c r="J7" s="46" t="s">
        <v>1320</v>
      </c>
      <c r="K7" s="46" t="s">
        <v>1398</v>
      </c>
      <c r="L7" s="46" t="s">
        <v>1381</v>
      </c>
    </row>
    <row r="8" spans="1:14" x14ac:dyDescent="0.3">
      <c r="A8" s="43" t="s">
        <v>1302</v>
      </c>
      <c r="B8" s="43">
        <v>1</v>
      </c>
      <c r="C8" s="40">
        <v>641</v>
      </c>
      <c r="D8" s="40">
        <v>30500000</v>
      </c>
      <c r="H8" s="44" t="s">
        <v>1409</v>
      </c>
      <c r="I8" s="44">
        <v>379</v>
      </c>
      <c r="J8" s="44">
        <v>7302916</v>
      </c>
      <c r="K8" s="44">
        <v>19268.907651715039</v>
      </c>
      <c r="L8" s="44">
        <v>2576551160.5919785</v>
      </c>
    </row>
    <row r="9" spans="1:14" ht="15" thickBot="1" x14ac:dyDescent="0.35">
      <c r="A9" s="43" t="s">
        <v>1302</v>
      </c>
      <c r="B9" s="43">
        <v>1</v>
      </c>
      <c r="C9" s="40">
        <v>301308</v>
      </c>
      <c r="D9" s="40">
        <v>37000000</v>
      </c>
      <c r="H9" s="45" t="s">
        <v>1410</v>
      </c>
      <c r="I9" s="45">
        <v>379</v>
      </c>
      <c r="J9" s="45">
        <v>8818700000</v>
      </c>
      <c r="K9" s="45">
        <v>23268337.730870713</v>
      </c>
      <c r="L9" s="45">
        <v>386465185324789.56</v>
      </c>
    </row>
    <row r="10" spans="1:14" x14ac:dyDescent="0.3">
      <c r="A10" s="18" t="s">
        <v>1302</v>
      </c>
      <c r="B10" s="42">
        <v>1</v>
      </c>
      <c r="C10" s="40">
        <v>193890</v>
      </c>
      <c r="D10" s="40">
        <v>44200000</v>
      </c>
    </row>
    <row r="11" spans="1:14" x14ac:dyDescent="0.3">
      <c r="A11" s="43" t="s">
        <v>1302</v>
      </c>
      <c r="B11" s="43">
        <v>1</v>
      </c>
      <c r="C11" s="40">
        <v>209520</v>
      </c>
      <c r="D11" s="40">
        <v>15100000</v>
      </c>
    </row>
    <row r="12" spans="1:14" ht="15" thickBot="1" x14ac:dyDescent="0.35">
      <c r="A12" s="18" t="s">
        <v>1302</v>
      </c>
      <c r="B12" s="42">
        <v>1</v>
      </c>
      <c r="C12" s="40">
        <v>5436</v>
      </c>
      <c r="D12" s="40">
        <v>28400000</v>
      </c>
      <c r="H12" t="s">
        <v>1399</v>
      </c>
    </row>
    <row r="13" spans="1:14" x14ac:dyDescent="0.3">
      <c r="A13" s="43" t="s">
        <v>1302</v>
      </c>
      <c r="B13" s="43">
        <v>1</v>
      </c>
      <c r="C13" s="40">
        <v>2197</v>
      </c>
      <c r="D13" s="40">
        <v>30400000</v>
      </c>
      <c r="H13" s="46" t="s">
        <v>1400</v>
      </c>
      <c r="I13" s="46" t="s">
        <v>1401</v>
      </c>
      <c r="J13" s="46" t="s">
        <v>1384</v>
      </c>
      <c r="K13" s="46" t="s">
        <v>1402</v>
      </c>
      <c r="L13" s="46" t="s">
        <v>1403</v>
      </c>
      <c r="M13" s="46" t="s">
        <v>1404</v>
      </c>
      <c r="N13" s="46" t="s">
        <v>1405</v>
      </c>
    </row>
    <row r="14" spans="1:14" x14ac:dyDescent="0.3">
      <c r="A14" s="18" t="s">
        <v>1302</v>
      </c>
      <c r="B14" s="42">
        <v>1</v>
      </c>
      <c r="C14" s="40">
        <v>8</v>
      </c>
      <c r="D14" s="40">
        <v>43700000</v>
      </c>
      <c r="H14" s="44" t="s">
        <v>1406</v>
      </c>
      <c r="I14" s="44">
        <v>1.0242838861731341E+17</v>
      </c>
      <c r="J14" s="44">
        <v>1</v>
      </c>
      <c r="K14" s="44">
        <v>1.0242838861731341E+17</v>
      </c>
      <c r="L14" s="44">
        <v>530.07468524731053</v>
      </c>
      <c r="M14" s="44">
        <v>2.708979538805263E-89</v>
      </c>
      <c r="N14" s="44">
        <v>3.8537885194840067</v>
      </c>
    </row>
    <row r="15" spans="1:14" x14ac:dyDescent="0.3">
      <c r="A15" s="43" t="s">
        <v>1302</v>
      </c>
      <c r="B15" s="43">
        <v>1</v>
      </c>
      <c r="C15" s="40">
        <v>169304</v>
      </c>
      <c r="D15" s="40">
        <v>12900000</v>
      </c>
      <c r="H15" s="44" t="s">
        <v>1407</v>
      </c>
      <c r="I15" s="44">
        <v>1.4608481398910915E+17</v>
      </c>
      <c r="J15" s="44">
        <v>756</v>
      </c>
      <c r="K15" s="44">
        <v>193233880937975.06</v>
      </c>
      <c r="L15" s="44"/>
      <c r="M15" s="44"/>
      <c r="N15" s="44"/>
    </row>
    <row r="16" spans="1:14" x14ac:dyDescent="0.3">
      <c r="A16" s="18" t="s">
        <v>1302</v>
      </c>
      <c r="B16" s="42">
        <v>1</v>
      </c>
      <c r="C16" s="40">
        <v>287</v>
      </c>
      <c r="D16" s="40">
        <v>13100000</v>
      </c>
      <c r="H16" s="44"/>
      <c r="I16" s="44"/>
      <c r="J16" s="44"/>
      <c r="K16" s="44"/>
      <c r="L16" s="44"/>
      <c r="M16" s="44"/>
      <c r="N16" s="44"/>
    </row>
    <row r="17" spans="1:14" ht="15" thickBot="1" x14ac:dyDescent="0.35">
      <c r="A17" s="18" t="s">
        <v>1302</v>
      </c>
      <c r="B17" s="42">
        <v>1</v>
      </c>
      <c r="C17" s="40">
        <v>118448</v>
      </c>
      <c r="D17" s="40">
        <v>17400000</v>
      </c>
      <c r="H17" s="45" t="s">
        <v>1408</v>
      </c>
      <c r="I17" s="45">
        <v>2.4851320260642256E+17</v>
      </c>
      <c r="J17" s="45">
        <v>757</v>
      </c>
      <c r="K17" s="45"/>
      <c r="L17" s="45"/>
      <c r="M17" s="45"/>
      <c r="N17" s="45"/>
    </row>
    <row r="18" spans="1:14" x14ac:dyDescent="0.3">
      <c r="A18" s="43" t="s">
        <v>1302</v>
      </c>
      <c r="B18" s="43">
        <v>1</v>
      </c>
      <c r="C18" s="40">
        <v>591</v>
      </c>
      <c r="D18" s="40">
        <v>13500000</v>
      </c>
    </row>
    <row r="19" spans="1:14" x14ac:dyDescent="0.3">
      <c r="A19" s="18" t="s">
        <v>1302</v>
      </c>
      <c r="B19" s="42">
        <v>1</v>
      </c>
      <c r="C19" s="40">
        <v>542</v>
      </c>
      <c r="D19" s="40">
        <v>15800000</v>
      </c>
    </row>
    <row r="20" spans="1:14" x14ac:dyDescent="0.3">
      <c r="A20" s="43" t="s">
        <v>1302</v>
      </c>
      <c r="B20" s="43">
        <v>1</v>
      </c>
      <c r="C20" s="40">
        <v>109871</v>
      </c>
      <c r="D20" s="40">
        <v>43200000</v>
      </c>
    </row>
    <row r="21" spans="1:14" x14ac:dyDescent="0.3">
      <c r="A21" s="18" t="s">
        <v>1302</v>
      </c>
      <c r="B21" s="42">
        <v>1</v>
      </c>
      <c r="C21" s="40">
        <v>151</v>
      </c>
      <c r="D21" s="40">
        <v>29800000</v>
      </c>
    </row>
    <row r="22" spans="1:14" x14ac:dyDescent="0.3">
      <c r="A22" s="18" t="s">
        <v>1302</v>
      </c>
      <c r="B22" s="42">
        <v>1</v>
      </c>
      <c r="C22" s="40">
        <v>669</v>
      </c>
      <c r="D22" s="40">
        <v>21300000</v>
      </c>
    </row>
    <row r="23" spans="1:14" x14ac:dyDescent="0.3">
      <c r="A23" s="43" t="s">
        <v>1302</v>
      </c>
      <c r="B23" s="43">
        <v>1</v>
      </c>
      <c r="C23" s="40">
        <v>875</v>
      </c>
      <c r="D23" s="40">
        <v>20300000</v>
      </c>
    </row>
    <row r="24" spans="1:14" x14ac:dyDescent="0.3">
      <c r="A24" s="43" t="s">
        <v>1302</v>
      </c>
      <c r="B24" s="43">
        <v>1</v>
      </c>
      <c r="C24" s="40">
        <v>2325</v>
      </c>
      <c r="D24" s="40">
        <v>21100000</v>
      </c>
    </row>
    <row r="25" spans="1:14" x14ac:dyDescent="0.3">
      <c r="A25" s="18" t="s">
        <v>1302</v>
      </c>
      <c r="B25" s="42">
        <v>1</v>
      </c>
      <c r="C25" s="40">
        <v>1640</v>
      </c>
      <c r="D25" s="40">
        <v>13300000</v>
      </c>
    </row>
    <row r="26" spans="1:14" x14ac:dyDescent="0.3">
      <c r="A26" s="18" t="s">
        <v>1302</v>
      </c>
      <c r="B26" s="42">
        <v>1</v>
      </c>
      <c r="C26" s="40">
        <v>2281</v>
      </c>
      <c r="D26" s="40">
        <v>75600000</v>
      </c>
    </row>
    <row r="27" spans="1:14" x14ac:dyDescent="0.3">
      <c r="A27" s="43" t="s">
        <v>1302</v>
      </c>
      <c r="B27" s="43">
        <v>1</v>
      </c>
      <c r="C27" s="40">
        <v>190</v>
      </c>
      <c r="D27" s="40">
        <v>26300000</v>
      </c>
    </row>
    <row r="28" spans="1:14" x14ac:dyDescent="0.3">
      <c r="A28" s="18" t="s">
        <v>1302</v>
      </c>
      <c r="B28" s="42">
        <v>1</v>
      </c>
      <c r="C28" s="40">
        <v>21243</v>
      </c>
      <c r="D28" s="40">
        <v>16500000</v>
      </c>
    </row>
    <row r="29" spans="1:14" x14ac:dyDescent="0.3">
      <c r="A29" s="43" t="s">
        <v>1302</v>
      </c>
      <c r="B29" s="43">
        <v>1</v>
      </c>
      <c r="C29" s="40">
        <v>729</v>
      </c>
      <c r="D29" s="40">
        <v>12400000</v>
      </c>
    </row>
    <row r="30" spans="1:14" x14ac:dyDescent="0.3">
      <c r="A30" s="43" t="s">
        <v>1302</v>
      </c>
      <c r="B30" s="43">
        <v>1</v>
      </c>
      <c r="C30" s="40">
        <v>192</v>
      </c>
      <c r="D30" s="40">
        <v>13200000</v>
      </c>
    </row>
    <row r="31" spans="1:14" x14ac:dyDescent="0.3">
      <c r="A31" s="43" t="s">
        <v>1302</v>
      </c>
      <c r="B31" s="43">
        <v>1</v>
      </c>
      <c r="C31" s="40">
        <v>193</v>
      </c>
      <c r="D31" s="40">
        <v>12900000</v>
      </c>
    </row>
    <row r="32" spans="1:14" x14ac:dyDescent="0.3">
      <c r="A32" s="43" t="s">
        <v>1302</v>
      </c>
      <c r="B32" s="43">
        <v>1</v>
      </c>
      <c r="C32" s="40">
        <v>1540</v>
      </c>
      <c r="D32" s="40">
        <v>14100000</v>
      </c>
    </row>
    <row r="33" spans="1:4" x14ac:dyDescent="0.3">
      <c r="A33" s="43" t="s">
        <v>1302</v>
      </c>
      <c r="B33" s="43">
        <v>1</v>
      </c>
      <c r="C33" s="40">
        <v>776</v>
      </c>
      <c r="D33" s="40">
        <v>15100000</v>
      </c>
    </row>
    <row r="34" spans="1:4" x14ac:dyDescent="0.3">
      <c r="A34" s="18" t="s">
        <v>1302</v>
      </c>
      <c r="B34" s="42">
        <v>1</v>
      </c>
      <c r="C34" s="40">
        <v>543</v>
      </c>
      <c r="D34" s="40">
        <v>89800000</v>
      </c>
    </row>
    <row r="35" spans="1:4" x14ac:dyDescent="0.3">
      <c r="A35" s="43" t="s">
        <v>1302</v>
      </c>
      <c r="B35" s="43">
        <v>1</v>
      </c>
      <c r="C35" s="40">
        <v>0</v>
      </c>
      <c r="D35" s="40">
        <v>13400000</v>
      </c>
    </row>
    <row r="36" spans="1:4" x14ac:dyDescent="0.3">
      <c r="A36" s="43" t="s">
        <v>1302</v>
      </c>
      <c r="B36" s="43">
        <v>1</v>
      </c>
      <c r="C36" s="40">
        <v>1444</v>
      </c>
      <c r="D36" s="40">
        <v>16300000</v>
      </c>
    </row>
    <row r="37" spans="1:4" x14ac:dyDescent="0.3">
      <c r="A37" s="18" t="s">
        <v>1302</v>
      </c>
      <c r="B37" s="42">
        <v>1</v>
      </c>
      <c r="C37" s="40">
        <v>618</v>
      </c>
      <c r="D37" s="40">
        <v>14500000</v>
      </c>
    </row>
    <row r="38" spans="1:4" x14ac:dyDescent="0.3">
      <c r="A38" s="43" t="s">
        <v>1302</v>
      </c>
      <c r="B38" s="43">
        <v>1</v>
      </c>
      <c r="C38" s="40">
        <v>319</v>
      </c>
      <c r="D38" s="40">
        <v>13500000</v>
      </c>
    </row>
    <row r="39" spans="1:4" x14ac:dyDescent="0.3">
      <c r="A39" s="43" t="s">
        <v>1302</v>
      </c>
      <c r="B39" s="43">
        <v>1</v>
      </c>
      <c r="C39" s="40">
        <v>29</v>
      </c>
      <c r="D39" s="40">
        <v>13000000</v>
      </c>
    </row>
    <row r="40" spans="1:4" x14ac:dyDescent="0.3">
      <c r="A40" s="18" t="s">
        <v>1302</v>
      </c>
      <c r="B40" s="42">
        <v>1</v>
      </c>
      <c r="C40" s="40">
        <v>186</v>
      </c>
      <c r="D40" s="40">
        <v>39200000</v>
      </c>
    </row>
    <row r="41" spans="1:4" x14ac:dyDescent="0.3">
      <c r="A41" s="18" t="s">
        <v>1302</v>
      </c>
      <c r="B41" s="42">
        <v>1</v>
      </c>
      <c r="C41" s="40">
        <v>96214</v>
      </c>
      <c r="D41" s="40">
        <v>33500000</v>
      </c>
    </row>
    <row r="42" spans="1:4" x14ac:dyDescent="0.3">
      <c r="A42" s="18" t="s">
        <v>1302</v>
      </c>
      <c r="B42" s="42">
        <v>1</v>
      </c>
      <c r="C42" s="40">
        <v>56203</v>
      </c>
      <c r="D42" s="40">
        <v>16400000</v>
      </c>
    </row>
    <row r="43" spans="1:4" x14ac:dyDescent="0.3">
      <c r="A43" s="18" t="s">
        <v>1302</v>
      </c>
      <c r="B43" s="42">
        <v>1</v>
      </c>
      <c r="C43" s="40">
        <v>2717</v>
      </c>
      <c r="D43" s="40">
        <v>15100000</v>
      </c>
    </row>
    <row r="44" spans="1:4" x14ac:dyDescent="0.3">
      <c r="A44" s="43" t="s">
        <v>1302</v>
      </c>
      <c r="B44" s="43">
        <v>1</v>
      </c>
      <c r="C44" s="40">
        <v>899</v>
      </c>
      <c r="D44" s="40">
        <v>15000000</v>
      </c>
    </row>
    <row r="45" spans="1:4" x14ac:dyDescent="0.3">
      <c r="A45" s="43" t="s">
        <v>1302</v>
      </c>
      <c r="B45" s="43">
        <v>1</v>
      </c>
      <c r="C45" s="40">
        <v>633</v>
      </c>
      <c r="D45" s="40">
        <v>65900000</v>
      </c>
    </row>
    <row r="46" spans="1:4" x14ac:dyDescent="0.3">
      <c r="A46" s="18" t="s">
        <v>1302</v>
      </c>
      <c r="B46" s="42">
        <v>1</v>
      </c>
      <c r="C46" s="40">
        <v>117</v>
      </c>
      <c r="D46" s="40">
        <v>12500000</v>
      </c>
    </row>
    <row r="47" spans="1:4" x14ac:dyDescent="0.3">
      <c r="A47" s="43" t="s">
        <v>1302</v>
      </c>
      <c r="B47" s="43">
        <v>1</v>
      </c>
      <c r="C47" s="40">
        <v>23490</v>
      </c>
      <c r="D47" s="40">
        <v>14700000</v>
      </c>
    </row>
    <row r="48" spans="1:4" x14ac:dyDescent="0.3">
      <c r="A48" s="18" t="s">
        <v>1302</v>
      </c>
      <c r="B48" s="42">
        <v>1</v>
      </c>
      <c r="C48" s="40">
        <v>112915</v>
      </c>
      <c r="D48" s="40">
        <v>64600000</v>
      </c>
    </row>
    <row r="49" spans="1:4" x14ac:dyDescent="0.3">
      <c r="A49" s="18" t="s">
        <v>1302</v>
      </c>
      <c r="B49" s="42">
        <v>1</v>
      </c>
      <c r="C49" s="40">
        <v>393</v>
      </c>
      <c r="D49" s="40">
        <v>13200000</v>
      </c>
    </row>
    <row r="50" spans="1:4" x14ac:dyDescent="0.3">
      <c r="A50" s="18" t="s">
        <v>1302</v>
      </c>
      <c r="B50" s="42">
        <v>1</v>
      </c>
      <c r="C50" s="40">
        <v>1259</v>
      </c>
      <c r="D50" s="40">
        <v>27300000</v>
      </c>
    </row>
    <row r="51" spans="1:4" x14ac:dyDescent="0.3">
      <c r="A51" s="18" t="s">
        <v>1302</v>
      </c>
      <c r="B51" s="42">
        <v>1</v>
      </c>
      <c r="C51" s="40">
        <v>338</v>
      </c>
      <c r="D51" s="40">
        <v>33400000</v>
      </c>
    </row>
    <row r="52" spans="1:4" x14ac:dyDescent="0.3">
      <c r="A52" s="18" t="s">
        <v>1302</v>
      </c>
      <c r="B52" s="42">
        <v>1</v>
      </c>
      <c r="C52" s="40">
        <v>3810</v>
      </c>
      <c r="D52" s="40">
        <v>15100000</v>
      </c>
    </row>
    <row r="53" spans="1:4" x14ac:dyDescent="0.3">
      <c r="A53" s="18" t="s">
        <v>1302</v>
      </c>
      <c r="B53" s="42">
        <v>1</v>
      </c>
      <c r="C53" s="40">
        <v>20225</v>
      </c>
      <c r="D53" s="40">
        <v>21300000</v>
      </c>
    </row>
    <row r="54" spans="1:4" x14ac:dyDescent="0.3">
      <c r="A54" s="43" t="s">
        <v>1302</v>
      </c>
      <c r="B54" s="43">
        <v>1</v>
      </c>
      <c r="C54" s="40">
        <v>633</v>
      </c>
      <c r="D54" s="40">
        <v>15800000</v>
      </c>
    </row>
    <row r="55" spans="1:4" x14ac:dyDescent="0.3">
      <c r="A55" s="43" t="s">
        <v>1302</v>
      </c>
      <c r="B55" s="43">
        <v>1</v>
      </c>
      <c r="C55" s="40">
        <v>15</v>
      </c>
      <c r="D55" s="40">
        <v>20600000</v>
      </c>
    </row>
    <row r="56" spans="1:4" x14ac:dyDescent="0.3">
      <c r="A56" s="18" t="s">
        <v>1302</v>
      </c>
      <c r="B56" s="42">
        <v>1</v>
      </c>
      <c r="C56" s="40">
        <v>218</v>
      </c>
      <c r="D56" s="40">
        <v>12400000</v>
      </c>
    </row>
    <row r="57" spans="1:4" x14ac:dyDescent="0.3">
      <c r="A57" s="43" t="s">
        <v>1302</v>
      </c>
      <c r="B57" s="43">
        <v>1</v>
      </c>
      <c r="C57" s="40">
        <v>4750</v>
      </c>
      <c r="D57" s="40">
        <v>19400000</v>
      </c>
    </row>
    <row r="58" spans="1:4" x14ac:dyDescent="0.3">
      <c r="A58" s="43" t="s">
        <v>1302</v>
      </c>
      <c r="B58" s="43">
        <v>1</v>
      </c>
      <c r="C58" s="40">
        <v>79</v>
      </c>
      <c r="D58" s="40">
        <v>15700000</v>
      </c>
    </row>
    <row r="59" spans="1:4" x14ac:dyDescent="0.3">
      <c r="A59" s="18" t="s">
        <v>1302</v>
      </c>
      <c r="B59" s="42">
        <v>1</v>
      </c>
      <c r="C59" s="40">
        <v>896</v>
      </c>
      <c r="D59" s="40">
        <v>20900000</v>
      </c>
    </row>
    <row r="60" spans="1:4" x14ac:dyDescent="0.3">
      <c r="A60" s="18" t="s">
        <v>1302</v>
      </c>
      <c r="B60" s="42">
        <v>1</v>
      </c>
      <c r="C60" s="40">
        <v>889</v>
      </c>
      <c r="D60" s="40">
        <v>27100000</v>
      </c>
    </row>
    <row r="61" spans="1:4" x14ac:dyDescent="0.3">
      <c r="A61" s="18" t="s">
        <v>1302</v>
      </c>
      <c r="B61" s="42">
        <v>1</v>
      </c>
      <c r="C61" s="40">
        <v>2805</v>
      </c>
      <c r="D61" s="40">
        <v>16100000</v>
      </c>
    </row>
    <row r="62" spans="1:4" x14ac:dyDescent="0.3">
      <c r="A62" s="43" t="s">
        <v>1302</v>
      </c>
      <c r="B62" s="43">
        <v>1</v>
      </c>
      <c r="C62" s="40">
        <v>3733</v>
      </c>
      <c r="D62" s="40">
        <v>15100000</v>
      </c>
    </row>
    <row r="63" spans="1:4" x14ac:dyDescent="0.3">
      <c r="A63" s="18" t="s">
        <v>1302</v>
      </c>
      <c r="B63" s="42">
        <v>1</v>
      </c>
      <c r="C63" s="40">
        <v>239</v>
      </c>
      <c r="D63" s="40">
        <v>20400000</v>
      </c>
    </row>
    <row r="64" spans="1:4" x14ac:dyDescent="0.3">
      <c r="A64" s="43" t="s">
        <v>1302</v>
      </c>
      <c r="B64" s="43">
        <v>1</v>
      </c>
      <c r="C64" s="40">
        <v>9652</v>
      </c>
      <c r="D64" s="40">
        <v>14000000</v>
      </c>
    </row>
    <row r="65" spans="1:4" x14ac:dyDescent="0.3">
      <c r="A65" s="18" t="s">
        <v>1302</v>
      </c>
      <c r="B65" s="42">
        <v>1</v>
      </c>
      <c r="C65" s="40">
        <v>125974</v>
      </c>
      <c r="D65" s="40">
        <v>19400000</v>
      </c>
    </row>
    <row r="66" spans="1:4" x14ac:dyDescent="0.3">
      <c r="A66" s="43" t="s">
        <v>1302</v>
      </c>
      <c r="B66" s="43">
        <v>1</v>
      </c>
      <c r="C66" s="40">
        <v>782</v>
      </c>
      <c r="D66" s="40">
        <v>12700000</v>
      </c>
    </row>
    <row r="67" spans="1:4" x14ac:dyDescent="0.3">
      <c r="A67" s="18" t="s">
        <v>1302</v>
      </c>
      <c r="B67" s="42">
        <v>1</v>
      </c>
      <c r="C67" s="40">
        <v>709</v>
      </c>
      <c r="D67" s="40">
        <v>17500000</v>
      </c>
    </row>
    <row r="68" spans="1:4" x14ac:dyDescent="0.3">
      <c r="A68" s="18" t="s">
        <v>1302</v>
      </c>
      <c r="B68" s="42">
        <v>1</v>
      </c>
      <c r="C68" s="40">
        <v>1699</v>
      </c>
      <c r="D68" s="40">
        <v>12500000</v>
      </c>
    </row>
    <row r="69" spans="1:4" x14ac:dyDescent="0.3">
      <c r="A69" s="43" t="s">
        <v>1302</v>
      </c>
      <c r="B69" s="43">
        <v>1</v>
      </c>
      <c r="C69" s="40">
        <v>863</v>
      </c>
      <c r="D69" s="40">
        <v>13700000</v>
      </c>
    </row>
    <row r="70" spans="1:4" x14ac:dyDescent="0.3">
      <c r="A70" s="18" t="s">
        <v>1302</v>
      </c>
      <c r="B70" s="42">
        <v>1</v>
      </c>
      <c r="C70" s="40">
        <v>379</v>
      </c>
      <c r="D70" s="40">
        <v>15400000</v>
      </c>
    </row>
    <row r="71" spans="1:4" x14ac:dyDescent="0.3">
      <c r="A71" s="43" t="s">
        <v>1302</v>
      </c>
      <c r="B71" s="43">
        <v>1</v>
      </c>
      <c r="C71" s="40">
        <v>11907</v>
      </c>
      <c r="D71" s="40">
        <v>12500000</v>
      </c>
    </row>
    <row r="72" spans="1:4" x14ac:dyDescent="0.3">
      <c r="A72" s="43" t="s">
        <v>1302</v>
      </c>
      <c r="B72" s="43">
        <v>1</v>
      </c>
      <c r="C72" s="40">
        <v>1500</v>
      </c>
      <c r="D72" s="40">
        <v>12300000</v>
      </c>
    </row>
    <row r="73" spans="1:4" x14ac:dyDescent="0.3">
      <c r="A73" s="43" t="s">
        <v>1302</v>
      </c>
      <c r="B73" s="43">
        <v>1</v>
      </c>
      <c r="C73" s="40">
        <v>149</v>
      </c>
      <c r="D73" s="40">
        <v>17500000</v>
      </c>
    </row>
    <row r="74" spans="1:4" x14ac:dyDescent="0.3">
      <c r="A74" s="43" t="s">
        <v>1302</v>
      </c>
      <c r="B74" s="43">
        <v>1</v>
      </c>
      <c r="C74" s="40">
        <v>679</v>
      </c>
      <c r="D74" s="40">
        <v>34300000</v>
      </c>
    </row>
    <row r="75" spans="1:4" x14ac:dyDescent="0.3">
      <c r="A75" s="43" t="s">
        <v>1302</v>
      </c>
      <c r="B75" s="43">
        <v>1</v>
      </c>
      <c r="C75" s="40">
        <v>1037</v>
      </c>
      <c r="D75" s="40">
        <v>18100000</v>
      </c>
    </row>
    <row r="76" spans="1:4" x14ac:dyDescent="0.3">
      <c r="A76" s="43" t="s">
        <v>1302</v>
      </c>
      <c r="B76" s="43">
        <v>1</v>
      </c>
      <c r="C76" s="40">
        <v>1725</v>
      </c>
      <c r="D76" s="40">
        <v>15400000</v>
      </c>
    </row>
    <row r="77" spans="1:4" x14ac:dyDescent="0.3">
      <c r="A77" s="43" t="s">
        <v>1302</v>
      </c>
      <c r="B77" s="43">
        <v>1</v>
      </c>
      <c r="C77" s="40">
        <v>190093</v>
      </c>
      <c r="D77" s="40">
        <v>13800000</v>
      </c>
    </row>
    <row r="78" spans="1:4" x14ac:dyDescent="0.3">
      <c r="A78" s="43" t="s">
        <v>1302</v>
      </c>
      <c r="B78" s="43">
        <v>1</v>
      </c>
      <c r="C78" s="40">
        <v>3322</v>
      </c>
      <c r="D78" s="40">
        <v>47500000</v>
      </c>
    </row>
    <row r="79" spans="1:4" x14ac:dyDescent="0.3">
      <c r="A79" s="18" t="s">
        <v>1302</v>
      </c>
      <c r="B79" s="42">
        <v>1</v>
      </c>
      <c r="C79" s="40">
        <v>510</v>
      </c>
      <c r="D79" s="40">
        <v>13000000</v>
      </c>
    </row>
    <row r="80" spans="1:4" x14ac:dyDescent="0.3">
      <c r="A80" s="18" t="s">
        <v>1302</v>
      </c>
      <c r="B80" s="42">
        <v>1</v>
      </c>
      <c r="C80" s="40">
        <v>93311</v>
      </c>
      <c r="D80" s="40">
        <v>31900000</v>
      </c>
    </row>
    <row r="81" spans="1:4" x14ac:dyDescent="0.3">
      <c r="A81" s="18" t="s">
        <v>1302</v>
      </c>
      <c r="B81" s="42">
        <v>1</v>
      </c>
      <c r="C81" s="40">
        <v>296272</v>
      </c>
      <c r="D81" s="40">
        <v>13400000</v>
      </c>
    </row>
    <row r="82" spans="1:4" x14ac:dyDescent="0.3">
      <c r="A82" s="18" t="s">
        <v>1302</v>
      </c>
      <c r="B82" s="42">
        <v>1</v>
      </c>
      <c r="C82" s="40">
        <v>31989</v>
      </c>
      <c r="D82" s="40">
        <v>21200000</v>
      </c>
    </row>
    <row r="83" spans="1:4" x14ac:dyDescent="0.3">
      <c r="A83" s="43" t="s">
        <v>1302</v>
      </c>
      <c r="B83" s="43">
        <v>1</v>
      </c>
      <c r="C83" s="40">
        <v>15462</v>
      </c>
      <c r="D83" s="40">
        <v>23100000</v>
      </c>
    </row>
    <row r="84" spans="1:4" x14ac:dyDescent="0.3">
      <c r="A84" s="18" t="s">
        <v>1302</v>
      </c>
      <c r="B84" s="42">
        <v>1</v>
      </c>
      <c r="C84" s="40">
        <v>68606</v>
      </c>
      <c r="D84" s="40">
        <v>14500000</v>
      </c>
    </row>
    <row r="85" spans="1:4" x14ac:dyDescent="0.3">
      <c r="A85" s="43" t="s">
        <v>1302</v>
      </c>
      <c r="B85" s="43">
        <v>1</v>
      </c>
      <c r="C85" s="40">
        <v>23952</v>
      </c>
      <c r="D85" s="40">
        <v>16400000</v>
      </c>
    </row>
    <row r="86" spans="1:4" x14ac:dyDescent="0.3">
      <c r="A86" s="18" t="s">
        <v>1302</v>
      </c>
      <c r="B86" s="42">
        <v>1</v>
      </c>
      <c r="C86" s="40">
        <v>3622</v>
      </c>
      <c r="D86" s="40">
        <v>26400000</v>
      </c>
    </row>
    <row r="87" spans="1:4" x14ac:dyDescent="0.3">
      <c r="A87" s="43" t="s">
        <v>1302</v>
      </c>
      <c r="B87" s="43">
        <v>1</v>
      </c>
      <c r="C87" s="40">
        <v>3377</v>
      </c>
      <c r="D87" s="40">
        <v>22500000</v>
      </c>
    </row>
    <row r="88" spans="1:4" x14ac:dyDescent="0.3">
      <c r="A88" s="18" t="s">
        <v>1302</v>
      </c>
      <c r="B88" s="42">
        <v>1</v>
      </c>
      <c r="C88" s="40">
        <v>3532</v>
      </c>
      <c r="D88" s="40">
        <v>38300000</v>
      </c>
    </row>
    <row r="89" spans="1:4" x14ac:dyDescent="0.3">
      <c r="A89" s="18" t="s">
        <v>1302</v>
      </c>
      <c r="B89" s="42">
        <v>1</v>
      </c>
      <c r="C89" s="40">
        <v>975</v>
      </c>
      <c r="D89" s="40">
        <v>13700000</v>
      </c>
    </row>
    <row r="90" spans="1:4" x14ac:dyDescent="0.3">
      <c r="A90" s="43" t="s">
        <v>1302</v>
      </c>
      <c r="B90" s="43">
        <v>1</v>
      </c>
      <c r="C90" s="40">
        <v>6287</v>
      </c>
      <c r="D90" s="40">
        <v>18600000</v>
      </c>
    </row>
    <row r="91" spans="1:4" x14ac:dyDescent="0.3">
      <c r="A91" s="43" t="s">
        <v>1302</v>
      </c>
      <c r="B91" s="43">
        <v>1</v>
      </c>
      <c r="C91" s="40">
        <v>1476</v>
      </c>
      <c r="D91" s="40">
        <v>20000000</v>
      </c>
    </row>
    <row r="92" spans="1:4" x14ac:dyDescent="0.3">
      <c r="A92" s="18" t="s">
        <v>1302</v>
      </c>
      <c r="B92" s="42">
        <v>1</v>
      </c>
      <c r="C92" s="40">
        <v>3086</v>
      </c>
      <c r="D92" s="40">
        <v>14400000</v>
      </c>
    </row>
    <row r="93" spans="1:4" x14ac:dyDescent="0.3">
      <c r="A93" s="43" t="s">
        <v>1302</v>
      </c>
      <c r="B93" s="43">
        <v>1</v>
      </c>
      <c r="C93" s="40">
        <v>206</v>
      </c>
      <c r="D93" s="40">
        <v>15000000</v>
      </c>
    </row>
    <row r="94" spans="1:4" x14ac:dyDescent="0.3">
      <c r="A94" s="43" t="s">
        <v>1302</v>
      </c>
      <c r="B94" s="43">
        <v>1</v>
      </c>
      <c r="C94" s="40">
        <v>100755</v>
      </c>
      <c r="D94" s="40">
        <v>44600000</v>
      </c>
    </row>
    <row r="95" spans="1:4" x14ac:dyDescent="0.3">
      <c r="A95" s="18" t="s">
        <v>1302</v>
      </c>
      <c r="B95" s="42">
        <v>1</v>
      </c>
      <c r="C95" s="40">
        <v>165</v>
      </c>
      <c r="D95" s="40">
        <v>15400000</v>
      </c>
    </row>
    <row r="96" spans="1:4" x14ac:dyDescent="0.3">
      <c r="A96" s="43" t="s">
        <v>1302</v>
      </c>
      <c r="B96" s="43">
        <v>1</v>
      </c>
      <c r="C96" s="40">
        <v>1810</v>
      </c>
      <c r="D96" s="40">
        <v>12500000</v>
      </c>
    </row>
    <row r="97" spans="1:4" x14ac:dyDescent="0.3">
      <c r="A97" s="43" t="s">
        <v>1302</v>
      </c>
      <c r="B97" s="43">
        <v>1</v>
      </c>
      <c r="C97" s="40">
        <v>495</v>
      </c>
      <c r="D97" s="40">
        <v>22600000</v>
      </c>
    </row>
    <row r="98" spans="1:4" x14ac:dyDescent="0.3">
      <c r="A98" s="18" t="s">
        <v>1302</v>
      </c>
      <c r="B98" s="42">
        <v>1</v>
      </c>
      <c r="C98" s="40">
        <v>375</v>
      </c>
      <c r="D98" s="40">
        <v>18900000</v>
      </c>
    </row>
    <row r="99" spans="1:4" x14ac:dyDescent="0.3">
      <c r="A99" s="43" t="s">
        <v>1302</v>
      </c>
      <c r="B99" s="43">
        <v>1</v>
      </c>
      <c r="C99" s="40">
        <v>106983</v>
      </c>
      <c r="D99" s="40">
        <v>28300000</v>
      </c>
    </row>
    <row r="100" spans="1:4" x14ac:dyDescent="0.3">
      <c r="A100" s="18" t="s">
        <v>1302</v>
      </c>
      <c r="B100" s="42">
        <v>1</v>
      </c>
      <c r="C100" s="40">
        <v>1337</v>
      </c>
      <c r="D100" s="40">
        <v>71300000</v>
      </c>
    </row>
    <row r="101" spans="1:4" x14ac:dyDescent="0.3">
      <c r="A101" s="18" t="s">
        <v>1302</v>
      </c>
      <c r="B101" s="42">
        <v>1</v>
      </c>
      <c r="C101" s="40">
        <v>2175</v>
      </c>
      <c r="D101" s="40">
        <v>15300000</v>
      </c>
    </row>
    <row r="102" spans="1:4" x14ac:dyDescent="0.3">
      <c r="A102" s="18" t="s">
        <v>1302</v>
      </c>
      <c r="B102" s="42">
        <v>1</v>
      </c>
      <c r="C102" s="40">
        <v>273255</v>
      </c>
      <c r="D102" s="40">
        <v>35500000</v>
      </c>
    </row>
    <row r="103" spans="1:4" x14ac:dyDescent="0.3">
      <c r="A103" s="43" t="s">
        <v>1302</v>
      </c>
      <c r="B103" s="43">
        <v>1</v>
      </c>
      <c r="C103" s="40">
        <v>1838</v>
      </c>
      <c r="D103" s="40">
        <v>14400000</v>
      </c>
    </row>
    <row r="104" spans="1:4" x14ac:dyDescent="0.3">
      <c r="A104" s="18" t="s">
        <v>1302</v>
      </c>
      <c r="B104" s="42">
        <v>1</v>
      </c>
      <c r="C104" s="40">
        <v>65286</v>
      </c>
      <c r="D104" s="40">
        <v>25900000</v>
      </c>
    </row>
    <row r="105" spans="1:4" x14ac:dyDescent="0.3">
      <c r="A105" s="18" t="s">
        <v>1302</v>
      </c>
      <c r="B105" s="42">
        <v>1</v>
      </c>
      <c r="C105" s="40">
        <v>495</v>
      </c>
      <c r="D105" s="40">
        <v>13700000</v>
      </c>
    </row>
    <row r="106" spans="1:4" x14ac:dyDescent="0.3">
      <c r="A106" s="18" t="s">
        <v>1302</v>
      </c>
      <c r="B106" s="42">
        <v>1</v>
      </c>
      <c r="C106" s="40">
        <v>577</v>
      </c>
      <c r="D106" s="40">
        <v>53300000</v>
      </c>
    </row>
    <row r="107" spans="1:4" x14ac:dyDescent="0.3">
      <c r="A107" s="43" t="s">
        <v>1302</v>
      </c>
      <c r="B107" s="43">
        <v>1</v>
      </c>
      <c r="C107" s="40">
        <v>433</v>
      </c>
      <c r="D107" s="40">
        <v>14200000</v>
      </c>
    </row>
    <row r="108" spans="1:4" x14ac:dyDescent="0.3">
      <c r="A108" s="43" t="s">
        <v>1302</v>
      </c>
      <c r="B108" s="43">
        <v>1</v>
      </c>
      <c r="C108" s="40">
        <v>555</v>
      </c>
      <c r="D108" s="40">
        <v>28900000</v>
      </c>
    </row>
    <row r="109" spans="1:4" x14ac:dyDescent="0.3">
      <c r="A109" s="18" t="s">
        <v>1302</v>
      </c>
      <c r="B109" s="42">
        <v>1</v>
      </c>
      <c r="C109" s="40">
        <v>505</v>
      </c>
      <c r="D109" s="40">
        <v>28300000</v>
      </c>
    </row>
    <row r="110" spans="1:4" x14ac:dyDescent="0.3">
      <c r="A110" s="43" t="s">
        <v>1302</v>
      </c>
      <c r="B110" s="43">
        <v>1</v>
      </c>
      <c r="C110" s="40">
        <v>359</v>
      </c>
      <c r="D110" s="40">
        <v>15500000</v>
      </c>
    </row>
    <row r="111" spans="1:4" x14ac:dyDescent="0.3">
      <c r="A111" s="43" t="s">
        <v>1302</v>
      </c>
      <c r="B111" s="43">
        <v>1</v>
      </c>
      <c r="C111" s="40">
        <v>951</v>
      </c>
      <c r="D111" s="40">
        <v>21300000</v>
      </c>
    </row>
    <row r="112" spans="1:4" x14ac:dyDescent="0.3">
      <c r="A112" s="43" t="s">
        <v>1302</v>
      </c>
      <c r="B112" s="43">
        <v>1</v>
      </c>
      <c r="C112" s="40">
        <v>4510</v>
      </c>
      <c r="D112" s="40">
        <v>41400000</v>
      </c>
    </row>
    <row r="113" spans="1:4" x14ac:dyDescent="0.3">
      <c r="A113" s="18" t="s">
        <v>1302</v>
      </c>
      <c r="B113" s="42">
        <v>1</v>
      </c>
      <c r="C113" s="40">
        <v>1788</v>
      </c>
      <c r="D113" s="40">
        <v>15000000</v>
      </c>
    </row>
    <row r="114" spans="1:4" x14ac:dyDescent="0.3">
      <c r="A114" s="43" t="s">
        <v>1302</v>
      </c>
      <c r="B114" s="43">
        <v>1</v>
      </c>
      <c r="C114" s="40">
        <v>180</v>
      </c>
      <c r="D114" s="40">
        <v>16600000</v>
      </c>
    </row>
    <row r="115" spans="1:4" x14ac:dyDescent="0.3">
      <c r="A115" s="18" t="s">
        <v>1302</v>
      </c>
      <c r="B115" s="42">
        <v>1</v>
      </c>
      <c r="C115" s="40">
        <v>512</v>
      </c>
      <c r="D115" s="40">
        <v>17700000</v>
      </c>
    </row>
    <row r="116" spans="1:4" x14ac:dyDescent="0.3">
      <c r="A116" s="43" t="s">
        <v>1302</v>
      </c>
      <c r="B116" s="43">
        <v>1</v>
      </c>
      <c r="C116" s="40">
        <v>6</v>
      </c>
      <c r="D116" s="40">
        <v>13900000</v>
      </c>
    </row>
    <row r="117" spans="1:4" x14ac:dyDescent="0.3">
      <c r="A117" s="18" t="s">
        <v>1302</v>
      </c>
      <c r="B117" s="42">
        <v>1</v>
      </c>
      <c r="C117" s="40">
        <v>1888</v>
      </c>
      <c r="D117" s="40">
        <v>17700000</v>
      </c>
    </row>
    <row r="118" spans="1:4" x14ac:dyDescent="0.3">
      <c r="A118" s="43" t="s">
        <v>1302</v>
      </c>
      <c r="B118" s="43">
        <v>1</v>
      </c>
      <c r="C118" s="40">
        <v>2284</v>
      </c>
      <c r="D118" s="40">
        <v>34000000</v>
      </c>
    </row>
    <row r="119" spans="1:4" x14ac:dyDescent="0.3">
      <c r="A119" s="43" t="s">
        <v>1302</v>
      </c>
      <c r="B119" s="43">
        <v>1</v>
      </c>
      <c r="C119" s="40">
        <v>326</v>
      </c>
      <c r="D119" s="40">
        <v>17600000</v>
      </c>
    </row>
    <row r="120" spans="1:4" x14ac:dyDescent="0.3">
      <c r="A120" s="43" t="s">
        <v>1302</v>
      </c>
      <c r="B120" s="43">
        <v>1</v>
      </c>
      <c r="C120" s="40">
        <v>240</v>
      </c>
      <c r="D120" s="40">
        <v>34000000</v>
      </c>
    </row>
    <row r="121" spans="1:4" x14ac:dyDescent="0.3">
      <c r="A121" s="43" t="s">
        <v>1302</v>
      </c>
      <c r="B121" s="43">
        <v>1</v>
      </c>
      <c r="C121" s="40">
        <v>220</v>
      </c>
      <c r="D121" s="40">
        <v>37200000</v>
      </c>
    </row>
    <row r="122" spans="1:4" x14ac:dyDescent="0.3">
      <c r="A122" s="43" t="s">
        <v>1302</v>
      </c>
      <c r="B122" s="43">
        <v>1</v>
      </c>
      <c r="C122" s="40">
        <v>1097</v>
      </c>
      <c r="D122" s="40">
        <v>13600000</v>
      </c>
    </row>
    <row r="123" spans="1:4" x14ac:dyDescent="0.3">
      <c r="A123" s="43" t="s">
        <v>1302</v>
      </c>
      <c r="B123" s="43">
        <v>1</v>
      </c>
      <c r="C123" s="40">
        <v>5985</v>
      </c>
      <c r="D123" s="40">
        <v>26200000</v>
      </c>
    </row>
    <row r="124" spans="1:4" x14ac:dyDescent="0.3">
      <c r="A124" s="43" t="s">
        <v>1302</v>
      </c>
      <c r="B124" s="43">
        <v>1</v>
      </c>
      <c r="C124" s="40">
        <v>1753</v>
      </c>
      <c r="D124" s="40">
        <v>27400000</v>
      </c>
    </row>
    <row r="125" spans="1:4" x14ac:dyDescent="0.3">
      <c r="A125" s="43" t="s">
        <v>1302</v>
      </c>
      <c r="B125" s="43">
        <v>1</v>
      </c>
      <c r="C125" s="40">
        <v>1489</v>
      </c>
      <c r="D125" s="40">
        <v>13300000</v>
      </c>
    </row>
    <row r="126" spans="1:4" x14ac:dyDescent="0.3">
      <c r="A126" s="43" t="s">
        <v>1302</v>
      </c>
      <c r="B126" s="43">
        <v>1</v>
      </c>
      <c r="C126" s="40">
        <v>2254</v>
      </c>
      <c r="D126" s="40">
        <v>13900000</v>
      </c>
    </row>
    <row r="127" spans="1:4" x14ac:dyDescent="0.3">
      <c r="A127" s="18" t="s">
        <v>1302</v>
      </c>
      <c r="B127" s="42">
        <v>1</v>
      </c>
      <c r="C127" s="40">
        <v>1525</v>
      </c>
      <c r="D127" s="40">
        <v>15500000</v>
      </c>
    </row>
    <row r="128" spans="1:4" x14ac:dyDescent="0.3">
      <c r="A128" s="18" t="s">
        <v>1302</v>
      </c>
      <c r="B128" s="42">
        <v>1</v>
      </c>
      <c r="C128" s="40">
        <v>220</v>
      </c>
      <c r="D128" s="40">
        <v>15500000</v>
      </c>
    </row>
    <row r="129" spans="1:4" x14ac:dyDescent="0.3">
      <c r="A129" s="18" t="s">
        <v>1302</v>
      </c>
      <c r="B129" s="42">
        <v>1</v>
      </c>
      <c r="C129" s="40">
        <v>428</v>
      </c>
      <c r="D129" s="40">
        <v>16400000</v>
      </c>
    </row>
    <row r="130" spans="1:4" x14ac:dyDescent="0.3">
      <c r="A130" s="18" t="s">
        <v>1302</v>
      </c>
      <c r="B130" s="42">
        <v>1</v>
      </c>
      <c r="C130" s="40">
        <v>64496</v>
      </c>
      <c r="D130" s="40">
        <v>19000000</v>
      </c>
    </row>
    <row r="131" spans="1:4" x14ac:dyDescent="0.3">
      <c r="A131" s="18" t="s">
        <v>1302</v>
      </c>
      <c r="B131" s="42">
        <v>1</v>
      </c>
      <c r="C131" s="40">
        <v>4186</v>
      </c>
      <c r="D131" s="40">
        <v>15400000</v>
      </c>
    </row>
    <row r="132" spans="1:4" x14ac:dyDescent="0.3">
      <c r="A132" s="43" t="s">
        <v>1302</v>
      </c>
      <c r="B132" s="43">
        <v>1</v>
      </c>
      <c r="C132" s="40">
        <v>217</v>
      </c>
      <c r="D132" s="40">
        <v>33500000</v>
      </c>
    </row>
    <row r="133" spans="1:4" x14ac:dyDescent="0.3">
      <c r="A133" s="43" t="s">
        <v>1302</v>
      </c>
      <c r="B133" s="43">
        <v>1</v>
      </c>
      <c r="C133" s="40">
        <v>226</v>
      </c>
      <c r="D133" s="40">
        <v>20200000</v>
      </c>
    </row>
    <row r="134" spans="1:4" x14ac:dyDescent="0.3">
      <c r="A134" s="18" t="s">
        <v>1302</v>
      </c>
      <c r="B134" s="42">
        <v>1</v>
      </c>
      <c r="C134" s="40">
        <v>1505</v>
      </c>
      <c r="D134" s="40">
        <v>13800000</v>
      </c>
    </row>
    <row r="135" spans="1:4" x14ac:dyDescent="0.3">
      <c r="A135" s="18" t="s">
        <v>1302</v>
      </c>
      <c r="B135" s="42">
        <v>1</v>
      </c>
      <c r="C135" s="40">
        <v>269050</v>
      </c>
      <c r="D135" s="40">
        <v>15000000</v>
      </c>
    </row>
    <row r="136" spans="1:4" x14ac:dyDescent="0.3">
      <c r="A136" s="18" t="s">
        <v>1302</v>
      </c>
      <c r="B136" s="42">
        <v>1</v>
      </c>
      <c r="C136" s="40">
        <v>8976</v>
      </c>
      <c r="D136" s="40">
        <v>16600000</v>
      </c>
    </row>
    <row r="137" spans="1:4" x14ac:dyDescent="0.3">
      <c r="A137" s="43" t="s">
        <v>1302</v>
      </c>
      <c r="B137" s="43">
        <v>1</v>
      </c>
      <c r="C137" s="40">
        <v>31889</v>
      </c>
      <c r="D137" s="40">
        <v>16200000</v>
      </c>
    </row>
    <row r="138" spans="1:4" x14ac:dyDescent="0.3">
      <c r="A138" s="43" t="s">
        <v>1302</v>
      </c>
      <c r="B138" s="43">
        <v>1</v>
      </c>
      <c r="C138" s="40">
        <v>1716</v>
      </c>
      <c r="D138" s="40">
        <v>17700000</v>
      </c>
    </row>
    <row r="139" spans="1:4" x14ac:dyDescent="0.3">
      <c r="A139" s="18" t="s">
        <v>1302</v>
      </c>
      <c r="B139" s="42">
        <v>1</v>
      </c>
      <c r="C139" s="40">
        <v>502</v>
      </c>
      <c r="D139" s="40">
        <v>16800000</v>
      </c>
    </row>
    <row r="140" spans="1:4" x14ac:dyDescent="0.3">
      <c r="A140" s="18" t="s">
        <v>1302</v>
      </c>
      <c r="B140" s="42">
        <v>1</v>
      </c>
      <c r="C140" s="40">
        <v>493</v>
      </c>
      <c r="D140" s="40">
        <v>18500000</v>
      </c>
    </row>
    <row r="141" spans="1:4" x14ac:dyDescent="0.3">
      <c r="A141" s="43" t="s">
        <v>1302</v>
      </c>
      <c r="B141" s="43">
        <v>1</v>
      </c>
      <c r="C141" s="40">
        <v>493</v>
      </c>
      <c r="D141" s="40">
        <v>106000000</v>
      </c>
    </row>
    <row r="142" spans="1:4" x14ac:dyDescent="0.3">
      <c r="A142" s="18" t="s">
        <v>1302</v>
      </c>
      <c r="B142" s="42">
        <v>1</v>
      </c>
      <c r="C142" s="40">
        <v>602</v>
      </c>
      <c r="D142" s="40">
        <v>17900000</v>
      </c>
    </row>
    <row r="143" spans="1:4" x14ac:dyDescent="0.3">
      <c r="A143" s="18" t="s">
        <v>1302</v>
      </c>
      <c r="B143" s="42">
        <v>1</v>
      </c>
      <c r="C143" s="40">
        <v>0</v>
      </c>
      <c r="D143" s="40">
        <v>20400000</v>
      </c>
    </row>
    <row r="144" spans="1:4" x14ac:dyDescent="0.3">
      <c r="A144" s="43" t="s">
        <v>1302</v>
      </c>
      <c r="B144" s="43">
        <v>1</v>
      </c>
      <c r="C144" s="40">
        <v>1262</v>
      </c>
      <c r="D144" s="40">
        <v>13100000</v>
      </c>
    </row>
    <row r="145" spans="1:4" x14ac:dyDescent="0.3">
      <c r="A145" s="18" t="s">
        <v>1302</v>
      </c>
      <c r="B145" s="42">
        <v>1</v>
      </c>
      <c r="C145" s="40">
        <v>1397</v>
      </c>
      <c r="D145" s="40">
        <v>15300000</v>
      </c>
    </row>
    <row r="146" spans="1:4" x14ac:dyDescent="0.3">
      <c r="A146" s="18" t="s">
        <v>1302</v>
      </c>
      <c r="B146" s="42">
        <v>1</v>
      </c>
      <c r="C146" s="40">
        <v>514</v>
      </c>
      <c r="D146" s="40">
        <v>14500000</v>
      </c>
    </row>
    <row r="147" spans="1:4" x14ac:dyDescent="0.3">
      <c r="A147" s="43" t="s">
        <v>1302</v>
      </c>
      <c r="B147" s="43">
        <v>1</v>
      </c>
      <c r="C147" s="40">
        <v>62</v>
      </c>
      <c r="D147" s="40">
        <v>12300000</v>
      </c>
    </row>
    <row r="148" spans="1:4" x14ac:dyDescent="0.3">
      <c r="A148" s="43" t="s">
        <v>1302</v>
      </c>
      <c r="B148" s="43">
        <v>1</v>
      </c>
      <c r="C148" s="40">
        <v>335</v>
      </c>
      <c r="D148" s="40">
        <v>19300000</v>
      </c>
    </row>
    <row r="149" spans="1:4" x14ac:dyDescent="0.3">
      <c r="A149" s="18" t="s">
        <v>1302</v>
      </c>
      <c r="B149" s="42">
        <v>1</v>
      </c>
      <c r="C149" s="40">
        <v>374</v>
      </c>
      <c r="D149" s="40">
        <v>18500000</v>
      </c>
    </row>
    <row r="150" spans="1:4" x14ac:dyDescent="0.3">
      <c r="A150" s="43" t="s">
        <v>1302</v>
      </c>
      <c r="B150" s="43">
        <v>1</v>
      </c>
      <c r="C150" s="40">
        <v>87864</v>
      </c>
      <c r="D150" s="40">
        <v>15300000</v>
      </c>
    </row>
    <row r="151" spans="1:4" x14ac:dyDescent="0.3">
      <c r="A151" s="18" t="s">
        <v>1302</v>
      </c>
      <c r="B151" s="42">
        <v>1</v>
      </c>
      <c r="C151" s="40">
        <v>1727</v>
      </c>
      <c r="D151" s="40">
        <v>12800000</v>
      </c>
    </row>
    <row r="152" spans="1:4" x14ac:dyDescent="0.3">
      <c r="A152" s="43" t="s">
        <v>1302</v>
      </c>
      <c r="B152" s="43">
        <v>1</v>
      </c>
      <c r="C152" s="40">
        <v>3713</v>
      </c>
      <c r="D152" s="40">
        <v>20200000</v>
      </c>
    </row>
    <row r="153" spans="1:4" x14ac:dyDescent="0.3">
      <c r="A153" s="18" t="s">
        <v>1302</v>
      </c>
      <c r="B153" s="42">
        <v>1</v>
      </c>
      <c r="C153" s="40">
        <v>1189</v>
      </c>
      <c r="D153" s="40">
        <v>22600000</v>
      </c>
    </row>
    <row r="154" spans="1:4" x14ac:dyDescent="0.3">
      <c r="A154" s="43" t="s">
        <v>1302</v>
      </c>
      <c r="B154" s="43">
        <v>1</v>
      </c>
      <c r="C154" s="40">
        <v>66362</v>
      </c>
      <c r="D154" s="40">
        <v>14900000</v>
      </c>
    </row>
    <row r="155" spans="1:4" x14ac:dyDescent="0.3">
      <c r="A155" s="18" t="s">
        <v>1302</v>
      </c>
      <c r="B155" s="42">
        <v>1</v>
      </c>
      <c r="C155" s="40">
        <v>33229</v>
      </c>
      <c r="D155" s="40">
        <v>20500000</v>
      </c>
    </row>
    <row r="156" spans="1:4" x14ac:dyDescent="0.3">
      <c r="A156" s="43" t="s">
        <v>1302</v>
      </c>
      <c r="B156" s="43">
        <v>1</v>
      </c>
      <c r="C156" s="40">
        <v>929</v>
      </c>
      <c r="D156" s="40">
        <v>31700000</v>
      </c>
    </row>
    <row r="157" spans="1:4" x14ac:dyDescent="0.3">
      <c r="A157" s="18" t="s">
        <v>1302</v>
      </c>
      <c r="B157" s="42">
        <v>1</v>
      </c>
      <c r="C157" s="40">
        <v>223</v>
      </c>
      <c r="D157" s="40">
        <v>12500000</v>
      </c>
    </row>
    <row r="158" spans="1:4" x14ac:dyDescent="0.3">
      <c r="A158" s="43" t="s">
        <v>1302</v>
      </c>
      <c r="B158" s="43">
        <v>1</v>
      </c>
      <c r="C158" s="40">
        <v>150</v>
      </c>
      <c r="D158" s="40">
        <v>15700000</v>
      </c>
    </row>
    <row r="159" spans="1:4" x14ac:dyDescent="0.3">
      <c r="A159" s="18" t="s">
        <v>1302</v>
      </c>
      <c r="B159" s="42">
        <v>1</v>
      </c>
      <c r="C159" s="40">
        <v>1195</v>
      </c>
      <c r="D159" s="40">
        <v>13400000</v>
      </c>
    </row>
    <row r="160" spans="1:4" x14ac:dyDescent="0.3">
      <c r="A160" s="43" t="s">
        <v>1302</v>
      </c>
      <c r="B160" s="43">
        <v>1</v>
      </c>
      <c r="C160" s="40">
        <v>340</v>
      </c>
      <c r="D160" s="40">
        <v>13700000</v>
      </c>
    </row>
    <row r="161" spans="1:4" x14ac:dyDescent="0.3">
      <c r="A161" s="43" t="s">
        <v>1302</v>
      </c>
      <c r="B161" s="43">
        <v>1</v>
      </c>
      <c r="C161" s="40">
        <v>1521</v>
      </c>
      <c r="D161" s="40">
        <v>32700000</v>
      </c>
    </row>
    <row r="162" spans="1:4" x14ac:dyDescent="0.3">
      <c r="A162" s="18" t="s">
        <v>1302</v>
      </c>
      <c r="B162" s="42">
        <v>1</v>
      </c>
      <c r="C162" s="40">
        <v>786</v>
      </c>
      <c r="D162" s="40">
        <v>18300000</v>
      </c>
    </row>
    <row r="163" spans="1:4" x14ac:dyDescent="0.3">
      <c r="A163" s="43" t="s">
        <v>1302</v>
      </c>
      <c r="B163" s="43">
        <v>1</v>
      </c>
      <c r="C163" s="40">
        <v>20679</v>
      </c>
      <c r="D163" s="40">
        <v>15800000</v>
      </c>
    </row>
    <row r="164" spans="1:4" x14ac:dyDescent="0.3">
      <c r="A164" s="43" t="s">
        <v>1302</v>
      </c>
      <c r="B164" s="43">
        <v>1</v>
      </c>
      <c r="C164" s="40">
        <v>151136</v>
      </c>
      <c r="D164" s="40">
        <v>12500000</v>
      </c>
    </row>
    <row r="165" spans="1:4" x14ac:dyDescent="0.3">
      <c r="A165" s="18" t="s">
        <v>1302</v>
      </c>
      <c r="B165" s="42">
        <v>1</v>
      </c>
      <c r="C165" s="40">
        <v>91704</v>
      </c>
      <c r="D165" s="40">
        <v>15200000</v>
      </c>
    </row>
    <row r="166" spans="1:4" x14ac:dyDescent="0.3">
      <c r="A166" s="43" t="s">
        <v>1302</v>
      </c>
      <c r="B166" s="43">
        <v>1</v>
      </c>
      <c r="C166" s="40">
        <v>149</v>
      </c>
      <c r="D166" s="40">
        <v>14100000</v>
      </c>
    </row>
    <row r="167" spans="1:4" x14ac:dyDescent="0.3">
      <c r="A167" s="18" t="s">
        <v>1302</v>
      </c>
      <c r="B167" s="42">
        <v>1</v>
      </c>
      <c r="C167" s="40">
        <v>182742</v>
      </c>
      <c r="D167" s="40">
        <v>17500000</v>
      </c>
    </row>
    <row r="168" spans="1:4" x14ac:dyDescent="0.3">
      <c r="A168" s="18" t="s">
        <v>1302</v>
      </c>
      <c r="B168" s="42">
        <v>1</v>
      </c>
      <c r="C168" s="40">
        <v>443</v>
      </c>
      <c r="D168" s="40">
        <v>15200000</v>
      </c>
    </row>
    <row r="169" spans="1:4" x14ac:dyDescent="0.3">
      <c r="A169" s="43" t="s">
        <v>1302</v>
      </c>
      <c r="B169" s="43">
        <v>1</v>
      </c>
      <c r="C169" s="40">
        <v>2158</v>
      </c>
      <c r="D169" s="40">
        <v>13700000</v>
      </c>
    </row>
    <row r="170" spans="1:4" x14ac:dyDescent="0.3">
      <c r="A170" s="18" t="s">
        <v>1302</v>
      </c>
      <c r="B170" s="42">
        <v>1</v>
      </c>
      <c r="C170" s="40">
        <v>112261</v>
      </c>
      <c r="D170" s="40">
        <v>16600000</v>
      </c>
    </row>
    <row r="171" spans="1:4" x14ac:dyDescent="0.3">
      <c r="A171" s="43" t="s">
        <v>1302</v>
      </c>
      <c r="B171" s="43">
        <v>1</v>
      </c>
      <c r="C171" s="40">
        <v>560</v>
      </c>
      <c r="D171" s="40">
        <v>14600000</v>
      </c>
    </row>
    <row r="172" spans="1:4" x14ac:dyDescent="0.3">
      <c r="A172" s="18" t="s">
        <v>1302</v>
      </c>
      <c r="B172" s="42">
        <v>1</v>
      </c>
      <c r="C172" s="40">
        <v>693</v>
      </c>
      <c r="D172" s="40">
        <v>20200000</v>
      </c>
    </row>
    <row r="173" spans="1:4" x14ac:dyDescent="0.3">
      <c r="A173" s="18" t="s">
        <v>1302</v>
      </c>
      <c r="B173" s="42">
        <v>1</v>
      </c>
      <c r="C173" s="40">
        <v>131</v>
      </c>
      <c r="D173" s="40">
        <v>18100000</v>
      </c>
    </row>
    <row r="174" spans="1:4" x14ac:dyDescent="0.3">
      <c r="A174" s="43" t="s">
        <v>1302</v>
      </c>
      <c r="B174" s="43">
        <v>1</v>
      </c>
      <c r="C174" s="40">
        <v>459</v>
      </c>
      <c r="D174" s="40">
        <v>12400000</v>
      </c>
    </row>
    <row r="175" spans="1:4" x14ac:dyDescent="0.3">
      <c r="A175" s="18" t="s">
        <v>1302</v>
      </c>
      <c r="B175" s="42">
        <v>1</v>
      </c>
      <c r="C175" s="40">
        <v>1667</v>
      </c>
      <c r="D175" s="40">
        <v>24300000</v>
      </c>
    </row>
    <row r="176" spans="1:4" x14ac:dyDescent="0.3">
      <c r="A176" s="43" t="s">
        <v>1302</v>
      </c>
      <c r="B176" s="43">
        <v>1</v>
      </c>
      <c r="C176" s="40">
        <v>4716</v>
      </c>
      <c r="D176" s="40">
        <v>111000000</v>
      </c>
    </row>
    <row r="177" spans="1:4" x14ac:dyDescent="0.3">
      <c r="A177" s="18" t="s">
        <v>1302</v>
      </c>
      <c r="B177" s="42">
        <v>1</v>
      </c>
      <c r="C177" s="40">
        <v>194</v>
      </c>
      <c r="D177" s="40">
        <v>15200000</v>
      </c>
    </row>
    <row r="178" spans="1:4" x14ac:dyDescent="0.3">
      <c r="A178" s="18" t="s">
        <v>1302</v>
      </c>
      <c r="B178" s="42">
        <v>1</v>
      </c>
      <c r="C178" s="40">
        <v>2235</v>
      </c>
      <c r="D178" s="40">
        <v>16900000</v>
      </c>
    </row>
    <row r="179" spans="1:4" x14ac:dyDescent="0.3">
      <c r="A179" s="43" t="s">
        <v>1302</v>
      </c>
      <c r="B179" s="43">
        <v>1</v>
      </c>
      <c r="C179" s="40">
        <v>3943</v>
      </c>
      <c r="D179" s="40">
        <v>16200000</v>
      </c>
    </row>
    <row r="180" spans="1:4" x14ac:dyDescent="0.3">
      <c r="A180" s="43" t="s">
        <v>1302</v>
      </c>
      <c r="B180" s="43">
        <v>1</v>
      </c>
      <c r="C180" s="40">
        <v>1407</v>
      </c>
      <c r="D180" s="40">
        <v>17000000</v>
      </c>
    </row>
    <row r="181" spans="1:4" x14ac:dyDescent="0.3">
      <c r="A181" s="18" t="s">
        <v>1302</v>
      </c>
      <c r="B181" s="42">
        <v>1</v>
      </c>
      <c r="C181" s="40">
        <v>772</v>
      </c>
      <c r="D181" s="40">
        <v>17800000</v>
      </c>
    </row>
    <row r="182" spans="1:4" x14ac:dyDescent="0.3">
      <c r="A182" s="43" t="s">
        <v>1302</v>
      </c>
      <c r="B182" s="43">
        <v>1</v>
      </c>
      <c r="C182" s="40">
        <v>10022</v>
      </c>
      <c r="D182" s="40">
        <v>26500000</v>
      </c>
    </row>
    <row r="183" spans="1:4" x14ac:dyDescent="0.3">
      <c r="A183" s="43" t="s">
        <v>1302</v>
      </c>
      <c r="B183" s="43">
        <v>1</v>
      </c>
      <c r="C183" s="40">
        <v>3741</v>
      </c>
      <c r="D183" s="40">
        <v>33500000</v>
      </c>
    </row>
    <row r="184" spans="1:4" x14ac:dyDescent="0.3">
      <c r="A184" s="43" t="s">
        <v>1302</v>
      </c>
      <c r="B184" s="43">
        <v>1</v>
      </c>
      <c r="C184" s="40">
        <v>3716</v>
      </c>
      <c r="D184" s="40">
        <v>25400000</v>
      </c>
    </row>
    <row r="185" spans="1:4" x14ac:dyDescent="0.3">
      <c r="A185" s="18" t="s">
        <v>1302</v>
      </c>
      <c r="B185" s="42">
        <v>1</v>
      </c>
      <c r="C185" s="40">
        <v>533</v>
      </c>
      <c r="D185" s="40">
        <v>15100000</v>
      </c>
    </row>
    <row r="186" spans="1:4" x14ac:dyDescent="0.3">
      <c r="A186" s="43" t="s">
        <v>1302</v>
      </c>
      <c r="B186" s="43">
        <v>1</v>
      </c>
      <c r="C186" s="40">
        <v>2736</v>
      </c>
      <c r="D186" s="40">
        <v>33300000</v>
      </c>
    </row>
    <row r="187" spans="1:4" x14ac:dyDescent="0.3">
      <c r="A187" s="18" t="s">
        <v>1302</v>
      </c>
      <c r="B187" s="42">
        <v>1</v>
      </c>
      <c r="C187" s="40">
        <v>2044</v>
      </c>
      <c r="D187" s="40">
        <v>12800000</v>
      </c>
    </row>
    <row r="188" spans="1:4" x14ac:dyDescent="0.3">
      <c r="A188" s="43" t="s">
        <v>1302</v>
      </c>
      <c r="B188" s="43">
        <v>1</v>
      </c>
      <c r="C188" s="40">
        <v>847</v>
      </c>
      <c r="D188" s="40">
        <v>19500000</v>
      </c>
    </row>
    <row r="189" spans="1:4" x14ac:dyDescent="0.3">
      <c r="A189" s="18" t="s">
        <v>1302</v>
      </c>
      <c r="B189" s="42">
        <v>1</v>
      </c>
      <c r="C189" s="40">
        <v>67</v>
      </c>
      <c r="D189" s="40">
        <v>30700000</v>
      </c>
    </row>
    <row r="190" spans="1:4" x14ac:dyDescent="0.3">
      <c r="A190" s="18" t="s">
        <v>1302</v>
      </c>
      <c r="B190" s="42">
        <v>1</v>
      </c>
      <c r="C190" s="40">
        <v>5628</v>
      </c>
      <c r="D190" s="40">
        <v>14400000</v>
      </c>
    </row>
    <row r="191" spans="1:4" x14ac:dyDescent="0.3">
      <c r="A191" s="18" t="s">
        <v>1302</v>
      </c>
      <c r="B191" s="42">
        <v>1</v>
      </c>
      <c r="C191" s="40">
        <v>3159</v>
      </c>
      <c r="D191" s="40">
        <v>18400000</v>
      </c>
    </row>
    <row r="192" spans="1:4" x14ac:dyDescent="0.3">
      <c r="A192" s="43" t="s">
        <v>1302</v>
      </c>
      <c r="B192" s="43">
        <v>1</v>
      </c>
      <c r="C192" s="40">
        <v>409</v>
      </c>
      <c r="D192" s="40">
        <v>12400000</v>
      </c>
    </row>
    <row r="193" spans="1:4" x14ac:dyDescent="0.3">
      <c r="A193" s="18" t="s">
        <v>1302</v>
      </c>
      <c r="B193" s="42">
        <v>1</v>
      </c>
      <c r="C193" s="40">
        <v>6274</v>
      </c>
      <c r="D193" s="40">
        <v>22000000</v>
      </c>
    </row>
    <row r="194" spans="1:4" x14ac:dyDescent="0.3">
      <c r="A194" s="43" t="s">
        <v>1302</v>
      </c>
      <c r="B194" s="43">
        <v>1</v>
      </c>
      <c r="C194" s="40">
        <v>0</v>
      </c>
      <c r="D194" s="40">
        <v>27800000</v>
      </c>
    </row>
    <row r="195" spans="1:4" x14ac:dyDescent="0.3">
      <c r="A195" s="18" t="s">
        <v>1302</v>
      </c>
      <c r="B195" s="42">
        <v>1</v>
      </c>
      <c r="C195" s="40">
        <v>1793</v>
      </c>
      <c r="D195" s="40">
        <v>13500000</v>
      </c>
    </row>
    <row r="196" spans="1:4" x14ac:dyDescent="0.3">
      <c r="A196" s="43" t="s">
        <v>1302</v>
      </c>
      <c r="B196" s="43">
        <v>1</v>
      </c>
      <c r="C196" s="40">
        <v>7566</v>
      </c>
      <c r="D196" s="40">
        <v>35500000</v>
      </c>
    </row>
    <row r="197" spans="1:4" x14ac:dyDescent="0.3">
      <c r="A197" s="43" t="s">
        <v>1302</v>
      </c>
      <c r="B197" s="43">
        <v>1</v>
      </c>
      <c r="C197" s="40">
        <v>116536</v>
      </c>
      <c r="D197" s="40">
        <v>159000000</v>
      </c>
    </row>
    <row r="198" spans="1:4" x14ac:dyDescent="0.3">
      <c r="A198" s="18" t="s">
        <v>1302</v>
      </c>
      <c r="B198" s="42">
        <v>1</v>
      </c>
      <c r="C198" s="40">
        <v>872</v>
      </c>
      <c r="D198" s="40">
        <v>14200000</v>
      </c>
    </row>
    <row r="199" spans="1:4" x14ac:dyDescent="0.3">
      <c r="A199" s="43" t="s">
        <v>1302</v>
      </c>
      <c r="B199" s="43">
        <v>1</v>
      </c>
      <c r="C199" s="40">
        <v>11451</v>
      </c>
      <c r="D199" s="40">
        <v>47400000</v>
      </c>
    </row>
    <row r="200" spans="1:4" x14ac:dyDescent="0.3">
      <c r="A200" s="18" t="s">
        <v>1302</v>
      </c>
      <c r="B200" s="42">
        <v>1</v>
      </c>
      <c r="C200" s="40">
        <v>4487</v>
      </c>
      <c r="D200" s="40">
        <v>18600000</v>
      </c>
    </row>
    <row r="201" spans="1:4" x14ac:dyDescent="0.3">
      <c r="A201" s="43" t="s">
        <v>1302</v>
      </c>
      <c r="B201" s="43">
        <v>1</v>
      </c>
      <c r="C201" s="40">
        <v>8502</v>
      </c>
      <c r="D201" s="40">
        <v>65600000</v>
      </c>
    </row>
    <row r="202" spans="1:4" x14ac:dyDescent="0.3">
      <c r="A202" s="43" t="s">
        <v>1302</v>
      </c>
      <c r="B202" s="43">
        <v>1</v>
      </c>
      <c r="C202" s="40">
        <v>3009</v>
      </c>
      <c r="D202" s="40">
        <v>28200000</v>
      </c>
    </row>
    <row r="203" spans="1:4" x14ac:dyDescent="0.3">
      <c r="A203" s="18" t="s">
        <v>1302</v>
      </c>
      <c r="B203" s="42">
        <v>1</v>
      </c>
      <c r="C203" s="40">
        <v>469</v>
      </c>
      <c r="D203" s="40">
        <v>24200000</v>
      </c>
    </row>
    <row r="204" spans="1:4" x14ac:dyDescent="0.3">
      <c r="A204" s="43" t="s">
        <v>1302</v>
      </c>
      <c r="B204" s="43">
        <v>1</v>
      </c>
      <c r="C204" s="40">
        <v>1596</v>
      </c>
      <c r="D204" s="40">
        <v>39700000</v>
      </c>
    </row>
    <row r="205" spans="1:4" x14ac:dyDescent="0.3">
      <c r="A205" s="18" t="s">
        <v>1302</v>
      </c>
      <c r="B205" s="42">
        <v>1</v>
      </c>
      <c r="C205" s="40">
        <v>114</v>
      </c>
      <c r="D205" s="40">
        <v>21400000</v>
      </c>
    </row>
    <row r="206" spans="1:4" x14ac:dyDescent="0.3">
      <c r="A206" s="43" t="s">
        <v>1302</v>
      </c>
      <c r="B206" s="43">
        <v>1</v>
      </c>
      <c r="C206" s="40">
        <v>8285</v>
      </c>
      <c r="D206" s="40">
        <v>19200000</v>
      </c>
    </row>
    <row r="207" spans="1:4" x14ac:dyDescent="0.3">
      <c r="A207" s="18" t="s">
        <v>1302</v>
      </c>
      <c r="B207" s="42">
        <v>1</v>
      </c>
      <c r="C207" s="40">
        <v>8019</v>
      </c>
      <c r="D207" s="40">
        <v>13200000</v>
      </c>
    </row>
    <row r="208" spans="1:4" x14ac:dyDescent="0.3">
      <c r="A208" s="43" t="s">
        <v>1302</v>
      </c>
      <c r="B208" s="43">
        <v>1</v>
      </c>
      <c r="C208" s="40">
        <v>11099</v>
      </c>
      <c r="D208" s="40">
        <v>15200000</v>
      </c>
    </row>
    <row r="209" spans="1:4" x14ac:dyDescent="0.3">
      <c r="A209" s="18" t="s">
        <v>1302</v>
      </c>
      <c r="B209" s="42">
        <v>1</v>
      </c>
      <c r="C209" s="40">
        <v>3882</v>
      </c>
      <c r="D209" s="40">
        <v>57200000</v>
      </c>
    </row>
    <row r="210" spans="1:4" x14ac:dyDescent="0.3">
      <c r="A210" s="43" t="s">
        <v>1302</v>
      </c>
      <c r="B210" s="43">
        <v>1</v>
      </c>
      <c r="C210" s="40">
        <v>2726</v>
      </c>
      <c r="D210" s="40">
        <v>15000000</v>
      </c>
    </row>
    <row r="211" spans="1:4" x14ac:dyDescent="0.3">
      <c r="A211" s="43" t="s">
        <v>1302</v>
      </c>
      <c r="B211" s="43">
        <v>1</v>
      </c>
      <c r="C211" s="40">
        <v>24089</v>
      </c>
      <c r="D211" s="40">
        <v>38200000</v>
      </c>
    </row>
    <row r="212" spans="1:4" x14ac:dyDescent="0.3">
      <c r="A212" s="43" t="s">
        <v>1302</v>
      </c>
      <c r="B212" s="43">
        <v>1</v>
      </c>
      <c r="C212" s="40">
        <v>71270</v>
      </c>
      <c r="D212" s="40">
        <v>83000000</v>
      </c>
    </row>
    <row r="213" spans="1:4" x14ac:dyDescent="0.3">
      <c r="A213" s="18" t="s">
        <v>1302</v>
      </c>
      <c r="B213" s="42">
        <v>1</v>
      </c>
      <c r="C213" s="40">
        <v>10938</v>
      </c>
      <c r="D213" s="40">
        <v>42500000</v>
      </c>
    </row>
    <row r="214" spans="1:4" x14ac:dyDescent="0.3">
      <c r="A214" s="43" t="s">
        <v>1302</v>
      </c>
      <c r="B214" s="43">
        <v>1</v>
      </c>
      <c r="C214" s="40">
        <v>20102</v>
      </c>
      <c r="D214" s="40">
        <v>16600000</v>
      </c>
    </row>
    <row r="215" spans="1:4" x14ac:dyDescent="0.3">
      <c r="A215" s="18" t="s">
        <v>1302</v>
      </c>
      <c r="B215" s="42">
        <v>1</v>
      </c>
      <c r="C215" s="40">
        <v>8</v>
      </c>
      <c r="D215" s="40">
        <v>13000000</v>
      </c>
    </row>
    <row r="216" spans="1:4" x14ac:dyDescent="0.3">
      <c r="A216" s="43" t="s">
        <v>1302</v>
      </c>
      <c r="B216" s="43">
        <v>1</v>
      </c>
      <c r="C216" s="40">
        <v>5056</v>
      </c>
      <c r="D216" s="40">
        <v>15200000</v>
      </c>
    </row>
    <row r="217" spans="1:4" x14ac:dyDescent="0.3">
      <c r="A217" s="43" t="s">
        <v>1302</v>
      </c>
      <c r="B217" s="43">
        <v>1</v>
      </c>
      <c r="C217" s="40">
        <v>44892</v>
      </c>
      <c r="D217" s="40">
        <v>32000000</v>
      </c>
    </row>
    <row r="218" spans="1:4" x14ac:dyDescent="0.3">
      <c r="A218" s="18" t="s">
        <v>1302</v>
      </c>
      <c r="B218" s="42">
        <v>1</v>
      </c>
      <c r="C218" s="40">
        <v>287</v>
      </c>
      <c r="D218" s="40">
        <v>17300000</v>
      </c>
    </row>
    <row r="219" spans="1:4" x14ac:dyDescent="0.3">
      <c r="A219" s="43" t="s">
        <v>1302</v>
      </c>
      <c r="B219" s="43">
        <v>1</v>
      </c>
      <c r="C219" s="40">
        <v>43564</v>
      </c>
      <c r="D219" s="40">
        <v>14700000</v>
      </c>
    </row>
    <row r="220" spans="1:4" x14ac:dyDescent="0.3">
      <c r="A220" s="43" t="s">
        <v>1302</v>
      </c>
      <c r="B220" s="43">
        <v>1</v>
      </c>
      <c r="C220" s="40">
        <v>60964</v>
      </c>
      <c r="D220" s="40">
        <v>22600000</v>
      </c>
    </row>
    <row r="221" spans="1:4" x14ac:dyDescent="0.3">
      <c r="A221" s="18" t="s">
        <v>1302</v>
      </c>
      <c r="B221" s="42">
        <v>1</v>
      </c>
      <c r="C221" s="40">
        <v>855</v>
      </c>
      <c r="D221" s="40">
        <v>14100000</v>
      </c>
    </row>
    <row r="222" spans="1:4" x14ac:dyDescent="0.3">
      <c r="A222" s="43" t="s">
        <v>1302</v>
      </c>
      <c r="B222" s="43">
        <v>1</v>
      </c>
      <c r="C222" s="40">
        <v>13</v>
      </c>
      <c r="D222" s="40">
        <v>61000000</v>
      </c>
    </row>
    <row r="223" spans="1:4" x14ac:dyDescent="0.3">
      <c r="A223" s="18" t="s">
        <v>1302</v>
      </c>
      <c r="B223" s="42">
        <v>1</v>
      </c>
      <c r="C223" s="40">
        <v>4778</v>
      </c>
      <c r="D223" s="40">
        <v>17300000</v>
      </c>
    </row>
    <row r="224" spans="1:4" x14ac:dyDescent="0.3">
      <c r="A224" s="43" t="s">
        <v>1302</v>
      </c>
      <c r="B224" s="43">
        <v>1</v>
      </c>
      <c r="C224" s="40">
        <v>739</v>
      </c>
      <c r="D224" s="40">
        <v>17700000</v>
      </c>
    </row>
    <row r="225" spans="1:4" x14ac:dyDescent="0.3">
      <c r="A225" s="18" t="s">
        <v>1302</v>
      </c>
      <c r="B225" s="42">
        <v>1</v>
      </c>
      <c r="C225" s="40">
        <v>19703</v>
      </c>
      <c r="D225" s="40">
        <v>15700000</v>
      </c>
    </row>
    <row r="226" spans="1:4" x14ac:dyDescent="0.3">
      <c r="A226" s="43" t="s">
        <v>1302</v>
      </c>
      <c r="B226" s="43">
        <v>1</v>
      </c>
      <c r="C226" s="40">
        <v>5041</v>
      </c>
      <c r="D226" s="40">
        <v>23000000</v>
      </c>
    </row>
    <row r="227" spans="1:4" x14ac:dyDescent="0.3">
      <c r="A227" s="43" t="s">
        <v>1302</v>
      </c>
      <c r="B227" s="43">
        <v>1</v>
      </c>
      <c r="C227" s="40">
        <v>1022</v>
      </c>
      <c r="D227" s="40">
        <v>13200000</v>
      </c>
    </row>
    <row r="228" spans="1:4" x14ac:dyDescent="0.3">
      <c r="A228" s="43" t="s">
        <v>1302</v>
      </c>
      <c r="B228" s="43">
        <v>1</v>
      </c>
      <c r="C228" s="40">
        <v>244899</v>
      </c>
      <c r="D228" s="40">
        <v>16200000</v>
      </c>
    </row>
    <row r="229" spans="1:4" x14ac:dyDescent="0.3">
      <c r="A229" s="18" t="s">
        <v>1302</v>
      </c>
      <c r="B229" s="42">
        <v>1</v>
      </c>
      <c r="C229" s="40">
        <v>965</v>
      </c>
      <c r="D229" s="40">
        <v>15000000</v>
      </c>
    </row>
    <row r="230" spans="1:4" x14ac:dyDescent="0.3">
      <c r="A230" s="18" t="s">
        <v>1302</v>
      </c>
      <c r="B230" s="42">
        <v>1</v>
      </c>
      <c r="C230" s="40">
        <v>51129</v>
      </c>
      <c r="D230" s="40">
        <v>25200000</v>
      </c>
    </row>
    <row r="231" spans="1:4" x14ac:dyDescent="0.3">
      <c r="A231" s="43" t="s">
        <v>1302</v>
      </c>
      <c r="B231" s="43">
        <v>1</v>
      </c>
      <c r="C231" s="40">
        <v>106</v>
      </c>
      <c r="D231" s="40">
        <v>15200000</v>
      </c>
    </row>
    <row r="232" spans="1:4" x14ac:dyDescent="0.3">
      <c r="A232" s="43" t="s">
        <v>1302</v>
      </c>
      <c r="B232" s="43">
        <v>1</v>
      </c>
      <c r="C232" s="40">
        <v>2337</v>
      </c>
      <c r="D232" s="40">
        <v>12900000</v>
      </c>
    </row>
    <row r="233" spans="1:4" x14ac:dyDescent="0.3">
      <c r="A233" s="43" t="s">
        <v>1302</v>
      </c>
      <c r="B233" s="43">
        <v>1</v>
      </c>
      <c r="C233" s="40">
        <v>1040</v>
      </c>
      <c r="D233" s="40">
        <v>13700000</v>
      </c>
    </row>
    <row r="234" spans="1:4" x14ac:dyDescent="0.3">
      <c r="A234" s="18" t="s">
        <v>1302</v>
      </c>
      <c r="B234" s="42">
        <v>1</v>
      </c>
      <c r="C234" s="40">
        <v>1028</v>
      </c>
      <c r="D234" s="40">
        <v>13400000</v>
      </c>
    </row>
    <row r="235" spans="1:4" x14ac:dyDescent="0.3">
      <c r="A235" s="43" t="s">
        <v>1302</v>
      </c>
      <c r="B235" s="43">
        <v>1</v>
      </c>
      <c r="C235" s="40">
        <v>498</v>
      </c>
      <c r="D235" s="40">
        <v>17100000</v>
      </c>
    </row>
    <row r="236" spans="1:4" x14ac:dyDescent="0.3">
      <c r="A236" s="18" t="s">
        <v>1302</v>
      </c>
      <c r="B236" s="42">
        <v>1</v>
      </c>
      <c r="C236" s="40">
        <v>4978</v>
      </c>
      <c r="D236" s="40">
        <v>13800000</v>
      </c>
    </row>
    <row r="237" spans="1:4" x14ac:dyDescent="0.3">
      <c r="A237" s="43" t="s">
        <v>1302</v>
      </c>
      <c r="B237" s="43">
        <v>1</v>
      </c>
      <c r="C237" s="40">
        <v>6672</v>
      </c>
      <c r="D237" s="40">
        <v>23400000</v>
      </c>
    </row>
    <row r="238" spans="1:4" x14ac:dyDescent="0.3">
      <c r="A238" s="43" t="s">
        <v>1302</v>
      </c>
      <c r="B238" s="43">
        <v>1</v>
      </c>
      <c r="C238" s="40">
        <v>4741</v>
      </c>
      <c r="D238" s="40">
        <v>59300000</v>
      </c>
    </row>
    <row r="239" spans="1:4" x14ac:dyDescent="0.3">
      <c r="A239" s="18" t="s">
        <v>1302</v>
      </c>
      <c r="B239" s="42">
        <v>1</v>
      </c>
      <c r="C239" s="40">
        <v>1159</v>
      </c>
      <c r="D239" s="40">
        <v>22900000</v>
      </c>
    </row>
    <row r="240" spans="1:4" x14ac:dyDescent="0.3">
      <c r="A240" s="18" t="s">
        <v>1302</v>
      </c>
      <c r="B240" s="42">
        <v>1</v>
      </c>
      <c r="C240" s="40">
        <v>3640</v>
      </c>
      <c r="D240" s="40">
        <v>13300000</v>
      </c>
    </row>
    <row r="241" spans="1:4" x14ac:dyDescent="0.3">
      <c r="A241" s="43" t="s">
        <v>1302</v>
      </c>
      <c r="B241" s="43">
        <v>1</v>
      </c>
      <c r="C241" s="40">
        <v>148225</v>
      </c>
      <c r="D241" s="40">
        <v>17100000</v>
      </c>
    </row>
    <row r="242" spans="1:4" x14ac:dyDescent="0.3">
      <c r="A242" s="18" t="s">
        <v>1302</v>
      </c>
      <c r="B242" s="42">
        <v>1</v>
      </c>
      <c r="C242" s="40">
        <v>89179</v>
      </c>
      <c r="D242" s="40">
        <v>25000000</v>
      </c>
    </row>
    <row r="243" spans="1:4" x14ac:dyDescent="0.3">
      <c r="A243" s="43" t="s">
        <v>1302</v>
      </c>
      <c r="B243" s="43">
        <v>1</v>
      </c>
      <c r="C243" s="40">
        <v>304</v>
      </c>
      <c r="D243" s="40">
        <v>18800000</v>
      </c>
    </row>
    <row r="244" spans="1:4" x14ac:dyDescent="0.3">
      <c r="A244" s="18" t="s">
        <v>1302</v>
      </c>
      <c r="B244" s="42">
        <v>1</v>
      </c>
      <c r="C244" s="40">
        <v>20082</v>
      </c>
      <c r="D244" s="40">
        <v>245000000</v>
      </c>
    </row>
    <row r="245" spans="1:4" x14ac:dyDescent="0.3">
      <c r="A245" s="18" t="s">
        <v>1302</v>
      </c>
      <c r="B245" s="42">
        <v>1</v>
      </c>
      <c r="C245" s="40">
        <v>2010</v>
      </c>
      <c r="D245" s="40">
        <v>35400000</v>
      </c>
    </row>
    <row r="246" spans="1:4" x14ac:dyDescent="0.3">
      <c r="A246" s="43" t="s">
        <v>1302</v>
      </c>
      <c r="B246" s="43">
        <v>1</v>
      </c>
      <c r="C246" s="40">
        <v>9862</v>
      </c>
      <c r="D246" s="40">
        <v>15200000</v>
      </c>
    </row>
    <row r="247" spans="1:4" x14ac:dyDescent="0.3">
      <c r="A247" s="18" t="s">
        <v>1302</v>
      </c>
      <c r="B247" s="42">
        <v>1</v>
      </c>
      <c r="C247" s="40">
        <v>15075</v>
      </c>
      <c r="D247" s="40">
        <v>13900000</v>
      </c>
    </row>
    <row r="248" spans="1:4" x14ac:dyDescent="0.3">
      <c r="A248" s="18" t="s">
        <v>1302</v>
      </c>
      <c r="B248" s="42">
        <v>1</v>
      </c>
      <c r="C248" s="40">
        <v>889</v>
      </c>
      <c r="D248" s="40">
        <v>20700000</v>
      </c>
    </row>
    <row r="249" spans="1:4" x14ac:dyDescent="0.3">
      <c r="A249" s="43" t="s">
        <v>1302</v>
      </c>
      <c r="B249" s="43">
        <v>1</v>
      </c>
      <c r="C249" s="40">
        <v>293516</v>
      </c>
      <c r="D249" s="40">
        <v>14500000</v>
      </c>
    </row>
    <row r="250" spans="1:4" x14ac:dyDescent="0.3">
      <c r="A250" s="18" t="s">
        <v>1302</v>
      </c>
      <c r="B250" s="42">
        <v>1</v>
      </c>
      <c r="C250" s="40">
        <v>9168</v>
      </c>
      <c r="D250" s="40">
        <v>36600000</v>
      </c>
    </row>
    <row r="251" spans="1:4" x14ac:dyDescent="0.3">
      <c r="A251" s="43" t="s">
        <v>1302</v>
      </c>
      <c r="B251" s="43">
        <v>1</v>
      </c>
      <c r="C251" s="40">
        <v>1670</v>
      </c>
      <c r="D251" s="40">
        <v>22900000</v>
      </c>
    </row>
    <row r="252" spans="1:4" x14ac:dyDescent="0.3">
      <c r="A252" s="43" t="s">
        <v>1302</v>
      </c>
      <c r="B252" s="43">
        <v>1</v>
      </c>
      <c r="C252" s="40">
        <v>456</v>
      </c>
      <c r="D252" s="40">
        <v>23100000</v>
      </c>
    </row>
    <row r="253" spans="1:4" x14ac:dyDescent="0.3">
      <c r="A253" s="43" t="s">
        <v>1302</v>
      </c>
      <c r="B253" s="43">
        <v>1</v>
      </c>
      <c r="C253" s="40">
        <v>256</v>
      </c>
      <c r="D253" s="40">
        <v>13400000</v>
      </c>
    </row>
    <row r="254" spans="1:4" x14ac:dyDescent="0.3">
      <c r="A254" s="18" t="s">
        <v>1302</v>
      </c>
      <c r="B254" s="42">
        <v>1</v>
      </c>
      <c r="C254" s="40">
        <v>1357</v>
      </c>
      <c r="D254" s="40">
        <v>13500000</v>
      </c>
    </row>
    <row r="255" spans="1:4" x14ac:dyDescent="0.3">
      <c r="A255" s="43" t="s">
        <v>1302</v>
      </c>
      <c r="B255" s="43">
        <v>1</v>
      </c>
      <c r="C255" s="40">
        <v>51515</v>
      </c>
      <c r="D255" s="40">
        <v>20400000</v>
      </c>
    </row>
    <row r="256" spans="1:4" x14ac:dyDescent="0.3">
      <c r="A256" s="18" t="s">
        <v>1302</v>
      </c>
      <c r="B256" s="42">
        <v>1</v>
      </c>
      <c r="C256" s="40">
        <v>219</v>
      </c>
      <c r="D256" s="40">
        <v>21600000</v>
      </c>
    </row>
    <row r="257" spans="1:4" x14ac:dyDescent="0.3">
      <c r="A257" s="18" t="s">
        <v>1302</v>
      </c>
      <c r="B257" s="42">
        <v>1</v>
      </c>
      <c r="C257" s="40">
        <v>1324</v>
      </c>
      <c r="D257" s="40">
        <v>13200000</v>
      </c>
    </row>
    <row r="258" spans="1:4" x14ac:dyDescent="0.3">
      <c r="A258" s="43" t="s">
        <v>1302</v>
      </c>
      <c r="B258" s="43">
        <v>1</v>
      </c>
      <c r="C258" s="40">
        <v>16874</v>
      </c>
      <c r="D258" s="40">
        <v>15700000</v>
      </c>
    </row>
    <row r="259" spans="1:4" x14ac:dyDescent="0.3">
      <c r="A259" s="43" t="s">
        <v>1302</v>
      </c>
      <c r="B259" s="43">
        <v>1</v>
      </c>
      <c r="C259" s="40">
        <v>4660</v>
      </c>
      <c r="D259" s="40">
        <v>45500000</v>
      </c>
    </row>
    <row r="260" spans="1:4" x14ac:dyDescent="0.3">
      <c r="A260" s="18" t="s">
        <v>1302</v>
      </c>
      <c r="B260" s="43">
        <v>1</v>
      </c>
      <c r="C260" s="40">
        <v>19487</v>
      </c>
      <c r="D260" s="40">
        <v>58000000</v>
      </c>
    </row>
    <row r="261" spans="1:4" x14ac:dyDescent="0.3">
      <c r="A261" s="42" t="s">
        <v>1302</v>
      </c>
      <c r="B261" s="42">
        <v>1</v>
      </c>
      <c r="C261" s="40">
        <v>19899</v>
      </c>
      <c r="D261" s="40">
        <v>12500000</v>
      </c>
    </row>
    <row r="262" spans="1:4" x14ac:dyDescent="0.3">
      <c r="A262" s="18" t="s">
        <v>1302</v>
      </c>
      <c r="B262" s="43">
        <v>1</v>
      </c>
      <c r="C262" s="40">
        <v>22578</v>
      </c>
      <c r="D262" s="40">
        <v>23100000</v>
      </c>
    </row>
    <row r="263" spans="1:4" x14ac:dyDescent="0.3">
      <c r="A263" s="18" t="s">
        <v>1302</v>
      </c>
      <c r="B263" s="43">
        <v>1</v>
      </c>
      <c r="C263" s="40">
        <v>5718</v>
      </c>
      <c r="D263" s="40">
        <v>23000000</v>
      </c>
    </row>
    <row r="264" spans="1:4" x14ac:dyDescent="0.3">
      <c r="A264" s="42" t="s">
        <v>1302</v>
      </c>
      <c r="B264" s="42">
        <v>1</v>
      </c>
      <c r="C264" s="40">
        <v>52144</v>
      </c>
      <c r="D264" s="40">
        <v>16000000</v>
      </c>
    </row>
    <row r="265" spans="1:4" x14ac:dyDescent="0.3">
      <c r="A265" s="18" t="s">
        <v>1302</v>
      </c>
      <c r="B265" s="43">
        <v>1</v>
      </c>
      <c r="C265" s="40">
        <v>679</v>
      </c>
      <c r="D265" s="40">
        <v>18500000</v>
      </c>
    </row>
    <row r="266" spans="1:4" x14ac:dyDescent="0.3">
      <c r="A266" s="18" t="s">
        <v>1302</v>
      </c>
      <c r="B266" s="43">
        <v>1</v>
      </c>
      <c r="C266" s="40">
        <v>1823</v>
      </c>
      <c r="D266" s="40">
        <v>14200000</v>
      </c>
    </row>
    <row r="267" spans="1:4" x14ac:dyDescent="0.3">
      <c r="A267" s="18" t="s">
        <v>1302</v>
      </c>
      <c r="B267" s="43">
        <v>1</v>
      </c>
      <c r="C267" s="40">
        <v>22</v>
      </c>
      <c r="D267" s="40">
        <v>13000000</v>
      </c>
    </row>
    <row r="268" spans="1:4" x14ac:dyDescent="0.3">
      <c r="A268" s="42" t="s">
        <v>1302</v>
      </c>
      <c r="B268" s="42">
        <v>1</v>
      </c>
      <c r="C268" s="40">
        <v>72580</v>
      </c>
      <c r="D268" s="40">
        <v>39000000</v>
      </c>
    </row>
    <row r="269" spans="1:4" x14ac:dyDescent="0.3">
      <c r="A269" s="18" t="s">
        <v>1302</v>
      </c>
      <c r="B269" s="43">
        <v>1</v>
      </c>
      <c r="C269" s="40">
        <v>6518</v>
      </c>
      <c r="D269" s="40">
        <v>31700000</v>
      </c>
    </row>
    <row r="270" spans="1:4" x14ac:dyDescent="0.3">
      <c r="A270" s="42" t="s">
        <v>1302</v>
      </c>
      <c r="B270" s="42">
        <v>1</v>
      </c>
      <c r="C270" s="40">
        <v>1525</v>
      </c>
      <c r="D270" s="40">
        <v>19000000</v>
      </c>
    </row>
    <row r="271" spans="1:4" x14ac:dyDescent="0.3">
      <c r="A271" s="18" t="s">
        <v>1302</v>
      </c>
      <c r="B271" s="43">
        <v>1</v>
      </c>
      <c r="C271" s="40">
        <v>3707</v>
      </c>
      <c r="D271" s="40">
        <v>54600000</v>
      </c>
    </row>
    <row r="272" spans="1:4" x14ac:dyDescent="0.3">
      <c r="A272" s="42" t="s">
        <v>1302</v>
      </c>
      <c r="B272" s="42">
        <v>1</v>
      </c>
      <c r="C272" s="40">
        <v>2854</v>
      </c>
      <c r="D272" s="40">
        <v>14100000</v>
      </c>
    </row>
    <row r="273" spans="1:4" x14ac:dyDescent="0.3">
      <c r="A273" s="18" t="s">
        <v>1302</v>
      </c>
      <c r="B273" s="43">
        <v>1</v>
      </c>
      <c r="C273" s="40">
        <v>15126</v>
      </c>
      <c r="D273" s="40">
        <v>21700000</v>
      </c>
    </row>
    <row r="274" spans="1:4" x14ac:dyDescent="0.3">
      <c r="A274" s="42" t="s">
        <v>1302</v>
      </c>
      <c r="B274" s="42">
        <v>1</v>
      </c>
      <c r="C274" s="40">
        <v>3151</v>
      </c>
      <c r="D274" s="40">
        <v>17600000</v>
      </c>
    </row>
    <row r="275" spans="1:4" x14ac:dyDescent="0.3">
      <c r="A275" s="18" t="s">
        <v>1302</v>
      </c>
      <c r="B275" s="43">
        <v>1</v>
      </c>
      <c r="C275" s="40">
        <v>132398</v>
      </c>
      <c r="D275" s="40">
        <v>14200000</v>
      </c>
    </row>
    <row r="276" spans="1:4" x14ac:dyDescent="0.3">
      <c r="A276" s="42" t="s">
        <v>1302</v>
      </c>
      <c r="B276" s="42">
        <v>1</v>
      </c>
      <c r="C276" s="40">
        <v>1212</v>
      </c>
      <c r="D276" s="40">
        <v>12400000</v>
      </c>
    </row>
    <row r="277" spans="1:4" x14ac:dyDescent="0.3">
      <c r="A277" s="18" t="s">
        <v>1302</v>
      </c>
      <c r="B277" s="43">
        <v>1</v>
      </c>
      <c r="C277" s="40">
        <v>1640</v>
      </c>
      <c r="D277" s="40">
        <v>15700000</v>
      </c>
    </row>
    <row r="278" spans="1:4" x14ac:dyDescent="0.3">
      <c r="A278" s="42" t="s">
        <v>1302</v>
      </c>
      <c r="B278" s="42">
        <v>1</v>
      </c>
      <c r="C278" s="40">
        <v>8548</v>
      </c>
      <c r="D278" s="40">
        <v>96700000</v>
      </c>
    </row>
    <row r="279" spans="1:4" x14ac:dyDescent="0.3">
      <c r="A279" s="18" t="s">
        <v>1302</v>
      </c>
      <c r="B279" s="43">
        <v>1</v>
      </c>
      <c r="C279" s="40">
        <v>180092</v>
      </c>
      <c r="D279" s="40">
        <v>30500000</v>
      </c>
    </row>
    <row r="280" spans="1:4" x14ac:dyDescent="0.3">
      <c r="A280" s="42" t="s">
        <v>1302</v>
      </c>
      <c r="B280" s="42">
        <v>1</v>
      </c>
      <c r="C280" s="40">
        <v>102699</v>
      </c>
      <c r="D280" s="40">
        <v>12500000</v>
      </c>
    </row>
    <row r="281" spans="1:4" x14ac:dyDescent="0.3">
      <c r="A281" s="18" t="s">
        <v>1302</v>
      </c>
      <c r="B281" s="43">
        <v>1</v>
      </c>
      <c r="C281" s="40">
        <v>129204</v>
      </c>
      <c r="D281" s="40">
        <v>70500000</v>
      </c>
    </row>
    <row r="282" spans="1:4" x14ac:dyDescent="0.3">
      <c r="A282" s="42" t="s">
        <v>1302</v>
      </c>
      <c r="B282" s="42">
        <v>1</v>
      </c>
      <c r="C282" s="40">
        <v>101401</v>
      </c>
      <c r="D282" s="40">
        <v>14400000</v>
      </c>
    </row>
    <row r="283" spans="1:4" x14ac:dyDescent="0.3">
      <c r="A283" s="18" t="s">
        <v>1302</v>
      </c>
      <c r="B283" s="43">
        <v>1</v>
      </c>
      <c r="C283" s="40">
        <v>3</v>
      </c>
      <c r="D283" s="40">
        <v>14000000</v>
      </c>
    </row>
    <row r="284" spans="1:4" x14ac:dyDescent="0.3">
      <c r="A284" s="42" t="s">
        <v>1302</v>
      </c>
      <c r="B284" s="42">
        <v>1</v>
      </c>
      <c r="C284" s="40">
        <v>273</v>
      </c>
      <c r="D284" s="40">
        <v>13600000</v>
      </c>
    </row>
    <row r="285" spans="1:4" x14ac:dyDescent="0.3">
      <c r="A285" s="18" t="s">
        <v>1304</v>
      </c>
      <c r="B285" s="42">
        <v>0</v>
      </c>
      <c r="C285" s="40">
        <v>211620</v>
      </c>
      <c r="D285" s="40">
        <v>17700000</v>
      </c>
    </row>
    <row r="286" spans="1:4" x14ac:dyDescent="0.3">
      <c r="A286" s="43" t="s">
        <v>1304</v>
      </c>
      <c r="B286" s="43">
        <v>0</v>
      </c>
      <c r="C286" s="40">
        <v>1</v>
      </c>
      <c r="D286" s="40">
        <v>80100000</v>
      </c>
    </row>
    <row r="287" spans="1:4" x14ac:dyDescent="0.3">
      <c r="A287" s="18" t="s">
        <v>1304</v>
      </c>
      <c r="B287" s="42">
        <v>0</v>
      </c>
      <c r="C287" s="40">
        <v>368</v>
      </c>
      <c r="D287" s="40">
        <v>13600000</v>
      </c>
    </row>
    <row r="288" spans="1:4" x14ac:dyDescent="0.3">
      <c r="A288" s="43" t="s">
        <v>1304</v>
      </c>
      <c r="B288" s="43">
        <v>0</v>
      </c>
      <c r="C288" s="40">
        <v>10</v>
      </c>
      <c r="D288" s="40">
        <v>16200000</v>
      </c>
    </row>
    <row r="289" spans="1:4" x14ac:dyDescent="0.3">
      <c r="A289" s="43" t="s">
        <v>1304</v>
      </c>
      <c r="B289" s="43">
        <v>0</v>
      </c>
      <c r="C289" s="40">
        <v>15</v>
      </c>
      <c r="D289" s="40">
        <v>30200000</v>
      </c>
    </row>
    <row r="290" spans="1:4" x14ac:dyDescent="0.3">
      <c r="A290" s="18" t="s">
        <v>1304</v>
      </c>
      <c r="B290" s="42">
        <v>0</v>
      </c>
      <c r="C290" s="40">
        <v>52</v>
      </c>
      <c r="D290" s="40">
        <v>15100000</v>
      </c>
    </row>
    <row r="291" spans="1:4" x14ac:dyDescent="0.3">
      <c r="A291" s="18" t="s">
        <v>1304</v>
      </c>
      <c r="B291" s="42">
        <v>0</v>
      </c>
      <c r="C291" s="40">
        <v>594</v>
      </c>
      <c r="D291" s="40">
        <v>12700000</v>
      </c>
    </row>
    <row r="292" spans="1:4" x14ac:dyDescent="0.3">
      <c r="A292" s="43" t="s">
        <v>1304</v>
      </c>
      <c r="B292" s="43">
        <v>0</v>
      </c>
      <c r="C292" s="40">
        <v>961</v>
      </c>
      <c r="D292" s="40">
        <v>14600000</v>
      </c>
    </row>
    <row r="293" spans="1:4" x14ac:dyDescent="0.3">
      <c r="A293" s="18" t="s">
        <v>1304</v>
      </c>
      <c r="B293" s="42">
        <v>0</v>
      </c>
      <c r="C293" s="40">
        <v>404</v>
      </c>
      <c r="D293" s="40">
        <v>29200000</v>
      </c>
    </row>
    <row r="294" spans="1:4" x14ac:dyDescent="0.3">
      <c r="A294" s="18" t="s">
        <v>1304</v>
      </c>
      <c r="B294" s="42">
        <v>0</v>
      </c>
      <c r="C294" s="40">
        <v>156</v>
      </c>
      <c r="D294" s="40">
        <v>20600000</v>
      </c>
    </row>
    <row r="295" spans="1:4" x14ac:dyDescent="0.3">
      <c r="A295" s="18" t="s">
        <v>1304</v>
      </c>
      <c r="B295" s="42">
        <v>0</v>
      </c>
      <c r="C295" s="40">
        <v>814</v>
      </c>
      <c r="D295" s="40">
        <v>13500000</v>
      </c>
    </row>
    <row r="296" spans="1:4" x14ac:dyDescent="0.3">
      <c r="A296" s="18" t="s">
        <v>1304</v>
      </c>
      <c r="B296" s="42">
        <v>0</v>
      </c>
      <c r="C296" s="40">
        <v>16047</v>
      </c>
      <c r="D296" s="40">
        <v>13600000</v>
      </c>
    </row>
    <row r="297" spans="1:4" x14ac:dyDescent="0.3">
      <c r="A297" s="18" t="s">
        <v>1304</v>
      </c>
      <c r="B297" s="42">
        <v>0</v>
      </c>
      <c r="C297" s="40">
        <v>18972</v>
      </c>
      <c r="D297" s="40">
        <v>14500000</v>
      </c>
    </row>
    <row r="298" spans="1:4" x14ac:dyDescent="0.3">
      <c r="A298" s="18" t="s">
        <v>1304</v>
      </c>
      <c r="B298" s="42">
        <v>0</v>
      </c>
      <c r="C298" s="40">
        <v>34</v>
      </c>
      <c r="D298" s="40">
        <v>14800000</v>
      </c>
    </row>
    <row r="299" spans="1:4" x14ac:dyDescent="0.3">
      <c r="A299" s="18" t="s">
        <v>1304</v>
      </c>
      <c r="B299" s="42">
        <v>0</v>
      </c>
      <c r="C299" s="40">
        <v>2738</v>
      </c>
      <c r="D299" s="40">
        <v>32700000</v>
      </c>
    </row>
    <row r="300" spans="1:4" x14ac:dyDescent="0.3">
      <c r="A300" s="43" t="s">
        <v>1304</v>
      </c>
      <c r="B300" s="43">
        <v>0</v>
      </c>
      <c r="C300" s="40">
        <v>172</v>
      </c>
      <c r="D300" s="40">
        <v>13200000</v>
      </c>
    </row>
    <row r="301" spans="1:4" x14ac:dyDescent="0.3">
      <c r="A301" s="18" t="s">
        <v>1304</v>
      </c>
      <c r="B301" s="42">
        <v>0</v>
      </c>
      <c r="C301" s="40">
        <v>4225</v>
      </c>
      <c r="D301" s="40">
        <v>19700000</v>
      </c>
    </row>
    <row r="302" spans="1:4" x14ac:dyDescent="0.3">
      <c r="A302" s="43" t="s">
        <v>1304</v>
      </c>
      <c r="B302" s="43">
        <v>0</v>
      </c>
      <c r="C302" s="40">
        <v>79</v>
      </c>
      <c r="D302" s="40">
        <v>19000000</v>
      </c>
    </row>
    <row r="303" spans="1:4" x14ac:dyDescent="0.3">
      <c r="A303" s="43" t="s">
        <v>1304</v>
      </c>
      <c r="B303" s="43">
        <v>0</v>
      </c>
      <c r="C303" s="40">
        <v>554</v>
      </c>
      <c r="D303" s="40">
        <v>14700000</v>
      </c>
    </row>
    <row r="304" spans="1:4" x14ac:dyDescent="0.3">
      <c r="A304" s="18" t="s">
        <v>1304</v>
      </c>
      <c r="B304" s="42">
        <v>0</v>
      </c>
      <c r="C304" s="40">
        <v>16</v>
      </c>
      <c r="D304" s="40">
        <v>18700000</v>
      </c>
    </row>
    <row r="305" spans="1:4" x14ac:dyDescent="0.3">
      <c r="A305" s="43" t="s">
        <v>1304</v>
      </c>
      <c r="B305" s="43">
        <v>0</v>
      </c>
      <c r="C305" s="40">
        <v>398</v>
      </c>
      <c r="D305" s="40">
        <v>25300000</v>
      </c>
    </row>
    <row r="306" spans="1:4" x14ac:dyDescent="0.3">
      <c r="A306" s="43" t="s">
        <v>1304</v>
      </c>
      <c r="B306" s="43">
        <v>0</v>
      </c>
      <c r="C306" s="40">
        <v>385</v>
      </c>
      <c r="D306" s="40">
        <v>12500000</v>
      </c>
    </row>
    <row r="307" spans="1:4" x14ac:dyDescent="0.3">
      <c r="A307" s="43" t="s">
        <v>1304</v>
      </c>
      <c r="B307" s="43">
        <v>0</v>
      </c>
      <c r="C307" s="40">
        <v>222</v>
      </c>
      <c r="D307" s="40">
        <v>14400000</v>
      </c>
    </row>
    <row r="308" spans="1:4" x14ac:dyDescent="0.3">
      <c r="A308" s="18" t="s">
        <v>1304</v>
      </c>
      <c r="B308" s="42">
        <v>0</v>
      </c>
      <c r="C308" s="40">
        <v>1644</v>
      </c>
      <c r="D308" s="40">
        <v>24800000</v>
      </c>
    </row>
    <row r="309" spans="1:4" x14ac:dyDescent="0.3">
      <c r="A309" s="43" t="s">
        <v>1304</v>
      </c>
      <c r="B309" s="43">
        <v>0</v>
      </c>
      <c r="C309" s="40">
        <v>12419</v>
      </c>
      <c r="D309" s="40">
        <v>12400000</v>
      </c>
    </row>
    <row r="310" spans="1:4" x14ac:dyDescent="0.3">
      <c r="A310" s="18" t="s">
        <v>1304</v>
      </c>
      <c r="B310" s="42">
        <v>0</v>
      </c>
      <c r="C310" s="40">
        <v>3664</v>
      </c>
      <c r="D310" s="40">
        <v>27400000</v>
      </c>
    </row>
    <row r="311" spans="1:4" x14ac:dyDescent="0.3">
      <c r="A311" s="18" t="s">
        <v>1304</v>
      </c>
      <c r="B311" s="42">
        <v>0</v>
      </c>
      <c r="C311" s="40">
        <v>838</v>
      </c>
      <c r="D311" s="40">
        <v>13000000</v>
      </c>
    </row>
    <row r="312" spans="1:4" x14ac:dyDescent="0.3">
      <c r="A312" s="18" t="s">
        <v>1304</v>
      </c>
      <c r="B312" s="42">
        <v>0</v>
      </c>
      <c r="C312" s="40">
        <v>1935</v>
      </c>
      <c r="D312" s="40">
        <v>20200000</v>
      </c>
    </row>
    <row r="313" spans="1:4" x14ac:dyDescent="0.3">
      <c r="A313" s="18" t="s">
        <v>1304</v>
      </c>
      <c r="B313" s="42">
        <v>0</v>
      </c>
      <c r="C313" s="40">
        <v>4422</v>
      </c>
      <c r="D313" s="40">
        <v>12400000</v>
      </c>
    </row>
    <row r="314" spans="1:4" x14ac:dyDescent="0.3">
      <c r="A314" s="43" t="s">
        <v>1304</v>
      </c>
      <c r="B314" s="43">
        <v>0</v>
      </c>
      <c r="C314" s="40">
        <v>164</v>
      </c>
      <c r="D314" s="40">
        <v>21800000</v>
      </c>
    </row>
    <row r="315" spans="1:4" x14ac:dyDescent="0.3">
      <c r="A315" s="18" t="s">
        <v>1304</v>
      </c>
      <c r="B315" s="42">
        <v>0</v>
      </c>
      <c r="C315" s="40">
        <v>323</v>
      </c>
      <c r="D315" s="40">
        <v>12800000</v>
      </c>
    </row>
    <row r="316" spans="1:4" x14ac:dyDescent="0.3">
      <c r="A316" s="43" t="s">
        <v>1304</v>
      </c>
      <c r="B316" s="43">
        <v>0</v>
      </c>
      <c r="C316" s="40">
        <v>383</v>
      </c>
      <c r="D316" s="40">
        <v>53500000</v>
      </c>
    </row>
    <row r="317" spans="1:4" x14ac:dyDescent="0.3">
      <c r="A317" s="18" t="s">
        <v>1304</v>
      </c>
      <c r="B317" s="42">
        <v>0</v>
      </c>
      <c r="C317" s="40">
        <v>218</v>
      </c>
      <c r="D317" s="40">
        <v>12600000</v>
      </c>
    </row>
    <row r="318" spans="1:4" x14ac:dyDescent="0.3">
      <c r="A318" s="18" t="s">
        <v>1304</v>
      </c>
      <c r="B318" s="42">
        <v>0</v>
      </c>
      <c r="C318" s="40">
        <v>777</v>
      </c>
      <c r="D318" s="40">
        <v>14100000</v>
      </c>
    </row>
    <row r="319" spans="1:4" x14ac:dyDescent="0.3">
      <c r="A319" s="43" t="s">
        <v>1304</v>
      </c>
      <c r="B319" s="43">
        <v>0</v>
      </c>
      <c r="C319" s="40">
        <v>10988</v>
      </c>
      <c r="D319" s="40">
        <v>15300000</v>
      </c>
    </row>
    <row r="320" spans="1:4" x14ac:dyDescent="0.3">
      <c r="A320" s="18" t="s">
        <v>1304</v>
      </c>
      <c r="B320" s="42">
        <v>0</v>
      </c>
      <c r="C320" s="40">
        <v>10728</v>
      </c>
      <c r="D320" s="40">
        <v>19400000</v>
      </c>
    </row>
    <row r="321" spans="1:4" x14ac:dyDescent="0.3">
      <c r="A321" s="43" t="s">
        <v>1304</v>
      </c>
      <c r="B321" s="43">
        <v>0</v>
      </c>
      <c r="C321" s="40">
        <v>41</v>
      </c>
      <c r="D321" s="40">
        <v>16100000</v>
      </c>
    </row>
    <row r="322" spans="1:4" x14ac:dyDescent="0.3">
      <c r="A322" s="18" t="s">
        <v>1304</v>
      </c>
      <c r="B322" s="42">
        <v>0</v>
      </c>
      <c r="C322" s="40">
        <v>1527</v>
      </c>
      <c r="D322" s="40">
        <v>20000000</v>
      </c>
    </row>
    <row r="323" spans="1:4" x14ac:dyDescent="0.3">
      <c r="A323" s="18" t="s">
        <v>1304</v>
      </c>
      <c r="B323" s="42">
        <v>0</v>
      </c>
      <c r="C323" s="40">
        <v>1245</v>
      </c>
      <c r="D323" s="40">
        <v>20300000</v>
      </c>
    </row>
    <row r="324" spans="1:4" x14ac:dyDescent="0.3">
      <c r="A324" s="18" t="s">
        <v>1304</v>
      </c>
      <c r="B324" s="42">
        <v>0</v>
      </c>
      <c r="C324" s="40">
        <v>1572</v>
      </c>
      <c r="D324" s="40">
        <v>12900000</v>
      </c>
    </row>
    <row r="325" spans="1:4" x14ac:dyDescent="0.3">
      <c r="A325" s="43" t="s">
        <v>1304</v>
      </c>
      <c r="B325" s="43">
        <v>0</v>
      </c>
      <c r="C325" s="40">
        <v>1411</v>
      </c>
      <c r="D325" s="40">
        <v>19800000</v>
      </c>
    </row>
    <row r="326" spans="1:4" x14ac:dyDescent="0.3">
      <c r="A326" s="43" t="s">
        <v>1304</v>
      </c>
      <c r="B326" s="43">
        <v>0</v>
      </c>
      <c r="C326" s="40">
        <v>2452</v>
      </c>
      <c r="D326" s="40">
        <v>12300000</v>
      </c>
    </row>
    <row r="327" spans="1:4" x14ac:dyDescent="0.3">
      <c r="A327" s="18" t="s">
        <v>1304</v>
      </c>
      <c r="B327" s="42">
        <v>0</v>
      </c>
      <c r="C327" s="40">
        <v>216</v>
      </c>
      <c r="D327" s="40">
        <v>16600000</v>
      </c>
    </row>
    <row r="328" spans="1:4" x14ac:dyDescent="0.3">
      <c r="A328" s="18" t="s">
        <v>1304</v>
      </c>
      <c r="B328" s="42">
        <v>0</v>
      </c>
      <c r="C328" s="40">
        <v>8420</v>
      </c>
      <c r="D328" s="40">
        <v>14900000</v>
      </c>
    </row>
    <row r="329" spans="1:4" x14ac:dyDescent="0.3">
      <c r="A329" s="18" t="s">
        <v>1304</v>
      </c>
      <c r="B329" s="42">
        <v>0</v>
      </c>
      <c r="C329" s="40">
        <v>6066</v>
      </c>
      <c r="D329" s="40">
        <v>23500000</v>
      </c>
    </row>
    <row r="330" spans="1:4" x14ac:dyDescent="0.3">
      <c r="A330" s="43" t="s">
        <v>1304</v>
      </c>
      <c r="B330" s="43">
        <v>0</v>
      </c>
      <c r="C330" s="40">
        <v>1294</v>
      </c>
      <c r="D330" s="40">
        <v>16200000</v>
      </c>
    </row>
    <row r="331" spans="1:4" x14ac:dyDescent="0.3">
      <c r="A331" s="43" t="s">
        <v>1304</v>
      </c>
      <c r="B331" s="43">
        <v>0</v>
      </c>
      <c r="C331" s="40">
        <v>159</v>
      </c>
      <c r="D331" s="40">
        <v>15100000</v>
      </c>
    </row>
    <row r="332" spans="1:4" x14ac:dyDescent="0.3">
      <c r="A332" s="18" t="s">
        <v>1304</v>
      </c>
      <c r="B332" s="42">
        <v>0</v>
      </c>
      <c r="C332" s="40">
        <v>19</v>
      </c>
      <c r="D332" s="40">
        <v>13500000</v>
      </c>
    </row>
    <row r="333" spans="1:4" x14ac:dyDescent="0.3">
      <c r="A333" s="43" t="s">
        <v>1304</v>
      </c>
      <c r="B333" s="43">
        <v>0</v>
      </c>
      <c r="C333" s="40">
        <v>1252</v>
      </c>
      <c r="D333" s="40">
        <v>24100000</v>
      </c>
    </row>
    <row r="334" spans="1:4" x14ac:dyDescent="0.3">
      <c r="A334" s="18" t="s">
        <v>1304</v>
      </c>
      <c r="B334" s="42">
        <v>0</v>
      </c>
      <c r="C334" s="40">
        <v>193</v>
      </c>
      <c r="D334" s="40">
        <v>20800000</v>
      </c>
    </row>
    <row r="335" spans="1:4" x14ac:dyDescent="0.3">
      <c r="A335" s="43" t="s">
        <v>1304</v>
      </c>
      <c r="B335" s="43">
        <v>0</v>
      </c>
      <c r="C335" s="40">
        <v>1403</v>
      </c>
      <c r="D335" s="40">
        <v>13500000</v>
      </c>
    </row>
    <row r="336" spans="1:4" x14ac:dyDescent="0.3">
      <c r="A336" s="43" t="s">
        <v>1304</v>
      </c>
      <c r="B336" s="43">
        <v>0</v>
      </c>
      <c r="C336" s="40">
        <v>1459</v>
      </c>
      <c r="D336" s="40">
        <v>12500000</v>
      </c>
    </row>
    <row r="337" spans="1:4" x14ac:dyDescent="0.3">
      <c r="A337" s="18" t="s">
        <v>1304</v>
      </c>
      <c r="B337" s="42">
        <v>0</v>
      </c>
      <c r="C337" s="40">
        <v>278</v>
      </c>
      <c r="D337" s="40">
        <v>16300000</v>
      </c>
    </row>
    <row r="338" spans="1:4" x14ac:dyDescent="0.3">
      <c r="A338" s="18" t="s">
        <v>1304</v>
      </c>
      <c r="B338" s="42">
        <v>0</v>
      </c>
      <c r="C338" s="40">
        <v>409</v>
      </c>
      <c r="D338" s="40">
        <v>13000000</v>
      </c>
    </row>
    <row r="339" spans="1:4" x14ac:dyDescent="0.3">
      <c r="A339" s="43" t="s">
        <v>1304</v>
      </c>
      <c r="B339" s="43">
        <v>0</v>
      </c>
      <c r="C339" s="40">
        <v>294</v>
      </c>
      <c r="D339" s="40">
        <v>14000000</v>
      </c>
    </row>
    <row r="340" spans="1:4" x14ac:dyDescent="0.3">
      <c r="A340" s="18" t="s">
        <v>1304</v>
      </c>
      <c r="B340" s="42">
        <v>0</v>
      </c>
      <c r="C340" s="40">
        <v>2997</v>
      </c>
      <c r="D340" s="40">
        <v>15100000</v>
      </c>
    </row>
    <row r="341" spans="1:4" x14ac:dyDescent="0.3">
      <c r="A341" s="18" t="s">
        <v>1304</v>
      </c>
      <c r="B341" s="42">
        <v>0</v>
      </c>
      <c r="C341" s="40">
        <v>1876</v>
      </c>
      <c r="D341" s="40">
        <v>39100000</v>
      </c>
    </row>
    <row r="342" spans="1:4" x14ac:dyDescent="0.3">
      <c r="A342" s="43" t="s">
        <v>1304</v>
      </c>
      <c r="B342" s="43">
        <v>0</v>
      </c>
      <c r="C342" s="40">
        <v>1044</v>
      </c>
      <c r="D342" s="40">
        <v>23500000</v>
      </c>
    </row>
    <row r="343" spans="1:4" x14ac:dyDescent="0.3">
      <c r="A343" s="18" t="s">
        <v>1304</v>
      </c>
      <c r="B343" s="42">
        <v>0</v>
      </c>
      <c r="C343" s="40">
        <v>1099</v>
      </c>
      <c r="D343" s="40">
        <v>23700000</v>
      </c>
    </row>
    <row r="344" spans="1:4" x14ac:dyDescent="0.3">
      <c r="A344" s="18" t="s">
        <v>1304</v>
      </c>
      <c r="B344" s="42">
        <v>0</v>
      </c>
      <c r="C344" s="40">
        <v>2324</v>
      </c>
      <c r="D344" s="40">
        <v>15000000</v>
      </c>
    </row>
    <row r="345" spans="1:4" x14ac:dyDescent="0.3">
      <c r="A345" s="18" t="s">
        <v>1304</v>
      </c>
      <c r="B345" s="42">
        <v>0</v>
      </c>
      <c r="C345" s="40">
        <v>825</v>
      </c>
      <c r="D345" s="40">
        <v>12600000</v>
      </c>
    </row>
    <row r="346" spans="1:4" x14ac:dyDescent="0.3">
      <c r="A346" s="18" t="s">
        <v>1304</v>
      </c>
      <c r="B346" s="42">
        <v>0</v>
      </c>
      <c r="C346" s="40">
        <v>3091</v>
      </c>
      <c r="D346" s="40">
        <v>32100000</v>
      </c>
    </row>
    <row r="347" spans="1:4" x14ac:dyDescent="0.3">
      <c r="A347" s="43" t="s">
        <v>1304</v>
      </c>
      <c r="B347" s="43">
        <v>0</v>
      </c>
      <c r="C347" s="40">
        <v>1577</v>
      </c>
      <c r="D347" s="40">
        <v>15400000</v>
      </c>
    </row>
    <row r="348" spans="1:4" x14ac:dyDescent="0.3">
      <c r="A348" s="18" t="s">
        <v>1304</v>
      </c>
      <c r="B348" s="42">
        <v>0</v>
      </c>
      <c r="C348" s="40">
        <v>431</v>
      </c>
      <c r="D348" s="40">
        <v>14000000</v>
      </c>
    </row>
    <row r="349" spans="1:4" x14ac:dyDescent="0.3">
      <c r="A349" s="43" t="s">
        <v>1304</v>
      </c>
      <c r="B349" s="43">
        <v>0</v>
      </c>
      <c r="C349" s="40">
        <v>23491</v>
      </c>
      <c r="D349" s="40">
        <v>24100000</v>
      </c>
    </row>
    <row r="350" spans="1:4" x14ac:dyDescent="0.3">
      <c r="A350" s="18" t="s">
        <v>1304</v>
      </c>
      <c r="B350" s="42">
        <v>0</v>
      </c>
      <c r="C350" s="40">
        <v>876</v>
      </c>
      <c r="D350" s="40">
        <v>14200000</v>
      </c>
    </row>
    <row r="351" spans="1:4" x14ac:dyDescent="0.3">
      <c r="A351" s="18" t="s">
        <v>1304</v>
      </c>
      <c r="B351" s="42">
        <v>0</v>
      </c>
      <c r="C351" s="40">
        <v>1331</v>
      </c>
      <c r="D351" s="40">
        <v>33400000</v>
      </c>
    </row>
    <row r="352" spans="1:4" x14ac:dyDescent="0.3">
      <c r="A352" s="43" t="s">
        <v>1304</v>
      </c>
      <c r="B352" s="43">
        <v>0</v>
      </c>
      <c r="C352" s="40">
        <v>266</v>
      </c>
      <c r="D352" s="40">
        <v>21800000</v>
      </c>
    </row>
    <row r="353" spans="1:4" x14ac:dyDescent="0.3">
      <c r="A353" s="18" t="s">
        <v>1304</v>
      </c>
      <c r="B353" s="42">
        <v>0</v>
      </c>
      <c r="C353" s="40">
        <v>654</v>
      </c>
      <c r="D353" s="40">
        <v>15200000</v>
      </c>
    </row>
    <row r="354" spans="1:4" x14ac:dyDescent="0.3">
      <c r="A354" s="43" t="s">
        <v>1304</v>
      </c>
      <c r="B354" s="43">
        <v>0</v>
      </c>
      <c r="C354" s="40">
        <v>967</v>
      </c>
      <c r="D354" s="40">
        <v>26400000</v>
      </c>
    </row>
    <row r="355" spans="1:4" x14ac:dyDescent="0.3">
      <c r="A355" s="18" t="s">
        <v>1304</v>
      </c>
      <c r="B355" s="42">
        <v>0</v>
      </c>
      <c r="C355" s="40">
        <v>667</v>
      </c>
      <c r="D355" s="40">
        <v>16100000</v>
      </c>
    </row>
    <row r="356" spans="1:4" x14ac:dyDescent="0.3">
      <c r="A356" s="43" t="s">
        <v>1304</v>
      </c>
      <c r="B356" s="43">
        <v>0</v>
      </c>
      <c r="C356" s="40">
        <v>3589</v>
      </c>
      <c r="D356" s="40">
        <v>31400000</v>
      </c>
    </row>
    <row r="357" spans="1:4" x14ac:dyDescent="0.3">
      <c r="A357" s="43" t="s">
        <v>1304</v>
      </c>
      <c r="B357" s="43">
        <v>0</v>
      </c>
      <c r="C357" s="40">
        <v>1251</v>
      </c>
      <c r="D357" s="40">
        <v>23600000</v>
      </c>
    </row>
    <row r="358" spans="1:4" x14ac:dyDescent="0.3">
      <c r="A358" s="18" t="s">
        <v>1304</v>
      </c>
      <c r="B358" s="42">
        <v>0</v>
      </c>
      <c r="C358" s="40">
        <v>1015</v>
      </c>
      <c r="D358" s="40">
        <v>17000000</v>
      </c>
    </row>
    <row r="359" spans="1:4" x14ac:dyDescent="0.3">
      <c r="A359" s="43" t="s">
        <v>1304</v>
      </c>
      <c r="B359" s="43">
        <v>0</v>
      </c>
      <c r="C359" s="40">
        <v>39</v>
      </c>
      <c r="D359" s="40">
        <v>12300000</v>
      </c>
    </row>
    <row r="360" spans="1:4" x14ac:dyDescent="0.3">
      <c r="A360" s="18" t="s">
        <v>1304</v>
      </c>
      <c r="B360" s="42">
        <v>0</v>
      </c>
      <c r="C360" s="40">
        <v>230</v>
      </c>
      <c r="D360" s="40">
        <v>16300000</v>
      </c>
    </row>
    <row r="361" spans="1:4" x14ac:dyDescent="0.3">
      <c r="A361" s="43" t="s">
        <v>1304</v>
      </c>
      <c r="B361" s="43">
        <v>0</v>
      </c>
      <c r="C361" s="40">
        <v>267</v>
      </c>
      <c r="D361" s="40">
        <v>19700000</v>
      </c>
    </row>
    <row r="362" spans="1:4" x14ac:dyDescent="0.3">
      <c r="A362" s="18" t="s">
        <v>1304</v>
      </c>
      <c r="B362" s="42">
        <v>0</v>
      </c>
      <c r="C362" s="40">
        <v>312</v>
      </c>
      <c r="D362" s="40">
        <v>18800000</v>
      </c>
    </row>
    <row r="363" spans="1:4" x14ac:dyDescent="0.3">
      <c r="A363" s="43" t="s">
        <v>1304</v>
      </c>
      <c r="B363" s="43">
        <v>0</v>
      </c>
      <c r="C363" s="40">
        <v>60</v>
      </c>
      <c r="D363" s="40">
        <v>14200000</v>
      </c>
    </row>
    <row r="364" spans="1:4" x14ac:dyDescent="0.3">
      <c r="A364" s="18" t="s">
        <v>1304</v>
      </c>
      <c r="B364" s="42">
        <v>0</v>
      </c>
      <c r="C364" s="40">
        <v>462</v>
      </c>
      <c r="D364" s="40">
        <v>20400000</v>
      </c>
    </row>
    <row r="365" spans="1:4" x14ac:dyDescent="0.3">
      <c r="A365" s="43" t="s">
        <v>1304</v>
      </c>
      <c r="B365" s="43">
        <v>0</v>
      </c>
      <c r="C365" s="40">
        <v>34</v>
      </c>
      <c r="D365" s="40">
        <v>22300000</v>
      </c>
    </row>
    <row r="366" spans="1:4" x14ac:dyDescent="0.3">
      <c r="A366" s="18" t="s">
        <v>1304</v>
      </c>
      <c r="B366" s="42">
        <v>0</v>
      </c>
      <c r="C366" s="40">
        <v>11501</v>
      </c>
      <c r="D366" s="40">
        <v>30100000</v>
      </c>
    </row>
    <row r="367" spans="1:4" x14ac:dyDescent="0.3">
      <c r="A367" s="18" t="s">
        <v>1304</v>
      </c>
      <c r="B367" s="43">
        <v>0</v>
      </c>
      <c r="C367" s="40">
        <v>1521</v>
      </c>
      <c r="D367" s="40">
        <v>18100000</v>
      </c>
    </row>
    <row r="368" spans="1:4" x14ac:dyDescent="0.3">
      <c r="A368" s="42" t="s">
        <v>1304</v>
      </c>
      <c r="B368" s="42">
        <v>0</v>
      </c>
      <c r="C368" s="40">
        <v>1306</v>
      </c>
      <c r="D368" s="40">
        <v>19600000</v>
      </c>
    </row>
    <row r="369" spans="1:4" x14ac:dyDescent="0.3">
      <c r="A369" s="42" t="s">
        <v>1304</v>
      </c>
      <c r="B369" s="42">
        <v>0</v>
      </c>
      <c r="C369" s="40">
        <v>233</v>
      </c>
      <c r="D369" s="40">
        <v>12800000</v>
      </c>
    </row>
    <row r="370" spans="1:4" x14ac:dyDescent="0.3">
      <c r="A370" s="42" t="s">
        <v>1304</v>
      </c>
      <c r="B370" s="42">
        <v>0</v>
      </c>
      <c r="C370" s="40">
        <v>3566</v>
      </c>
      <c r="D370" s="40">
        <v>18000000</v>
      </c>
    </row>
    <row r="371" spans="1:4" x14ac:dyDescent="0.3">
      <c r="A371" s="18" t="s">
        <v>1304</v>
      </c>
      <c r="B371" s="43">
        <v>0</v>
      </c>
      <c r="C371" s="40">
        <v>6943</v>
      </c>
      <c r="D371" s="40">
        <v>18400000</v>
      </c>
    </row>
    <row r="372" spans="1:4" x14ac:dyDescent="0.3">
      <c r="A372" s="42" t="s">
        <v>1304</v>
      </c>
      <c r="B372" s="42">
        <v>0</v>
      </c>
      <c r="C372" s="40">
        <v>1024</v>
      </c>
      <c r="D372" s="40">
        <v>12400000</v>
      </c>
    </row>
    <row r="373" spans="1:4" x14ac:dyDescent="0.3">
      <c r="A373" s="18" t="s">
        <v>1304</v>
      </c>
      <c r="B373" s="43">
        <v>0</v>
      </c>
      <c r="C373" s="40">
        <v>342</v>
      </c>
      <c r="D373" s="40">
        <v>14200000</v>
      </c>
    </row>
    <row r="374" spans="1:4" x14ac:dyDescent="0.3">
      <c r="A374" s="42" t="s">
        <v>1304</v>
      </c>
      <c r="B374" s="42">
        <v>0</v>
      </c>
      <c r="C374" s="40">
        <v>2905</v>
      </c>
      <c r="D374" s="40">
        <v>23000000</v>
      </c>
    </row>
    <row r="375" spans="1:4" x14ac:dyDescent="0.3">
      <c r="A375" s="18" t="s">
        <v>1304</v>
      </c>
      <c r="B375" s="43">
        <v>0</v>
      </c>
      <c r="C375" s="40">
        <v>7606</v>
      </c>
      <c r="D375" s="40">
        <v>33800000</v>
      </c>
    </row>
    <row r="376" spans="1:4" x14ac:dyDescent="0.3">
      <c r="A376" s="42" t="s">
        <v>1304</v>
      </c>
      <c r="B376" s="42">
        <v>0</v>
      </c>
      <c r="C376" s="40">
        <v>2411</v>
      </c>
      <c r="D376" s="40">
        <v>13300000</v>
      </c>
    </row>
    <row r="377" spans="1:4" x14ac:dyDescent="0.3">
      <c r="A377" s="18" t="s">
        <v>1304</v>
      </c>
      <c r="B377" s="43">
        <v>0</v>
      </c>
      <c r="C377" s="40">
        <v>652</v>
      </c>
      <c r="D377" s="40">
        <v>16300000</v>
      </c>
    </row>
    <row r="378" spans="1:4" x14ac:dyDescent="0.3">
      <c r="A378" s="42" t="s">
        <v>1304</v>
      </c>
      <c r="B378" s="42">
        <v>0</v>
      </c>
      <c r="C378" s="40">
        <v>7550</v>
      </c>
      <c r="D378" s="40">
        <v>17200000</v>
      </c>
    </row>
    <row r="379" spans="1:4" x14ac:dyDescent="0.3">
      <c r="A379" s="18" t="s">
        <v>1304</v>
      </c>
      <c r="B379" s="43">
        <v>0</v>
      </c>
      <c r="C379" s="40">
        <v>975</v>
      </c>
      <c r="D379" s="40">
        <v>13500000</v>
      </c>
    </row>
    <row r="380" spans="1:4" x14ac:dyDescent="0.3">
      <c r="A380" s="42" t="s">
        <v>1304</v>
      </c>
      <c r="B380" s="42">
        <v>0</v>
      </c>
      <c r="C380" s="40">
        <v>0</v>
      </c>
      <c r="D380" s="40">
        <v>21400000</v>
      </c>
    </row>
    <row r="381" spans="1:4" x14ac:dyDescent="0.3">
      <c r="A381" s="18" t="s">
        <v>1304</v>
      </c>
      <c r="B381" s="43">
        <v>0</v>
      </c>
      <c r="C381" s="40">
        <v>2200</v>
      </c>
      <c r="D381" s="40">
        <v>16600000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Maths for Data Analytics</vt:lpstr>
      <vt:lpstr>Coding</vt:lpstr>
      <vt:lpstr>Descriptive Analysis</vt:lpstr>
      <vt:lpstr>Frequency Distribution</vt:lpstr>
      <vt:lpstr>Outlier</vt:lpstr>
      <vt:lpstr>Chi-Square Test</vt:lpstr>
      <vt:lpstr>OR &amp; RR</vt:lpstr>
      <vt:lpstr>T-test</vt:lpstr>
      <vt:lpstr>Anova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Rajath C</dc:creator>
  <cp:lastModifiedBy>Rajath Chandran</cp:lastModifiedBy>
  <dcterms:created xsi:type="dcterms:W3CDTF">2023-10-02T06:52:48Z</dcterms:created>
  <dcterms:modified xsi:type="dcterms:W3CDTF">2023-11-20T07:44:37Z</dcterms:modified>
</cp:coreProperties>
</file>